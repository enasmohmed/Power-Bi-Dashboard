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aljohani\Downloads\"/>
    </mc:Choice>
  </mc:AlternateContent>
  <bookViews>
    <workbookView xWindow="0" yWindow="0" windowWidth="19200" windowHeight="6430"/>
  </bookViews>
  <sheets>
    <sheet name="IBLPNs" sheetId="1" r:id="rId1"/>
    <sheet name="OBLPNs" sheetId="2" r:id="rId2"/>
    <sheet name="IB shipment" sheetId="3" r:id="rId3"/>
    <sheet name="Order Heder 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217" i="1" l="1"/>
  <c r="J1217" i="1"/>
  <c r="E1217" i="1"/>
  <c r="W1216" i="1"/>
  <c r="N1216" i="1"/>
  <c r="J1216" i="1"/>
  <c r="E1216" i="1"/>
  <c r="W1215" i="1"/>
  <c r="N1215" i="1"/>
  <c r="J1215" i="1"/>
  <c r="E1215" i="1"/>
  <c r="W1214" i="1"/>
  <c r="N1214" i="1"/>
  <c r="J1214" i="1"/>
  <c r="E1214" i="1"/>
  <c r="W1213" i="1"/>
  <c r="J1213" i="1"/>
  <c r="E1213" i="1"/>
  <c r="W1212" i="1"/>
  <c r="J1212" i="1"/>
  <c r="E1212" i="1"/>
  <c r="W1211" i="1"/>
  <c r="J1211" i="1"/>
  <c r="E1211" i="1"/>
  <c r="W1210" i="1"/>
  <c r="N1210" i="1"/>
  <c r="J1210" i="1"/>
  <c r="E1210" i="1"/>
  <c r="W1209" i="1"/>
  <c r="J1209" i="1"/>
  <c r="E1209" i="1"/>
  <c r="W1208" i="1"/>
  <c r="J1208" i="1"/>
  <c r="E1208" i="1"/>
  <c r="W1207" i="1"/>
  <c r="N1207" i="1"/>
  <c r="J1207" i="1"/>
  <c r="E1207" i="1"/>
  <c r="W1206" i="1"/>
  <c r="N1206" i="1"/>
  <c r="J1206" i="1"/>
  <c r="E1206" i="1"/>
  <c r="W1205" i="1"/>
  <c r="N1205" i="1"/>
  <c r="J1205" i="1"/>
  <c r="E1205" i="1"/>
  <c r="W1204" i="1"/>
  <c r="N1204" i="1"/>
  <c r="J1204" i="1"/>
  <c r="E1204" i="1"/>
  <c r="W1203" i="1"/>
  <c r="N1203" i="1"/>
  <c r="J1203" i="1"/>
  <c r="E1203" i="1"/>
  <c r="W1202" i="1"/>
  <c r="N1202" i="1"/>
  <c r="J1202" i="1"/>
  <c r="E1202" i="1"/>
  <c r="W1201" i="1"/>
  <c r="N1201" i="1"/>
  <c r="J1201" i="1"/>
  <c r="E1201" i="1"/>
  <c r="W1200" i="1"/>
  <c r="N1200" i="1"/>
  <c r="J1200" i="1"/>
  <c r="E1200" i="1"/>
  <c r="W1199" i="1"/>
  <c r="N1199" i="1"/>
  <c r="J1199" i="1"/>
  <c r="E1199" i="1"/>
  <c r="W1198" i="1"/>
  <c r="N1198" i="1"/>
  <c r="J1198" i="1"/>
  <c r="E1198" i="1"/>
  <c r="W1197" i="1"/>
  <c r="N1197" i="1"/>
  <c r="J1197" i="1"/>
  <c r="E1197" i="1"/>
  <c r="W1196" i="1"/>
  <c r="N1196" i="1"/>
  <c r="J1196" i="1"/>
  <c r="E1196" i="1"/>
  <c r="W1195" i="1"/>
  <c r="N1195" i="1"/>
  <c r="J1195" i="1"/>
  <c r="E1195" i="1"/>
  <c r="W1194" i="1"/>
  <c r="N1194" i="1"/>
  <c r="J1194" i="1"/>
  <c r="E1194" i="1"/>
  <c r="W1193" i="1"/>
  <c r="N1193" i="1"/>
  <c r="J1193" i="1"/>
  <c r="E1193" i="1"/>
  <c r="W1192" i="1"/>
  <c r="N1192" i="1"/>
  <c r="J1192" i="1"/>
  <c r="E1192" i="1"/>
  <c r="W1191" i="1"/>
  <c r="N1191" i="1"/>
  <c r="J1191" i="1"/>
  <c r="E1191" i="1"/>
  <c r="W1190" i="1"/>
  <c r="N1190" i="1"/>
  <c r="J1190" i="1"/>
  <c r="E1190" i="1"/>
  <c r="W1189" i="1"/>
  <c r="N1189" i="1"/>
  <c r="J1189" i="1"/>
  <c r="E1189" i="1"/>
  <c r="W1188" i="1"/>
  <c r="N1188" i="1"/>
  <c r="J1188" i="1"/>
  <c r="E1188" i="1"/>
  <c r="W1187" i="1"/>
  <c r="N1187" i="1"/>
  <c r="J1187" i="1"/>
  <c r="E1187" i="1"/>
  <c r="W1186" i="1"/>
  <c r="N1186" i="1"/>
  <c r="J1186" i="1"/>
  <c r="E1186" i="1"/>
  <c r="W1185" i="1"/>
  <c r="J1185" i="1"/>
  <c r="E1185" i="1"/>
  <c r="W1184" i="1"/>
  <c r="J1184" i="1"/>
  <c r="E1184" i="1"/>
  <c r="W1183" i="1"/>
  <c r="J1183" i="1"/>
  <c r="E1183" i="1"/>
  <c r="W1182" i="1"/>
  <c r="J1182" i="1"/>
  <c r="E1182" i="1"/>
  <c r="W1181" i="1"/>
  <c r="J1181" i="1"/>
  <c r="E1181" i="1"/>
  <c r="W1180" i="1"/>
  <c r="J1180" i="1"/>
  <c r="E1180" i="1"/>
  <c r="W1179" i="1"/>
  <c r="N1179" i="1"/>
  <c r="J1179" i="1"/>
  <c r="E1179" i="1"/>
  <c r="W1178" i="1"/>
  <c r="N1178" i="1"/>
  <c r="J1178" i="1"/>
  <c r="E1178" i="1"/>
  <c r="W1177" i="1"/>
  <c r="N1177" i="1"/>
  <c r="J1177" i="1"/>
  <c r="E1177" i="1"/>
  <c r="W1176" i="1"/>
  <c r="N1176" i="1"/>
  <c r="J1176" i="1"/>
  <c r="E1176" i="1"/>
  <c r="W1175" i="1"/>
  <c r="N1175" i="1"/>
  <c r="J1175" i="1"/>
  <c r="E1175" i="1"/>
  <c r="W1174" i="1"/>
  <c r="N1174" i="1"/>
  <c r="J1174" i="1"/>
  <c r="E1174" i="1"/>
  <c r="W1173" i="1"/>
  <c r="N1173" i="1"/>
  <c r="J1173" i="1"/>
  <c r="E1173" i="1"/>
  <c r="W1172" i="1"/>
  <c r="N1172" i="1"/>
  <c r="J1172" i="1"/>
  <c r="E1172" i="1"/>
  <c r="W1171" i="1"/>
  <c r="N1171" i="1"/>
  <c r="J1171" i="1"/>
  <c r="E1171" i="1"/>
  <c r="W1170" i="1"/>
  <c r="N1170" i="1"/>
  <c r="J1170" i="1"/>
  <c r="E1170" i="1"/>
  <c r="W1169" i="1"/>
  <c r="N1169" i="1"/>
  <c r="J1169" i="1"/>
  <c r="E1169" i="1"/>
  <c r="W1168" i="1"/>
  <c r="N1168" i="1"/>
  <c r="J1168" i="1"/>
  <c r="E1168" i="1"/>
  <c r="W1167" i="1"/>
  <c r="N1167" i="1"/>
  <c r="J1167" i="1"/>
  <c r="E1167" i="1"/>
  <c r="W1166" i="1"/>
  <c r="N1166" i="1"/>
  <c r="J1166" i="1"/>
  <c r="E1166" i="1"/>
  <c r="W1165" i="1"/>
  <c r="N1165" i="1"/>
  <c r="J1165" i="1"/>
  <c r="E1165" i="1"/>
  <c r="W1164" i="1"/>
  <c r="N1164" i="1"/>
  <c r="J1164" i="1"/>
  <c r="E1164" i="1"/>
  <c r="W1163" i="1"/>
  <c r="N1163" i="1"/>
  <c r="J1163" i="1"/>
  <c r="E1163" i="1"/>
  <c r="W1162" i="1"/>
  <c r="N1162" i="1"/>
  <c r="J1162" i="1"/>
  <c r="E1162" i="1"/>
  <c r="W1161" i="1"/>
  <c r="N1161" i="1"/>
  <c r="J1161" i="1"/>
  <c r="E1161" i="1"/>
  <c r="W1160" i="1"/>
  <c r="N1160" i="1"/>
  <c r="J1160" i="1"/>
  <c r="E1160" i="1"/>
  <c r="W1159" i="1"/>
  <c r="N1159" i="1"/>
  <c r="J1159" i="1"/>
  <c r="E1159" i="1"/>
  <c r="W1158" i="1"/>
  <c r="N1158" i="1"/>
  <c r="J1158" i="1"/>
  <c r="E1158" i="1"/>
  <c r="W1157" i="1"/>
  <c r="N1157" i="1"/>
  <c r="J1157" i="1"/>
  <c r="E1157" i="1"/>
  <c r="W1156" i="1"/>
  <c r="N1156" i="1"/>
  <c r="J1156" i="1"/>
  <c r="E1156" i="1"/>
  <c r="W1155" i="1"/>
  <c r="N1155" i="1"/>
  <c r="J1155" i="1"/>
  <c r="E1155" i="1"/>
  <c r="W1154" i="1"/>
  <c r="N1154" i="1"/>
  <c r="J1154" i="1"/>
  <c r="E1154" i="1"/>
  <c r="W1153" i="1"/>
  <c r="N1153" i="1"/>
  <c r="J1153" i="1"/>
  <c r="E1153" i="1"/>
  <c r="W1152" i="1"/>
  <c r="N1152" i="1"/>
  <c r="J1152" i="1"/>
  <c r="E1152" i="1"/>
  <c r="W1151" i="1"/>
  <c r="N1151" i="1"/>
  <c r="J1151" i="1"/>
  <c r="E1151" i="1"/>
  <c r="W1150" i="1"/>
  <c r="N1150" i="1"/>
  <c r="J1150" i="1"/>
  <c r="E1150" i="1"/>
  <c r="W1149" i="1"/>
  <c r="J1149" i="1"/>
  <c r="E1149" i="1"/>
  <c r="W1148" i="1"/>
  <c r="J1148" i="1"/>
  <c r="E1148" i="1"/>
  <c r="W1147" i="1"/>
  <c r="N1147" i="1"/>
  <c r="J1147" i="1"/>
  <c r="E1147" i="1"/>
  <c r="W1146" i="1"/>
  <c r="N1146" i="1"/>
  <c r="J1146" i="1"/>
  <c r="E1146" i="1"/>
  <c r="W1145" i="1"/>
  <c r="N1145" i="1"/>
  <c r="J1145" i="1"/>
  <c r="E1145" i="1"/>
  <c r="W1144" i="1"/>
  <c r="N1144" i="1"/>
  <c r="J1144" i="1"/>
  <c r="E1144" i="1"/>
  <c r="W1143" i="1"/>
  <c r="N1143" i="1"/>
  <c r="J1143" i="1"/>
  <c r="E1143" i="1"/>
  <c r="W1142" i="1"/>
  <c r="N1142" i="1"/>
  <c r="J1142" i="1"/>
  <c r="E1142" i="1"/>
  <c r="W1141" i="1"/>
  <c r="N1141" i="1"/>
  <c r="J1141" i="1"/>
  <c r="E1141" i="1"/>
  <c r="W1140" i="1"/>
  <c r="N1140" i="1"/>
  <c r="J1140" i="1"/>
  <c r="E1140" i="1"/>
  <c r="W1139" i="1"/>
  <c r="N1139" i="1"/>
  <c r="J1139" i="1"/>
  <c r="E1139" i="1"/>
  <c r="W1138" i="1"/>
  <c r="N1138" i="1"/>
  <c r="J1138" i="1"/>
  <c r="E1138" i="1"/>
  <c r="W1137" i="1"/>
  <c r="N1137" i="1"/>
  <c r="J1137" i="1"/>
  <c r="E1137" i="1"/>
  <c r="W1136" i="1"/>
  <c r="N1136" i="1"/>
  <c r="J1136" i="1"/>
  <c r="E1136" i="1"/>
  <c r="W1135" i="1"/>
  <c r="N1135" i="1"/>
  <c r="J1135" i="1"/>
  <c r="E1135" i="1"/>
  <c r="W1134" i="1"/>
  <c r="N1134" i="1"/>
  <c r="J1134" i="1"/>
  <c r="E1134" i="1"/>
  <c r="W1133" i="1"/>
  <c r="N1133" i="1"/>
  <c r="J1133" i="1"/>
  <c r="E1133" i="1"/>
  <c r="W1132" i="1"/>
  <c r="N1132" i="1"/>
  <c r="J1132" i="1"/>
  <c r="E1132" i="1"/>
  <c r="W1131" i="1"/>
  <c r="N1131" i="1"/>
  <c r="J1131" i="1"/>
  <c r="E1131" i="1"/>
  <c r="W1130" i="1"/>
  <c r="N1130" i="1"/>
  <c r="J1130" i="1"/>
  <c r="E1130" i="1"/>
  <c r="W1129" i="1"/>
  <c r="N1129" i="1"/>
  <c r="J1129" i="1"/>
  <c r="E1129" i="1"/>
  <c r="W1128" i="1"/>
  <c r="N1128" i="1"/>
  <c r="J1128" i="1"/>
  <c r="E1128" i="1"/>
  <c r="W1127" i="1"/>
  <c r="N1127" i="1"/>
  <c r="J1127" i="1"/>
  <c r="E1127" i="1"/>
  <c r="W1126" i="1"/>
  <c r="N1126" i="1"/>
  <c r="J1126" i="1"/>
  <c r="E1126" i="1"/>
  <c r="W1125" i="1"/>
  <c r="N1125" i="1"/>
  <c r="J1125" i="1"/>
  <c r="E1125" i="1"/>
  <c r="W1124" i="1"/>
  <c r="N1124" i="1"/>
  <c r="J1124" i="1"/>
  <c r="E1124" i="1"/>
  <c r="W1123" i="1"/>
  <c r="N1123" i="1"/>
  <c r="J1123" i="1"/>
  <c r="E1123" i="1"/>
  <c r="W1122" i="1"/>
  <c r="N1122" i="1"/>
  <c r="J1122" i="1"/>
  <c r="E1122" i="1"/>
  <c r="W1121" i="1"/>
  <c r="N1121" i="1"/>
  <c r="J1121" i="1"/>
  <c r="E1121" i="1"/>
  <c r="W1120" i="1"/>
  <c r="N1120" i="1"/>
  <c r="J1120" i="1"/>
  <c r="E1120" i="1"/>
  <c r="W1119" i="1"/>
  <c r="N1119" i="1"/>
  <c r="J1119" i="1"/>
  <c r="E1119" i="1"/>
  <c r="W1118" i="1"/>
  <c r="N1118" i="1"/>
  <c r="J1118" i="1"/>
  <c r="E1118" i="1"/>
  <c r="W1117" i="1"/>
  <c r="N1117" i="1"/>
  <c r="J1117" i="1"/>
  <c r="E1117" i="1"/>
  <c r="W1116" i="1"/>
  <c r="N1116" i="1"/>
  <c r="J1116" i="1"/>
  <c r="E1116" i="1"/>
  <c r="W1115" i="1"/>
  <c r="N1115" i="1"/>
  <c r="J1115" i="1"/>
  <c r="E1115" i="1"/>
  <c r="W1114" i="1"/>
  <c r="N1114" i="1"/>
  <c r="J1114" i="1"/>
  <c r="E1114" i="1"/>
  <c r="W1113" i="1"/>
  <c r="N1113" i="1"/>
  <c r="J1113" i="1"/>
  <c r="E1113" i="1"/>
  <c r="W1112" i="1"/>
  <c r="N1112" i="1"/>
  <c r="J1112" i="1"/>
  <c r="E1112" i="1"/>
  <c r="W1111" i="1"/>
  <c r="N1111" i="1"/>
  <c r="J1111" i="1"/>
  <c r="E1111" i="1"/>
  <c r="W1110" i="1"/>
  <c r="N1110" i="1"/>
  <c r="J1110" i="1"/>
  <c r="E1110" i="1"/>
  <c r="W1109" i="1"/>
  <c r="N1109" i="1"/>
  <c r="J1109" i="1"/>
  <c r="E1109" i="1"/>
  <c r="W1108" i="1"/>
  <c r="N1108" i="1"/>
  <c r="J1108" i="1"/>
  <c r="E1108" i="1"/>
  <c r="W1107" i="1"/>
  <c r="N1107" i="1"/>
  <c r="J1107" i="1"/>
  <c r="E1107" i="1"/>
  <c r="W1106" i="1"/>
  <c r="N1106" i="1"/>
  <c r="J1106" i="1"/>
  <c r="E1106" i="1"/>
  <c r="W1105" i="1"/>
  <c r="N1105" i="1"/>
  <c r="J1105" i="1"/>
  <c r="E1105" i="1"/>
  <c r="W1104" i="1"/>
  <c r="N1104" i="1"/>
  <c r="J1104" i="1"/>
  <c r="E1104" i="1"/>
  <c r="W1103" i="1"/>
  <c r="N1103" i="1"/>
  <c r="J1103" i="1"/>
  <c r="E1103" i="1"/>
  <c r="W1102" i="1"/>
  <c r="N1102" i="1"/>
  <c r="J1102" i="1"/>
  <c r="E1102" i="1"/>
  <c r="W1101" i="1"/>
  <c r="N1101" i="1"/>
  <c r="J1101" i="1"/>
  <c r="E1101" i="1"/>
  <c r="W1100" i="1"/>
  <c r="N1100" i="1"/>
  <c r="J1100" i="1"/>
  <c r="E1100" i="1"/>
  <c r="W1099" i="1"/>
  <c r="N1099" i="1"/>
  <c r="J1099" i="1"/>
  <c r="E1099" i="1"/>
  <c r="W1098" i="1"/>
  <c r="N1098" i="1"/>
  <c r="J1098" i="1"/>
  <c r="E1098" i="1"/>
  <c r="W1097" i="1"/>
  <c r="N1097" i="1"/>
  <c r="J1097" i="1"/>
  <c r="E1097" i="1"/>
  <c r="W1096" i="1"/>
  <c r="N1096" i="1"/>
  <c r="J1096" i="1"/>
  <c r="E1096" i="1"/>
  <c r="W1095" i="1"/>
  <c r="N1095" i="1"/>
  <c r="J1095" i="1"/>
  <c r="E1095" i="1"/>
  <c r="W1094" i="1"/>
  <c r="N1094" i="1"/>
  <c r="J1094" i="1"/>
  <c r="E1094" i="1"/>
  <c r="W1093" i="1"/>
  <c r="N1093" i="1"/>
  <c r="J1093" i="1"/>
  <c r="E1093" i="1"/>
  <c r="W1092" i="1"/>
  <c r="N1092" i="1"/>
  <c r="J1092" i="1"/>
  <c r="E1092" i="1"/>
  <c r="W1091" i="1"/>
  <c r="N1091" i="1"/>
  <c r="J1091" i="1"/>
  <c r="E1091" i="1"/>
  <c r="W1090" i="1"/>
  <c r="N1090" i="1"/>
  <c r="J1090" i="1"/>
  <c r="E1090" i="1"/>
  <c r="W1089" i="1"/>
  <c r="N1089" i="1"/>
  <c r="J1089" i="1"/>
  <c r="E1089" i="1"/>
  <c r="W1088" i="1"/>
  <c r="N1088" i="1"/>
  <c r="J1088" i="1"/>
  <c r="E1088" i="1"/>
  <c r="W1087" i="1"/>
  <c r="N1087" i="1"/>
  <c r="J1087" i="1"/>
  <c r="E1087" i="1"/>
  <c r="W1086" i="1"/>
  <c r="N1086" i="1"/>
  <c r="J1086" i="1"/>
  <c r="E1086" i="1"/>
  <c r="W1085" i="1"/>
  <c r="N1085" i="1"/>
  <c r="J1085" i="1"/>
  <c r="E1085" i="1"/>
  <c r="W1084" i="1"/>
  <c r="N1084" i="1"/>
  <c r="J1084" i="1"/>
  <c r="E1084" i="1"/>
  <c r="W1083" i="1"/>
  <c r="N1083" i="1"/>
  <c r="J1083" i="1"/>
  <c r="E1083" i="1"/>
  <c r="W1082" i="1"/>
  <c r="N1082" i="1"/>
  <c r="J1082" i="1"/>
  <c r="E1082" i="1"/>
  <c r="W1081" i="1"/>
  <c r="N1081" i="1"/>
  <c r="J1081" i="1"/>
  <c r="E1081" i="1"/>
  <c r="W1080" i="1"/>
  <c r="N1080" i="1"/>
  <c r="J1080" i="1"/>
  <c r="E1080" i="1"/>
  <c r="W1079" i="1"/>
  <c r="N1079" i="1"/>
  <c r="J1079" i="1"/>
  <c r="E1079" i="1"/>
  <c r="W1078" i="1"/>
  <c r="N1078" i="1"/>
  <c r="J1078" i="1"/>
  <c r="E1078" i="1"/>
  <c r="W1077" i="1"/>
  <c r="N1077" i="1"/>
  <c r="J1077" i="1"/>
  <c r="E1077" i="1"/>
  <c r="W1076" i="1"/>
  <c r="N1076" i="1"/>
  <c r="J1076" i="1"/>
  <c r="E1076" i="1"/>
  <c r="W1075" i="1"/>
  <c r="N1075" i="1"/>
  <c r="J1075" i="1"/>
  <c r="E1075" i="1"/>
  <c r="W1074" i="1"/>
  <c r="N1074" i="1"/>
  <c r="J1074" i="1"/>
  <c r="E1074" i="1"/>
  <c r="W1073" i="1"/>
  <c r="N1073" i="1"/>
  <c r="J1073" i="1"/>
  <c r="E1073" i="1"/>
  <c r="W1072" i="1"/>
  <c r="N1072" i="1"/>
  <c r="J1072" i="1"/>
  <c r="E1072" i="1"/>
  <c r="W1071" i="1"/>
  <c r="N1071" i="1"/>
  <c r="J1071" i="1"/>
  <c r="E1071" i="1"/>
  <c r="W1070" i="1"/>
  <c r="N1070" i="1"/>
  <c r="J1070" i="1"/>
  <c r="E1070" i="1"/>
  <c r="W1069" i="1"/>
  <c r="N1069" i="1"/>
  <c r="J1069" i="1"/>
  <c r="E1069" i="1"/>
  <c r="W1068" i="1"/>
  <c r="N1068" i="1"/>
  <c r="J1068" i="1"/>
  <c r="E1068" i="1"/>
  <c r="W1067" i="1"/>
  <c r="N1067" i="1"/>
  <c r="J1067" i="1"/>
  <c r="E1067" i="1"/>
  <c r="W1066" i="1"/>
  <c r="N1066" i="1"/>
  <c r="J1066" i="1"/>
  <c r="E1066" i="1"/>
  <c r="W1065" i="1"/>
  <c r="N1065" i="1"/>
  <c r="J1065" i="1"/>
  <c r="E1065" i="1"/>
  <c r="W1064" i="1"/>
  <c r="N1064" i="1"/>
  <c r="J1064" i="1"/>
  <c r="E1064" i="1"/>
  <c r="W1063" i="1"/>
  <c r="N1063" i="1"/>
  <c r="J1063" i="1"/>
  <c r="E1063" i="1"/>
  <c r="W1062" i="1"/>
  <c r="N1062" i="1"/>
  <c r="J1062" i="1"/>
  <c r="E1062" i="1"/>
  <c r="W1061" i="1"/>
  <c r="N1061" i="1"/>
  <c r="J1061" i="1"/>
  <c r="E1061" i="1"/>
  <c r="W1060" i="1"/>
  <c r="N1060" i="1"/>
  <c r="J1060" i="1"/>
  <c r="E1060" i="1"/>
  <c r="W1059" i="1"/>
  <c r="N1059" i="1"/>
  <c r="J1059" i="1"/>
  <c r="E1059" i="1"/>
  <c r="W1058" i="1"/>
  <c r="N1058" i="1"/>
  <c r="J1058" i="1"/>
  <c r="E1058" i="1"/>
  <c r="W1057" i="1"/>
  <c r="N1057" i="1"/>
  <c r="J1057" i="1"/>
  <c r="E1057" i="1"/>
  <c r="W1056" i="1"/>
  <c r="N1056" i="1"/>
  <c r="J1056" i="1"/>
  <c r="E1056" i="1"/>
  <c r="W1055" i="1"/>
  <c r="N1055" i="1"/>
  <c r="J1055" i="1"/>
  <c r="E1055" i="1"/>
  <c r="W1054" i="1"/>
  <c r="N1054" i="1"/>
  <c r="J1054" i="1"/>
  <c r="E1054" i="1"/>
  <c r="W1053" i="1"/>
  <c r="N1053" i="1"/>
  <c r="J1053" i="1"/>
  <c r="E1053" i="1"/>
  <c r="W1052" i="1"/>
  <c r="N1052" i="1"/>
  <c r="J1052" i="1"/>
  <c r="E1052" i="1"/>
  <c r="W1051" i="1"/>
  <c r="N1051" i="1"/>
  <c r="J1051" i="1"/>
  <c r="E1051" i="1"/>
  <c r="W1050" i="1"/>
  <c r="N1050" i="1"/>
  <c r="J1050" i="1"/>
  <c r="E1050" i="1"/>
  <c r="W1049" i="1"/>
  <c r="N1049" i="1"/>
  <c r="J1049" i="1"/>
  <c r="E1049" i="1"/>
  <c r="W1048" i="1"/>
  <c r="N1048" i="1"/>
  <c r="J1048" i="1"/>
  <c r="E1048" i="1"/>
  <c r="W1047" i="1"/>
  <c r="N1047" i="1"/>
  <c r="J1047" i="1"/>
  <c r="E1047" i="1"/>
  <c r="W1046" i="1"/>
  <c r="N1046" i="1"/>
  <c r="J1046" i="1"/>
  <c r="E1046" i="1"/>
  <c r="W1045" i="1"/>
  <c r="N1045" i="1"/>
  <c r="J1045" i="1"/>
  <c r="E1045" i="1"/>
  <c r="W1044" i="1"/>
  <c r="N1044" i="1"/>
  <c r="J1044" i="1"/>
  <c r="E1044" i="1"/>
  <c r="W1043" i="1"/>
  <c r="N1043" i="1"/>
  <c r="J1043" i="1"/>
  <c r="E1043" i="1"/>
  <c r="W1042" i="1"/>
  <c r="N1042" i="1"/>
  <c r="J1042" i="1"/>
  <c r="E1042" i="1"/>
  <c r="W1041" i="1"/>
  <c r="N1041" i="1"/>
  <c r="J1041" i="1"/>
  <c r="E1041" i="1"/>
  <c r="W1040" i="1"/>
  <c r="N1040" i="1"/>
  <c r="J1040" i="1"/>
  <c r="E1040" i="1"/>
  <c r="W1039" i="1"/>
  <c r="N1039" i="1"/>
  <c r="J1039" i="1"/>
  <c r="E1039" i="1"/>
  <c r="W1038" i="1"/>
  <c r="N1038" i="1"/>
  <c r="J1038" i="1"/>
  <c r="E1038" i="1"/>
  <c r="W1037" i="1"/>
  <c r="N1037" i="1"/>
  <c r="J1037" i="1"/>
  <c r="E1037" i="1"/>
  <c r="W1036" i="1"/>
  <c r="N1036" i="1"/>
  <c r="J1036" i="1"/>
  <c r="E1036" i="1"/>
  <c r="W1035" i="1"/>
  <c r="N1035" i="1"/>
  <c r="J1035" i="1"/>
  <c r="E1035" i="1"/>
  <c r="W1034" i="1"/>
  <c r="N1034" i="1"/>
  <c r="J1034" i="1"/>
  <c r="E1034" i="1"/>
  <c r="W1033" i="1"/>
  <c r="N1033" i="1"/>
  <c r="J1033" i="1"/>
  <c r="E1033" i="1"/>
  <c r="W1032" i="1"/>
  <c r="N1032" i="1"/>
  <c r="J1032" i="1"/>
  <c r="E1032" i="1"/>
  <c r="W1031" i="1"/>
  <c r="N1031" i="1"/>
  <c r="J1031" i="1"/>
  <c r="E1031" i="1"/>
  <c r="W1030" i="1"/>
  <c r="N1030" i="1"/>
  <c r="J1030" i="1"/>
  <c r="E1030" i="1"/>
  <c r="W1029" i="1"/>
  <c r="N1029" i="1"/>
  <c r="J1029" i="1"/>
  <c r="E1029" i="1"/>
  <c r="W1028" i="1"/>
  <c r="N1028" i="1"/>
  <c r="J1028" i="1"/>
  <c r="E1028" i="1"/>
  <c r="W1027" i="1"/>
  <c r="N1027" i="1"/>
  <c r="J1027" i="1"/>
  <c r="E1027" i="1"/>
  <c r="W1026" i="1"/>
  <c r="N1026" i="1"/>
  <c r="J1026" i="1"/>
  <c r="E1026" i="1"/>
  <c r="W1025" i="1"/>
  <c r="N1025" i="1"/>
  <c r="J1025" i="1"/>
  <c r="E1025" i="1"/>
  <c r="W1024" i="1"/>
  <c r="N1024" i="1"/>
  <c r="J1024" i="1"/>
  <c r="E1024" i="1"/>
  <c r="W1023" i="1"/>
  <c r="N1023" i="1"/>
  <c r="J1023" i="1"/>
  <c r="E1023" i="1"/>
  <c r="W1022" i="1"/>
  <c r="N1022" i="1"/>
  <c r="J1022" i="1"/>
  <c r="E1022" i="1"/>
  <c r="W1021" i="1"/>
  <c r="N1021" i="1"/>
  <c r="J1021" i="1"/>
  <c r="E1021" i="1"/>
  <c r="W1020" i="1"/>
  <c r="N1020" i="1"/>
  <c r="J1020" i="1"/>
  <c r="E1020" i="1"/>
  <c r="W1019" i="1"/>
  <c r="N1019" i="1"/>
  <c r="J1019" i="1"/>
  <c r="E1019" i="1"/>
  <c r="W1018" i="1"/>
  <c r="N1018" i="1"/>
  <c r="J1018" i="1"/>
  <c r="E1018" i="1"/>
  <c r="W1017" i="1"/>
  <c r="N1017" i="1"/>
  <c r="J1017" i="1"/>
  <c r="E1017" i="1"/>
  <c r="W1016" i="1"/>
  <c r="N1016" i="1"/>
  <c r="J1016" i="1"/>
  <c r="E1016" i="1"/>
  <c r="W1015" i="1"/>
  <c r="N1015" i="1"/>
  <c r="J1015" i="1"/>
  <c r="E1015" i="1"/>
  <c r="W1014" i="1"/>
  <c r="N1014" i="1"/>
  <c r="J1014" i="1"/>
  <c r="E1014" i="1"/>
  <c r="W1013" i="1"/>
  <c r="N1013" i="1"/>
  <c r="J1013" i="1"/>
  <c r="E1013" i="1"/>
  <c r="W1012" i="1"/>
  <c r="N1012" i="1"/>
  <c r="J1012" i="1"/>
  <c r="E1012" i="1"/>
  <c r="W1011" i="1"/>
  <c r="N1011" i="1"/>
  <c r="J1011" i="1"/>
  <c r="E1011" i="1"/>
  <c r="W1010" i="1"/>
  <c r="N1010" i="1"/>
  <c r="J1010" i="1"/>
  <c r="E1010" i="1"/>
  <c r="W1009" i="1"/>
  <c r="N1009" i="1"/>
  <c r="J1009" i="1"/>
  <c r="E1009" i="1"/>
  <c r="W1008" i="1"/>
  <c r="N1008" i="1"/>
  <c r="J1008" i="1"/>
  <c r="E1008" i="1"/>
  <c r="W1007" i="1"/>
  <c r="N1007" i="1"/>
  <c r="J1007" i="1"/>
  <c r="E1007" i="1"/>
  <c r="W1006" i="1"/>
  <c r="N1006" i="1"/>
  <c r="J1006" i="1"/>
  <c r="E1006" i="1"/>
  <c r="W1005" i="1"/>
  <c r="N1005" i="1"/>
  <c r="J1005" i="1"/>
  <c r="E1005" i="1"/>
  <c r="W1004" i="1"/>
  <c r="N1004" i="1"/>
  <c r="J1004" i="1"/>
  <c r="E1004" i="1"/>
  <c r="W1003" i="1"/>
  <c r="N1003" i="1"/>
  <c r="J1003" i="1"/>
  <c r="E1003" i="1"/>
  <c r="W1002" i="1"/>
  <c r="N1002" i="1"/>
  <c r="J1002" i="1"/>
  <c r="E1002" i="1"/>
  <c r="W1001" i="1"/>
  <c r="N1001" i="1"/>
  <c r="J1001" i="1"/>
  <c r="E1001" i="1"/>
  <c r="W1000" i="1"/>
  <c r="N1000" i="1"/>
  <c r="J1000" i="1"/>
  <c r="E1000" i="1"/>
  <c r="W999" i="1"/>
  <c r="N999" i="1"/>
  <c r="J999" i="1"/>
  <c r="E999" i="1"/>
  <c r="W998" i="1"/>
  <c r="N998" i="1"/>
  <c r="J998" i="1"/>
  <c r="E998" i="1"/>
  <c r="W997" i="1"/>
  <c r="N997" i="1"/>
  <c r="J997" i="1"/>
  <c r="E997" i="1"/>
  <c r="W996" i="1"/>
  <c r="N996" i="1"/>
  <c r="J996" i="1"/>
  <c r="E996" i="1"/>
  <c r="W995" i="1"/>
  <c r="N995" i="1"/>
  <c r="J995" i="1"/>
  <c r="E995" i="1"/>
  <c r="W994" i="1"/>
  <c r="N994" i="1"/>
  <c r="J994" i="1"/>
  <c r="E994" i="1"/>
  <c r="W993" i="1"/>
  <c r="N993" i="1"/>
  <c r="J993" i="1"/>
  <c r="E993" i="1"/>
  <c r="W992" i="1"/>
  <c r="N992" i="1"/>
  <c r="J992" i="1"/>
  <c r="E992" i="1"/>
  <c r="W991" i="1"/>
  <c r="N991" i="1"/>
  <c r="J991" i="1"/>
  <c r="E991" i="1"/>
  <c r="W990" i="1"/>
  <c r="N990" i="1"/>
  <c r="J990" i="1"/>
  <c r="E990" i="1"/>
  <c r="W989" i="1"/>
  <c r="N989" i="1"/>
  <c r="J989" i="1"/>
  <c r="E989" i="1"/>
  <c r="W988" i="1"/>
  <c r="N988" i="1"/>
  <c r="J988" i="1"/>
  <c r="E988" i="1"/>
  <c r="W987" i="1"/>
  <c r="N987" i="1"/>
  <c r="J987" i="1"/>
  <c r="E987" i="1"/>
  <c r="W986" i="1"/>
  <c r="N986" i="1"/>
  <c r="J986" i="1"/>
  <c r="E986" i="1"/>
  <c r="W985" i="1"/>
  <c r="N985" i="1"/>
  <c r="J985" i="1"/>
  <c r="E985" i="1"/>
  <c r="W984" i="1"/>
  <c r="N984" i="1"/>
  <c r="J984" i="1"/>
  <c r="E984" i="1"/>
  <c r="W983" i="1"/>
  <c r="N983" i="1"/>
  <c r="J983" i="1"/>
  <c r="E983" i="1"/>
  <c r="W982" i="1"/>
  <c r="N982" i="1"/>
  <c r="J982" i="1"/>
  <c r="E982" i="1"/>
  <c r="W981" i="1"/>
  <c r="N981" i="1"/>
  <c r="J981" i="1"/>
  <c r="E981" i="1"/>
  <c r="W980" i="1"/>
  <c r="N980" i="1"/>
  <c r="J980" i="1"/>
  <c r="E980" i="1"/>
  <c r="W979" i="1"/>
  <c r="N979" i="1"/>
  <c r="J979" i="1"/>
  <c r="E979" i="1"/>
  <c r="W978" i="1"/>
  <c r="N978" i="1"/>
  <c r="J978" i="1"/>
  <c r="E978" i="1"/>
  <c r="W977" i="1"/>
  <c r="N977" i="1"/>
  <c r="J977" i="1"/>
  <c r="E977" i="1"/>
  <c r="W976" i="1"/>
  <c r="N976" i="1"/>
  <c r="J976" i="1"/>
  <c r="E976" i="1"/>
  <c r="W975" i="1"/>
  <c r="N975" i="1"/>
  <c r="J975" i="1"/>
  <c r="E975" i="1"/>
  <c r="W974" i="1"/>
  <c r="N974" i="1"/>
  <c r="J974" i="1"/>
  <c r="E974" i="1"/>
  <c r="W973" i="1"/>
  <c r="N973" i="1"/>
  <c r="J973" i="1"/>
  <c r="E973" i="1"/>
  <c r="W972" i="1"/>
  <c r="N972" i="1"/>
  <c r="J972" i="1"/>
  <c r="E972" i="1"/>
  <c r="W971" i="1"/>
  <c r="N971" i="1"/>
  <c r="J971" i="1"/>
  <c r="E971" i="1"/>
  <c r="W970" i="1"/>
  <c r="N970" i="1"/>
  <c r="J970" i="1"/>
  <c r="E970" i="1"/>
  <c r="W969" i="1"/>
  <c r="N969" i="1"/>
  <c r="J969" i="1"/>
  <c r="E969" i="1"/>
  <c r="W968" i="1"/>
  <c r="N968" i="1"/>
  <c r="J968" i="1"/>
  <c r="E968" i="1"/>
  <c r="W967" i="1"/>
  <c r="N967" i="1"/>
  <c r="J967" i="1"/>
  <c r="E967" i="1"/>
  <c r="W966" i="1"/>
  <c r="N966" i="1"/>
  <c r="J966" i="1"/>
  <c r="E966" i="1"/>
  <c r="W965" i="1"/>
  <c r="N965" i="1"/>
  <c r="J965" i="1"/>
  <c r="E965" i="1"/>
  <c r="W964" i="1"/>
  <c r="N964" i="1"/>
  <c r="J964" i="1"/>
  <c r="E964" i="1"/>
  <c r="W963" i="1"/>
  <c r="N963" i="1"/>
  <c r="J963" i="1"/>
  <c r="E963" i="1"/>
  <c r="W962" i="1"/>
  <c r="N962" i="1"/>
  <c r="J962" i="1"/>
  <c r="E962" i="1"/>
  <c r="W961" i="1"/>
  <c r="N961" i="1"/>
  <c r="J961" i="1"/>
  <c r="E961" i="1"/>
  <c r="W960" i="1"/>
  <c r="N960" i="1"/>
  <c r="J960" i="1"/>
  <c r="E960" i="1"/>
  <c r="W959" i="1"/>
  <c r="N959" i="1"/>
  <c r="J959" i="1"/>
  <c r="E959" i="1"/>
  <c r="W958" i="1"/>
  <c r="N958" i="1"/>
  <c r="J958" i="1"/>
  <c r="E958" i="1"/>
  <c r="W957" i="1"/>
  <c r="N957" i="1"/>
  <c r="J957" i="1"/>
  <c r="E957" i="1"/>
  <c r="W956" i="1"/>
  <c r="N956" i="1"/>
  <c r="J956" i="1"/>
  <c r="E956" i="1"/>
  <c r="W955" i="1"/>
  <c r="N955" i="1"/>
  <c r="J955" i="1"/>
  <c r="E955" i="1"/>
  <c r="W954" i="1"/>
  <c r="N954" i="1"/>
  <c r="J954" i="1"/>
  <c r="E954" i="1"/>
  <c r="W953" i="1"/>
  <c r="N953" i="1"/>
  <c r="J953" i="1"/>
  <c r="E953" i="1"/>
  <c r="W952" i="1"/>
  <c r="N952" i="1"/>
  <c r="J952" i="1"/>
  <c r="E952" i="1"/>
  <c r="W951" i="1"/>
  <c r="N951" i="1"/>
  <c r="J951" i="1"/>
  <c r="E951" i="1"/>
  <c r="W950" i="1"/>
  <c r="N950" i="1"/>
  <c r="J950" i="1"/>
  <c r="E950" i="1"/>
  <c r="W949" i="1"/>
  <c r="N949" i="1"/>
  <c r="J949" i="1"/>
  <c r="E949" i="1"/>
  <c r="W948" i="1"/>
  <c r="N948" i="1"/>
  <c r="J948" i="1"/>
  <c r="E948" i="1"/>
  <c r="W947" i="1"/>
  <c r="N947" i="1"/>
  <c r="J947" i="1"/>
  <c r="E947" i="1"/>
  <c r="W946" i="1"/>
  <c r="N946" i="1"/>
  <c r="J946" i="1"/>
  <c r="E946" i="1"/>
  <c r="W945" i="1"/>
  <c r="N945" i="1"/>
  <c r="J945" i="1"/>
  <c r="E945" i="1"/>
  <c r="W944" i="1"/>
  <c r="N944" i="1"/>
  <c r="J944" i="1"/>
  <c r="E944" i="1"/>
  <c r="W943" i="1"/>
  <c r="N943" i="1"/>
  <c r="J943" i="1"/>
  <c r="E943" i="1"/>
  <c r="W942" i="1"/>
  <c r="N942" i="1"/>
  <c r="J942" i="1"/>
  <c r="E942" i="1"/>
  <c r="W941" i="1"/>
  <c r="N941" i="1"/>
  <c r="J941" i="1"/>
  <c r="E941" i="1"/>
  <c r="W940" i="1"/>
  <c r="N940" i="1"/>
  <c r="J940" i="1"/>
  <c r="E940" i="1"/>
  <c r="W939" i="1"/>
  <c r="N939" i="1"/>
  <c r="J939" i="1"/>
  <c r="E939" i="1"/>
  <c r="W938" i="1"/>
  <c r="N938" i="1"/>
  <c r="J938" i="1"/>
  <c r="E938" i="1"/>
  <c r="W937" i="1"/>
  <c r="N937" i="1"/>
  <c r="J937" i="1"/>
  <c r="E937" i="1"/>
  <c r="W936" i="1"/>
  <c r="N936" i="1"/>
  <c r="J936" i="1"/>
  <c r="E936" i="1"/>
  <c r="W935" i="1"/>
  <c r="N935" i="1"/>
  <c r="J935" i="1"/>
  <c r="E935" i="1"/>
  <c r="W934" i="1"/>
  <c r="N934" i="1"/>
  <c r="J934" i="1"/>
  <c r="E934" i="1"/>
  <c r="W933" i="1"/>
  <c r="N933" i="1"/>
  <c r="J933" i="1"/>
  <c r="E933" i="1"/>
  <c r="W932" i="1"/>
  <c r="N932" i="1"/>
  <c r="J932" i="1"/>
  <c r="E932" i="1"/>
  <c r="W931" i="1"/>
  <c r="N931" i="1"/>
  <c r="J931" i="1"/>
  <c r="E931" i="1"/>
  <c r="W930" i="1"/>
  <c r="N930" i="1"/>
  <c r="J930" i="1"/>
  <c r="E930" i="1"/>
  <c r="W929" i="1"/>
  <c r="N929" i="1"/>
  <c r="J929" i="1"/>
  <c r="E929" i="1"/>
  <c r="W928" i="1"/>
  <c r="N928" i="1"/>
  <c r="J928" i="1"/>
  <c r="E928" i="1"/>
  <c r="W927" i="1"/>
  <c r="N927" i="1"/>
  <c r="J927" i="1"/>
  <c r="E927" i="1"/>
  <c r="W926" i="1"/>
  <c r="N926" i="1"/>
  <c r="J926" i="1"/>
  <c r="E926" i="1"/>
  <c r="W925" i="1"/>
  <c r="N925" i="1"/>
  <c r="J925" i="1"/>
  <c r="E925" i="1"/>
  <c r="W924" i="1"/>
  <c r="N924" i="1"/>
  <c r="J924" i="1"/>
  <c r="E924" i="1"/>
  <c r="W923" i="1"/>
  <c r="N923" i="1"/>
  <c r="J923" i="1"/>
  <c r="E923" i="1"/>
  <c r="W922" i="1"/>
  <c r="N922" i="1"/>
  <c r="J922" i="1"/>
  <c r="E922" i="1"/>
  <c r="W921" i="1"/>
  <c r="N921" i="1"/>
  <c r="J921" i="1"/>
  <c r="E921" i="1"/>
  <c r="W920" i="1"/>
  <c r="N920" i="1"/>
  <c r="J920" i="1"/>
  <c r="E920" i="1"/>
  <c r="W919" i="1"/>
  <c r="N919" i="1"/>
  <c r="J919" i="1"/>
  <c r="E919" i="1"/>
  <c r="W918" i="1"/>
  <c r="N918" i="1"/>
  <c r="J918" i="1"/>
  <c r="E918" i="1"/>
  <c r="W917" i="1"/>
  <c r="N917" i="1"/>
  <c r="J917" i="1"/>
  <c r="E917" i="1"/>
  <c r="W916" i="1"/>
  <c r="N916" i="1"/>
  <c r="J916" i="1"/>
  <c r="E916" i="1"/>
  <c r="W915" i="1"/>
  <c r="N915" i="1"/>
  <c r="J915" i="1"/>
  <c r="E915" i="1"/>
  <c r="W914" i="1"/>
  <c r="N914" i="1"/>
  <c r="J914" i="1"/>
  <c r="E914" i="1"/>
  <c r="W913" i="1"/>
  <c r="N913" i="1"/>
  <c r="J913" i="1"/>
  <c r="E913" i="1"/>
  <c r="W912" i="1"/>
  <c r="N912" i="1"/>
  <c r="J912" i="1"/>
  <c r="E912" i="1"/>
  <c r="W911" i="1"/>
  <c r="N911" i="1"/>
  <c r="J911" i="1"/>
  <c r="E911" i="1"/>
  <c r="W910" i="1"/>
  <c r="N910" i="1"/>
  <c r="J910" i="1"/>
  <c r="E910" i="1"/>
  <c r="W909" i="1"/>
  <c r="N909" i="1"/>
  <c r="J909" i="1"/>
  <c r="E909" i="1"/>
  <c r="W908" i="1"/>
  <c r="N908" i="1"/>
  <c r="J908" i="1"/>
  <c r="E908" i="1"/>
  <c r="W907" i="1"/>
  <c r="N907" i="1"/>
  <c r="J907" i="1"/>
  <c r="E907" i="1"/>
  <c r="W906" i="1"/>
  <c r="N906" i="1"/>
  <c r="J906" i="1"/>
  <c r="E906" i="1"/>
  <c r="W905" i="1"/>
  <c r="N905" i="1"/>
  <c r="J905" i="1"/>
  <c r="E905" i="1"/>
  <c r="W904" i="1"/>
  <c r="N904" i="1"/>
  <c r="J904" i="1"/>
  <c r="E904" i="1"/>
  <c r="W903" i="1"/>
  <c r="N903" i="1"/>
  <c r="J903" i="1"/>
  <c r="E903" i="1"/>
  <c r="W902" i="1"/>
  <c r="N902" i="1"/>
  <c r="J902" i="1"/>
  <c r="E902" i="1"/>
  <c r="W901" i="1"/>
  <c r="N901" i="1"/>
  <c r="J901" i="1"/>
  <c r="E901" i="1"/>
  <c r="W900" i="1"/>
  <c r="N900" i="1"/>
  <c r="J900" i="1"/>
  <c r="E900" i="1"/>
  <c r="W899" i="1"/>
  <c r="N899" i="1"/>
  <c r="J899" i="1"/>
  <c r="E899" i="1"/>
  <c r="W898" i="1"/>
  <c r="N898" i="1"/>
  <c r="J898" i="1"/>
  <c r="E898" i="1"/>
  <c r="W897" i="1"/>
  <c r="N897" i="1"/>
  <c r="J897" i="1"/>
  <c r="E897" i="1"/>
  <c r="W896" i="1"/>
  <c r="N896" i="1"/>
  <c r="J896" i="1"/>
  <c r="E896" i="1"/>
  <c r="W895" i="1"/>
  <c r="N895" i="1"/>
  <c r="J895" i="1"/>
  <c r="E895" i="1"/>
  <c r="W894" i="1"/>
  <c r="N894" i="1"/>
  <c r="J894" i="1"/>
  <c r="E894" i="1"/>
  <c r="W893" i="1"/>
  <c r="N893" i="1"/>
  <c r="J893" i="1"/>
  <c r="E893" i="1"/>
  <c r="W892" i="1"/>
  <c r="N892" i="1"/>
  <c r="J892" i="1"/>
  <c r="E892" i="1"/>
  <c r="W891" i="1"/>
  <c r="N891" i="1"/>
  <c r="J891" i="1"/>
  <c r="E891" i="1"/>
  <c r="W890" i="1"/>
  <c r="N890" i="1"/>
  <c r="J890" i="1"/>
  <c r="E890" i="1"/>
  <c r="W889" i="1"/>
  <c r="N889" i="1"/>
  <c r="J889" i="1"/>
  <c r="E889" i="1"/>
  <c r="W888" i="1"/>
  <c r="N888" i="1"/>
  <c r="J888" i="1"/>
  <c r="E888" i="1"/>
  <c r="W887" i="1"/>
  <c r="N887" i="1"/>
  <c r="J887" i="1"/>
  <c r="E887" i="1"/>
  <c r="W886" i="1"/>
  <c r="N886" i="1"/>
  <c r="J886" i="1"/>
  <c r="E886" i="1"/>
  <c r="W885" i="1"/>
  <c r="N885" i="1"/>
  <c r="J885" i="1"/>
  <c r="E885" i="1"/>
  <c r="W884" i="1"/>
  <c r="N884" i="1"/>
  <c r="J884" i="1"/>
  <c r="E884" i="1"/>
  <c r="W883" i="1"/>
  <c r="N883" i="1"/>
  <c r="J883" i="1"/>
  <c r="E883" i="1"/>
  <c r="W882" i="1"/>
  <c r="N882" i="1"/>
  <c r="J882" i="1"/>
  <c r="E882" i="1"/>
  <c r="W881" i="1"/>
  <c r="N881" i="1"/>
  <c r="J881" i="1"/>
  <c r="E881" i="1"/>
  <c r="W880" i="1"/>
  <c r="N880" i="1"/>
  <c r="J880" i="1"/>
  <c r="E880" i="1"/>
  <c r="W879" i="1"/>
  <c r="N879" i="1"/>
  <c r="J879" i="1"/>
  <c r="E879" i="1"/>
  <c r="W878" i="1"/>
  <c r="N878" i="1"/>
  <c r="J878" i="1"/>
  <c r="E878" i="1"/>
  <c r="W877" i="1"/>
  <c r="N877" i="1"/>
  <c r="J877" i="1"/>
  <c r="E877" i="1"/>
  <c r="W876" i="1"/>
  <c r="N876" i="1"/>
  <c r="J876" i="1"/>
  <c r="E876" i="1"/>
  <c r="W875" i="1"/>
  <c r="N875" i="1"/>
  <c r="J875" i="1"/>
  <c r="E875" i="1"/>
  <c r="W874" i="1"/>
  <c r="N874" i="1"/>
  <c r="J874" i="1"/>
  <c r="E874" i="1"/>
  <c r="W873" i="1"/>
  <c r="N873" i="1"/>
  <c r="J873" i="1"/>
  <c r="E873" i="1"/>
  <c r="W872" i="1"/>
  <c r="N872" i="1"/>
  <c r="J872" i="1"/>
  <c r="E872" i="1"/>
  <c r="W871" i="1"/>
  <c r="N871" i="1"/>
  <c r="J871" i="1"/>
  <c r="E871" i="1"/>
  <c r="W870" i="1"/>
  <c r="N870" i="1"/>
  <c r="J870" i="1"/>
  <c r="E870" i="1"/>
  <c r="W869" i="1"/>
  <c r="N869" i="1"/>
  <c r="J869" i="1"/>
  <c r="E869" i="1"/>
  <c r="W868" i="1"/>
  <c r="N868" i="1"/>
  <c r="J868" i="1"/>
  <c r="E868" i="1"/>
  <c r="W867" i="1"/>
  <c r="N867" i="1"/>
  <c r="J867" i="1"/>
  <c r="E867" i="1"/>
  <c r="W866" i="1"/>
  <c r="N866" i="1"/>
  <c r="J866" i="1"/>
  <c r="E866" i="1"/>
  <c r="W865" i="1"/>
  <c r="N865" i="1"/>
  <c r="J865" i="1"/>
  <c r="E865" i="1"/>
  <c r="W864" i="1"/>
  <c r="N864" i="1"/>
  <c r="J864" i="1"/>
  <c r="E864" i="1"/>
  <c r="W863" i="1"/>
  <c r="N863" i="1"/>
  <c r="J863" i="1"/>
  <c r="E863" i="1"/>
  <c r="W862" i="1"/>
  <c r="N862" i="1"/>
  <c r="J862" i="1"/>
  <c r="E862" i="1"/>
  <c r="W861" i="1"/>
  <c r="N861" i="1"/>
  <c r="J861" i="1"/>
  <c r="E861" i="1"/>
  <c r="W860" i="1"/>
  <c r="N860" i="1"/>
  <c r="J860" i="1"/>
  <c r="E860" i="1"/>
  <c r="W859" i="1"/>
  <c r="N859" i="1"/>
  <c r="J859" i="1"/>
  <c r="E859" i="1"/>
  <c r="W858" i="1"/>
  <c r="N858" i="1"/>
  <c r="J858" i="1"/>
  <c r="E858" i="1"/>
  <c r="W857" i="1"/>
  <c r="N857" i="1"/>
  <c r="J857" i="1"/>
  <c r="E857" i="1"/>
  <c r="W856" i="1"/>
  <c r="N856" i="1"/>
  <c r="J856" i="1"/>
  <c r="E856" i="1"/>
  <c r="W855" i="1"/>
  <c r="N855" i="1"/>
  <c r="J855" i="1"/>
  <c r="E855" i="1"/>
  <c r="W854" i="1"/>
  <c r="N854" i="1"/>
  <c r="J854" i="1"/>
  <c r="E854" i="1"/>
  <c r="W853" i="1"/>
  <c r="N853" i="1"/>
  <c r="J853" i="1"/>
  <c r="E853" i="1"/>
  <c r="W852" i="1"/>
  <c r="N852" i="1"/>
  <c r="J852" i="1"/>
  <c r="E852" i="1"/>
  <c r="W851" i="1"/>
  <c r="N851" i="1"/>
  <c r="J851" i="1"/>
  <c r="E851" i="1"/>
  <c r="W850" i="1"/>
  <c r="N850" i="1"/>
  <c r="J850" i="1"/>
  <c r="E850" i="1"/>
  <c r="W849" i="1"/>
  <c r="N849" i="1"/>
  <c r="J849" i="1"/>
  <c r="E849" i="1"/>
  <c r="W848" i="1"/>
  <c r="N848" i="1"/>
  <c r="J848" i="1"/>
  <c r="E848" i="1"/>
  <c r="W847" i="1"/>
  <c r="N847" i="1"/>
  <c r="J847" i="1"/>
  <c r="E847" i="1"/>
  <c r="W846" i="1"/>
  <c r="N846" i="1"/>
  <c r="J846" i="1"/>
  <c r="E846" i="1"/>
  <c r="W845" i="1"/>
  <c r="N845" i="1"/>
  <c r="J845" i="1"/>
  <c r="E845" i="1"/>
  <c r="W844" i="1"/>
  <c r="N844" i="1"/>
  <c r="J844" i="1"/>
  <c r="E844" i="1"/>
  <c r="W843" i="1"/>
  <c r="N843" i="1"/>
  <c r="J843" i="1"/>
  <c r="E843" i="1"/>
  <c r="W842" i="1"/>
  <c r="N842" i="1"/>
  <c r="J842" i="1"/>
  <c r="E842" i="1"/>
  <c r="W841" i="1"/>
  <c r="N841" i="1"/>
  <c r="J841" i="1"/>
  <c r="E841" i="1"/>
  <c r="W840" i="1"/>
  <c r="N840" i="1"/>
  <c r="J840" i="1"/>
  <c r="E840" i="1"/>
  <c r="W839" i="1"/>
  <c r="N839" i="1"/>
  <c r="J839" i="1"/>
  <c r="E839" i="1"/>
  <c r="W838" i="1"/>
  <c r="N838" i="1"/>
  <c r="J838" i="1"/>
  <c r="E838" i="1"/>
  <c r="W837" i="1"/>
  <c r="N837" i="1"/>
  <c r="J837" i="1"/>
  <c r="E837" i="1"/>
  <c r="W836" i="1"/>
  <c r="N836" i="1"/>
  <c r="J836" i="1"/>
  <c r="E836" i="1"/>
  <c r="W835" i="1"/>
  <c r="N835" i="1"/>
  <c r="J835" i="1"/>
  <c r="E835" i="1"/>
  <c r="W834" i="1"/>
  <c r="N834" i="1"/>
  <c r="J834" i="1"/>
  <c r="E834" i="1"/>
  <c r="W833" i="1"/>
  <c r="N833" i="1"/>
  <c r="J833" i="1"/>
  <c r="E833" i="1"/>
  <c r="W832" i="1"/>
  <c r="N832" i="1"/>
  <c r="J832" i="1"/>
  <c r="E832" i="1"/>
  <c r="W831" i="1"/>
  <c r="N831" i="1"/>
  <c r="J831" i="1"/>
  <c r="E831" i="1"/>
  <c r="W830" i="1"/>
  <c r="N830" i="1"/>
  <c r="J830" i="1"/>
  <c r="E830" i="1"/>
  <c r="W829" i="1"/>
  <c r="N829" i="1"/>
  <c r="J829" i="1"/>
  <c r="E829" i="1"/>
  <c r="W828" i="1"/>
  <c r="N828" i="1"/>
  <c r="J828" i="1"/>
  <c r="E828" i="1"/>
  <c r="W827" i="1"/>
  <c r="N827" i="1"/>
  <c r="J827" i="1"/>
  <c r="E827" i="1"/>
  <c r="W826" i="1"/>
  <c r="N826" i="1"/>
  <c r="J826" i="1"/>
  <c r="E826" i="1"/>
  <c r="W825" i="1"/>
  <c r="N825" i="1"/>
  <c r="J825" i="1"/>
  <c r="E825" i="1"/>
  <c r="W824" i="1"/>
  <c r="N824" i="1"/>
  <c r="J824" i="1"/>
  <c r="E824" i="1"/>
  <c r="W823" i="1"/>
  <c r="N823" i="1"/>
  <c r="J823" i="1"/>
  <c r="E823" i="1"/>
  <c r="W822" i="1"/>
  <c r="N822" i="1"/>
  <c r="J822" i="1"/>
  <c r="E822" i="1"/>
  <c r="W821" i="1"/>
  <c r="N821" i="1"/>
  <c r="J821" i="1"/>
  <c r="E821" i="1"/>
  <c r="W820" i="1"/>
  <c r="N820" i="1"/>
  <c r="J820" i="1"/>
  <c r="E820" i="1"/>
  <c r="W819" i="1"/>
  <c r="N819" i="1"/>
  <c r="J819" i="1"/>
  <c r="E819" i="1"/>
  <c r="W818" i="1"/>
  <c r="N818" i="1"/>
  <c r="J818" i="1"/>
  <c r="E818" i="1"/>
  <c r="W817" i="1"/>
  <c r="N817" i="1"/>
  <c r="J817" i="1"/>
  <c r="E817" i="1"/>
  <c r="W816" i="1"/>
  <c r="N816" i="1"/>
  <c r="J816" i="1"/>
  <c r="E816" i="1"/>
  <c r="W815" i="1"/>
  <c r="N815" i="1"/>
  <c r="J815" i="1"/>
  <c r="E815" i="1"/>
  <c r="W814" i="1"/>
  <c r="N814" i="1"/>
  <c r="J814" i="1"/>
  <c r="E814" i="1"/>
  <c r="W813" i="1"/>
  <c r="N813" i="1"/>
  <c r="J813" i="1"/>
  <c r="E813" i="1"/>
  <c r="W812" i="1"/>
  <c r="N812" i="1"/>
  <c r="J812" i="1"/>
  <c r="E812" i="1"/>
  <c r="W811" i="1"/>
  <c r="N811" i="1"/>
  <c r="J811" i="1"/>
  <c r="E811" i="1"/>
  <c r="W810" i="1"/>
  <c r="N810" i="1"/>
  <c r="J810" i="1"/>
  <c r="E810" i="1"/>
  <c r="W809" i="1"/>
  <c r="N809" i="1"/>
  <c r="J809" i="1"/>
  <c r="E809" i="1"/>
  <c r="W808" i="1"/>
  <c r="N808" i="1"/>
  <c r="J808" i="1"/>
  <c r="E808" i="1"/>
  <c r="W807" i="1"/>
  <c r="N807" i="1"/>
  <c r="J807" i="1"/>
  <c r="E807" i="1"/>
  <c r="W806" i="1"/>
  <c r="N806" i="1"/>
  <c r="J806" i="1"/>
  <c r="E806" i="1"/>
  <c r="W805" i="1"/>
  <c r="N805" i="1"/>
  <c r="J805" i="1"/>
  <c r="E805" i="1"/>
  <c r="W804" i="1"/>
  <c r="N804" i="1"/>
  <c r="J804" i="1"/>
  <c r="E804" i="1"/>
  <c r="W803" i="1"/>
  <c r="N803" i="1"/>
  <c r="J803" i="1"/>
  <c r="E803" i="1"/>
  <c r="W802" i="1"/>
  <c r="N802" i="1"/>
  <c r="J802" i="1"/>
  <c r="E802" i="1"/>
  <c r="W801" i="1"/>
  <c r="N801" i="1"/>
  <c r="J801" i="1"/>
  <c r="E801" i="1"/>
  <c r="W800" i="1"/>
  <c r="N800" i="1"/>
  <c r="J800" i="1"/>
  <c r="E800" i="1"/>
  <c r="W799" i="1"/>
  <c r="N799" i="1"/>
  <c r="J799" i="1"/>
  <c r="E799" i="1"/>
  <c r="W798" i="1"/>
  <c r="N798" i="1"/>
  <c r="J798" i="1"/>
  <c r="E798" i="1"/>
  <c r="W797" i="1"/>
  <c r="N797" i="1"/>
  <c r="J797" i="1"/>
  <c r="E797" i="1"/>
  <c r="W796" i="1"/>
  <c r="N796" i="1"/>
  <c r="J796" i="1"/>
  <c r="E796" i="1"/>
  <c r="W795" i="1"/>
  <c r="N795" i="1"/>
  <c r="J795" i="1"/>
  <c r="E795" i="1"/>
  <c r="W794" i="1"/>
  <c r="N794" i="1"/>
  <c r="J794" i="1"/>
  <c r="E794" i="1"/>
  <c r="W793" i="1"/>
  <c r="N793" i="1"/>
  <c r="J793" i="1"/>
  <c r="E793" i="1"/>
  <c r="W792" i="1"/>
  <c r="N792" i="1"/>
  <c r="J792" i="1"/>
  <c r="E792" i="1"/>
  <c r="W791" i="1"/>
  <c r="N791" i="1"/>
  <c r="J791" i="1"/>
  <c r="E791" i="1"/>
  <c r="W790" i="1"/>
  <c r="N790" i="1"/>
  <c r="J790" i="1"/>
  <c r="E790" i="1"/>
  <c r="W789" i="1"/>
  <c r="N789" i="1"/>
  <c r="J789" i="1"/>
  <c r="E789" i="1"/>
  <c r="W788" i="1"/>
  <c r="N788" i="1"/>
  <c r="J788" i="1"/>
  <c r="E788" i="1"/>
  <c r="W787" i="1"/>
  <c r="N787" i="1"/>
  <c r="J787" i="1"/>
  <c r="E787" i="1"/>
  <c r="W786" i="1"/>
  <c r="N786" i="1"/>
  <c r="J786" i="1"/>
  <c r="E786" i="1"/>
  <c r="W785" i="1"/>
  <c r="N785" i="1"/>
  <c r="J785" i="1"/>
  <c r="E785" i="1"/>
  <c r="W784" i="1"/>
  <c r="N784" i="1"/>
  <c r="J784" i="1"/>
  <c r="E784" i="1"/>
  <c r="W783" i="1"/>
  <c r="N783" i="1"/>
  <c r="J783" i="1"/>
  <c r="E783" i="1"/>
  <c r="W782" i="1"/>
  <c r="N782" i="1"/>
  <c r="J782" i="1"/>
  <c r="E782" i="1"/>
  <c r="W781" i="1"/>
  <c r="N781" i="1"/>
  <c r="J781" i="1"/>
  <c r="E781" i="1"/>
  <c r="W780" i="1"/>
  <c r="N780" i="1"/>
  <c r="J780" i="1"/>
  <c r="E780" i="1"/>
  <c r="W779" i="1"/>
  <c r="N779" i="1"/>
  <c r="J779" i="1"/>
  <c r="E779" i="1"/>
  <c r="W778" i="1"/>
  <c r="N778" i="1"/>
  <c r="J778" i="1"/>
  <c r="E778" i="1"/>
  <c r="W777" i="1"/>
  <c r="N777" i="1"/>
  <c r="J777" i="1"/>
  <c r="E777" i="1"/>
  <c r="W776" i="1"/>
  <c r="N776" i="1"/>
  <c r="J776" i="1"/>
  <c r="E776" i="1"/>
  <c r="W775" i="1"/>
  <c r="N775" i="1"/>
  <c r="J775" i="1"/>
  <c r="E775" i="1"/>
  <c r="W774" i="1"/>
  <c r="N774" i="1"/>
  <c r="J774" i="1"/>
  <c r="E774" i="1"/>
  <c r="W773" i="1"/>
  <c r="N773" i="1"/>
  <c r="J773" i="1"/>
  <c r="E773" i="1"/>
  <c r="W772" i="1"/>
  <c r="N772" i="1"/>
  <c r="J772" i="1"/>
  <c r="E772" i="1"/>
  <c r="W771" i="1"/>
  <c r="N771" i="1"/>
  <c r="J771" i="1"/>
  <c r="E771" i="1"/>
  <c r="W770" i="1"/>
  <c r="N770" i="1"/>
  <c r="J770" i="1"/>
  <c r="E770" i="1"/>
  <c r="W769" i="1"/>
  <c r="N769" i="1"/>
  <c r="J769" i="1"/>
  <c r="E769" i="1"/>
  <c r="W768" i="1"/>
  <c r="N768" i="1"/>
  <c r="J768" i="1"/>
  <c r="E768" i="1"/>
  <c r="W767" i="1"/>
  <c r="N767" i="1"/>
  <c r="J767" i="1"/>
  <c r="E767" i="1"/>
  <c r="W766" i="1"/>
  <c r="N766" i="1"/>
  <c r="J766" i="1"/>
  <c r="E766" i="1"/>
  <c r="W765" i="1"/>
  <c r="N765" i="1"/>
  <c r="J765" i="1"/>
  <c r="E765" i="1"/>
  <c r="W764" i="1"/>
  <c r="N764" i="1"/>
  <c r="J764" i="1"/>
  <c r="E764" i="1"/>
  <c r="W763" i="1"/>
  <c r="N763" i="1"/>
  <c r="J763" i="1"/>
  <c r="E763" i="1"/>
  <c r="W762" i="1"/>
  <c r="N762" i="1"/>
  <c r="J762" i="1"/>
  <c r="E762" i="1"/>
  <c r="W761" i="1"/>
  <c r="N761" i="1"/>
  <c r="J761" i="1"/>
  <c r="E761" i="1"/>
  <c r="W760" i="1"/>
  <c r="N760" i="1"/>
  <c r="J760" i="1"/>
  <c r="E760" i="1"/>
  <c r="W759" i="1"/>
  <c r="N759" i="1"/>
  <c r="J759" i="1"/>
  <c r="E759" i="1"/>
  <c r="W758" i="1"/>
  <c r="N758" i="1"/>
  <c r="J758" i="1"/>
  <c r="E758" i="1"/>
  <c r="W757" i="1"/>
  <c r="N757" i="1"/>
  <c r="J757" i="1"/>
  <c r="E757" i="1"/>
  <c r="W756" i="1"/>
  <c r="N756" i="1"/>
  <c r="J756" i="1"/>
  <c r="E756" i="1"/>
  <c r="W755" i="1"/>
  <c r="N755" i="1"/>
  <c r="J755" i="1"/>
  <c r="E755" i="1"/>
  <c r="W754" i="1"/>
  <c r="N754" i="1"/>
  <c r="J754" i="1"/>
  <c r="E754" i="1"/>
  <c r="W753" i="1"/>
  <c r="N753" i="1"/>
  <c r="J753" i="1"/>
  <c r="E753" i="1"/>
  <c r="W752" i="1"/>
  <c r="N752" i="1"/>
  <c r="J752" i="1"/>
  <c r="E752" i="1"/>
  <c r="W751" i="1"/>
  <c r="N751" i="1"/>
  <c r="J751" i="1"/>
  <c r="E751" i="1"/>
  <c r="W750" i="1"/>
  <c r="N750" i="1"/>
  <c r="J750" i="1"/>
  <c r="E750" i="1"/>
  <c r="W749" i="1"/>
  <c r="N749" i="1"/>
  <c r="J749" i="1"/>
  <c r="E749" i="1"/>
  <c r="W748" i="1"/>
  <c r="N748" i="1"/>
  <c r="J748" i="1"/>
  <c r="E748" i="1"/>
  <c r="W747" i="1"/>
  <c r="N747" i="1"/>
  <c r="J747" i="1"/>
  <c r="E747" i="1"/>
  <c r="W746" i="1"/>
  <c r="N746" i="1"/>
  <c r="J746" i="1"/>
  <c r="E746" i="1"/>
  <c r="W745" i="1"/>
  <c r="N745" i="1"/>
  <c r="J745" i="1"/>
  <c r="E745" i="1"/>
  <c r="W744" i="1"/>
  <c r="N744" i="1"/>
  <c r="J744" i="1"/>
  <c r="E744" i="1"/>
  <c r="W743" i="1"/>
  <c r="N743" i="1"/>
  <c r="J743" i="1"/>
  <c r="E743" i="1"/>
  <c r="W742" i="1"/>
  <c r="N742" i="1"/>
  <c r="J742" i="1"/>
  <c r="E742" i="1"/>
  <c r="W741" i="1"/>
  <c r="N741" i="1"/>
  <c r="J741" i="1"/>
  <c r="E741" i="1"/>
  <c r="W740" i="1"/>
  <c r="N740" i="1"/>
  <c r="J740" i="1"/>
  <c r="E740" i="1"/>
  <c r="W739" i="1"/>
  <c r="N739" i="1"/>
  <c r="J739" i="1"/>
  <c r="E739" i="1"/>
  <c r="W738" i="1"/>
  <c r="N738" i="1"/>
  <c r="J738" i="1"/>
  <c r="E738" i="1"/>
  <c r="W737" i="1"/>
  <c r="N737" i="1"/>
  <c r="J737" i="1"/>
  <c r="E737" i="1"/>
  <c r="W736" i="1"/>
  <c r="N736" i="1"/>
  <c r="J736" i="1"/>
  <c r="E736" i="1"/>
  <c r="W735" i="1"/>
  <c r="N735" i="1"/>
  <c r="J735" i="1"/>
  <c r="E735" i="1"/>
  <c r="W734" i="1"/>
  <c r="N734" i="1"/>
  <c r="J734" i="1"/>
  <c r="E734" i="1"/>
  <c r="W733" i="1"/>
  <c r="N733" i="1"/>
  <c r="J733" i="1"/>
  <c r="E733" i="1"/>
  <c r="W732" i="1"/>
  <c r="N732" i="1"/>
  <c r="J732" i="1"/>
  <c r="E732" i="1"/>
  <c r="W731" i="1"/>
  <c r="N731" i="1"/>
  <c r="J731" i="1"/>
  <c r="E731" i="1"/>
  <c r="W730" i="1"/>
  <c r="N730" i="1"/>
  <c r="J730" i="1"/>
  <c r="E730" i="1"/>
  <c r="W729" i="1"/>
  <c r="N729" i="1"/>
  <c r="J729" i="1"/>
  <c r="E729" i="1"/>
  <c r="W728" i="1"/>
  <c r="N728" i="1"/>
  <c r="J728" i="1"/>
  <c r="E728" i="1"/>
  <c r="W727" i="1"/>
  <c r="N727" i="1"/>
  <c r="J727" i="1"/>
  <c r="E727" i="1"/>
  <c r="R1118" i="2"/>
  <c r="L1118" i="2"/>
  <c r="F1118" i="2"/>
  <c r="D1118" i="2"/>
  <c r="R1117" i="2"/>
  <c r="L1117" i="2"/>
  <c r="F1117" i="2"/>
  <c r="D1117" i="2"/>
  <c r="R1116" i="2"/>
  <c r="L1116" i="2"/>
  <c r="F1116" i="2"/>
  <c r="D1116" i="2"/>
  <c r="R1115" i="2"/>
  <c r="L1115" i="2"/>
  <c r="F1115" i="2"/>
  <c r="D1115" i="2"/>
  <c r="R1114" i="2"/>
  <c r="L1114" i="2"/>
  <c r="F1114" i="2"/>
  <c r="D1114" i="2"/>
  <c r="R1113" i="2"/>
  <c r="L1113" i="2"/>
  <c r="F1113" i="2"/>
  <c r="D1113" i="2"/>
  <c r="R1112" i="2"/>
  <c r="L1112" i="2"/>
  <c r="F1112" i="2"/>
  <c r="D1112" i="2"/>
  <c r="R1111" i="2"/>
  <c r="L1111" i="2"/>
  <c r="F1111" i="2"/>
  <c r="D1111" i="2"/>
  <c r="R1110" i="2"/>
  <c r="L1110" i="2"/>
  <c r="F1110" i="2"/>
  <c r="D1110" i="2"/>
  <c r="R1109" i="2"/>
  <c r="L1109" i="2"/>
  <c r="F1109" i="2"/>
  <c r="D1109" i="2"/>
  <c r="R1108" i="2"/>
  <c r="L1108" i="2"/>
  <c r="F1108" i="2"/>
  <c r="D1108" i="2"/>
  <c r="R1107" i="2"/>
  <c r="L1107" i="2"/>
  <c r="F1107" i="2"/>
  <c r="D1107" i="2"/>
  <c r="R1106" i="2"/>
  <c r="L1106" i="2"/>
  <c r="F1106" i="2"/>
  <c r="D1106" i="2"/>
  <c r="R1105" i="2"/>
  <c r="L1105" i="2"/>
  <c r="F1105" i="2"/>
  <c r="D1105" i="2"/>
  <c r="R1104" i="2"/>
  <c r="L1104" i="2"/>
  <c r="F1104" i="2"/>
  <c r="D1104" i="2"/>
  <c r="R1103" i="2"/>
  <c r="L1103" i="2"/>
  <c r="F1103" i="2"/>
  <c r="D1103" i="2"/>
  <c r="R1102" i="2"/>
  <c r="L1102" i="2"/>
  <c r="F1102" i="2"/>
  <c r="D1102" i="2"/>
  <c r="R1101" i="2"/>
  <c r="L1101" i="2"/>
  <c r="F1101" i="2"/>
  <c r="D1101" i="2"/>
  <c r="R1100" i="2"/>
  <c r="L1100" i="2"/>
  <c r="F1100" i="2"/>
  <c r="D1100" i="2"/>
  <c r="R1099" i="2"/>
  <c r="L1099" i="2"/>
  <c r="F1099" i="2"/>
  <c r="D1099" i="2"/>
  <c r="R1098" i="2"/>
  <c r="L1098" i="2"/>
  <c r="F1098" i="2"/>
  <c r="D1098" i="2"/>
  <c r="R1097" i="2"/>
  <c r="L1097" i="2"/>
  <c r="F1097" i="2"/>
  <c r="D1097" i="2"/>
  <c r="R1096" i="2"/>
  <c r="L1096" i="2"/>
  <c r="F1096" i="2"/>
  <c r="D1096" i="2"/>
  <c r="R1095" i="2"/>
  <c r="L1095" i="2"/>
  <c r="F1095" i="2"/>
  <c r="D1095" i="2"/>
  <c r="R1094" i="2"/>
  <c r="L1094" i="2"/>
  <c r="F1094" i="2"/>
  <c r="D1094" i="2"/>
  <c r="R1093" i="2"/>
  <c r="L1093" i="2"/>
  <c r="F1093" i="2"/>
  <c r="D1093" i="2"/>
  <c r="R1092" i="2"/>
  <c r="L1092" i="2"/>
  <c r="F1092" i="2"/>
  <c r="D1092" i="2"/>
  <c r="R1091" i="2"/>
  <c r="L1091" i="2"/>
  <c r="F1091" i="2"/>
  <c r="D1091" i="2"/>
  <c r="R1090" i="2"/>
  <c r="L1090" i="2"/>
  <c r="F1090" i="2"/>
  <c r="D1090" i="2"/>
  <c r="R1089" i="2"/>
  <c r="L1089" i="2"/>
  <c r="F1089" i="2"/>
  <c r="D1089" i="2"/>
  <c r="R1088" i="2"/>
  <c r="L1088" i="2"/>
  <c r="F1088" i="2"/>
  <c r="D1088" i="2"/>
  <c r="R1087" i="2"/>
  <c r="L1087" i="2"/>
  <c r="F1087" i="2"/>
  <c r="D1087" i="2"/>
  <c r="R1086" i="2"/>
  <c r="L1086" i="2"/>
  <c r="F1086" i="2"/>
  <c r="D1086" i="2"/>
  <c r="R1085" i="2"/>
  <c r="L1085" i="2"/>
  <c r="F1085" i="2"/>
  <c r="D1085" i="2"/>
  <c r="R1084" i="2"/>
  <c r="L1084" i="2"/>
  <c r="F1084" i="2"/>
  <c r="D1084" i="2"/>
  <c r="R1083" i="2"/>
  <c r="L1083" i="2"/>
  <c r="F1083" i="2"/>
  <c r="D1083" i="2"/>
  <c r="R1082" i="2"/>
  <c r="L1082" i="2"/>
  <c r="F1082" i="2"/>
  <c r="D1082" i="2"/>
  <c r="R1081" i="2"/>
  <c r="L1081" i="2"/>
  <c r="F1081" i="2"/>
  <c r="D1081" i="2"/>
  <c r="R1080" i="2"/>
  <c r="L1080" i="2"/>
  <c r="F1080" i="2"/>
  <c r="D1080" i="2"/>
  <c r="R1079" i="2"/>
  <c r="L1079" i="2"/>
  <c r="F1079" i="2"/>
  <c r="D1079" i="2"/>
  <c r="R1078" i="2"/>
  <c r="L1078" i="2"/>
  <c r="F1078" i="2"/>
  <c r="D1078" i="2"/>
  <c r="R1077" i="2"/>
  <c r="L1077" i="2"/>
  <c r="F1077" i="2"/>
  <c r="D1077" i="2"/>
  <c r="R1076" i="2"/>
  <c r="L1076" i="2"/>
  <c r="F1076" i="2"/>
  <c r="D1076" i="2"/>
  <c r="R1075" i="2"/>
  <c r="L1075" i="2"/>
  <c r="F1075" i="2"/>
  <c r="D1075" i="2"/>
  <c r="R1074" i="2"/>
  <c r="L1074" i="2"/>
  <c r="F1074" i="2"/>
  <c r="D1074" i="2"/>
  <c r="R1073" i="2"/>
  <c r="L1073" i="2"/>
  <c r="F1073" i="2"/>
  <c r="D1073" i="2"/>
  <c r="R1072" i="2"/>
  <c r="L1072" i="2"/>
  <c r="F1072" i="2"/>
  <c r="D1072" i="2"/>
  <c r="R1071" i="2"/>
  <c r="L1071" i="2"/>
  <c r="F1071" i="2"/>
  <c r="D1071" i="2"/>
  <c r="R1070" i="2"/>
  <c r="L1070" i="2"/>
  <c r="F1070" i="2"/>
  <c r="D1070" i="2"/>
  <c r="R1069" i="2"/>
  <c r="L1069" i="2"/>
  <c r="F1069" i="2"/>
  <c r="D1069" i="2"/>
  <c r="R1068" i="2"/>
  <c r="L1068" i="2"/>
  <c r="F1068" i="2"/>
  <c r="D1068" i="2"/>
  <c r="R1067" i="2"/>
  <c r="L1067" i="2"/>
  <c r="F1067" i="2"/>
  <c r="D1067" i="2"/>
  <c r="R1066" i="2"/>
  <c r="L1066" i="2"/>
  <c r="F1066" i="2"/>
  <c r="D1066" i="2"/>
  <c r="R1065" i="2"/>
  <c r="L1065" i="2"/>
  <c r="F1065" i="2"/>
  <c r="D1065" i="2"/>
  <c r="R1064" i="2"/>
  <c r="L1064" i="2"/>
  <c r="F1064" i="2"/>
  <c r="D1064" i="2"/>
  <c r="R1063" i="2"/>
  <c r="L1063" i="2"/>
  <c r="F1063" i="2"/>
  <c r="D1063" i="2"/>
  <c r="R1062" i="2"/>
  <c r="L1062" i="2"/>
  <c r="F1062" i="2"/>
  <c r="D1062" i="2"/>
  <c r="R1061" i="2"/>
  <c r="L1061" i="2"/>
  <c r="F1061" i="2"/>
  <c r="D1061" i="2"/>
  <c r="R1060" i="2"/>
  <c r="L1060" i="2"/>
  <c r="F1060" i="2"/>
  <c r="D1060" i="2"/>
  <c r="R1059" i="2"/>
  <c r="L1059" i="2"/>
  <c r="F1059" i="2"/>
  <c r="D1059" i="2"/>
  <c r="R1058" i="2"/>
  <c r="L1058" i="2"/>
  <c r="F1058" i="2"/>
  <c r="D1058" i="2"/>
  <c r="R1057" i="2"/>
  <c r="L1057" i="2"/>
  <c r="F1057" i="2"/>
  <c r="D1057" i="2"/>
  <c r="R1056" i="2"/>
  <c r="L1056" i="2"/>
  <c r="F1056" i="2"/>
  <c r="D1056" i="2"/>
  <c r="R1055" i="2"/>
  <c r="L1055" i="2"/>
  <c r="F1055" i="2"/>
  <c r="D1055" i="2"/>
  <c r="R1054" i="2"/>
  <c r="L1054" i="2"/>
  <c r="F1054" i="2"/>
  <c r="D1054" i="2"/>
  <c r="R1053" i="2"/>
  <c r="L1053" i="2"/>
  <c r="F1053" i="2"/>
  <c r="D1053" i="2"/>
  <c r="R1052" i="2"/>
  <c r="L1052" i="2"/>
  <c r="F1052" i="2"/>
  <c r="D1052" i="2"/>
  <c r="R1051" i="2"/>
  <c r="L1051" i="2"/>
  <c r="F1051" i="2"/>
  <c r="D1051" i="2"/>
  <c r="R1050" i="2"/>
  <c r="L1050" i="2"/>
  <c r="F1050" i="2"/>
  <c r="D1050" i="2"/>
  <c r="R1049" i="2"/>
  <c r="L1049" i="2"/>
  <c r="F1049" i="2"/>
  <c r="D1049" i="2"/>
  <c r="R1048" i="2"/>
  <c r="L1048" i="2"/>
  <c r="F1048" i="2"/>
  <c r="D1048" i="2"/>
  <c r="R1047" i="2"/>
  <c r="L1047" i="2"/>
  <c r="F1047" i="2"/>
  <c r="D1047" i="2"/>
  <c r="R1046" i="2"/>
  <c r="L1046" i="2"/>
  <c r="F1046" i="2"/>
  <c r="D1046" i="2"/>
  <c r="R1045" i="2"/>
  <c r="L1045" i="2"/>
  <c r="F1045" i="2"/>
  <c r="D1045" i="2"/>
  <c r="R1044" i="2"/>
  <c r="L1044" i="2"/>
  <c r="F1044" i="2"/>
  <c r="D1044" i="2"/>
  <c r="R1043" i="2"/>
  <c r="L1043" i="2"/>
  <c r="F1043" i="2"/>
  <c r="D1043" i="2"/>
  <c r="R1042" i="2"/>
  <c r="L1042" i="2"/>
  <c r="F1042" i="2"/>
  <c r="D1042" i="2"/>
  <c r="R1041" i="2"/>
  <c r="L1041" i="2"/>
  <c r="F1041" i="2"/>
  <c r="D1041" i="2"/>
  <c r="R1040" i="2"/>
  <c r="L1040" i="2"/>
  <c r="F1040" i="2"/>
  <c r="D1040" i="2"/>
  <c r="R1039" i="2"/>
  <c r="L1039" i="2"/>
  <c r="F1039" i="2"/>
  <c r="D1039" i="2"/>
  <c r="R1038" i="2"/>
  <c r="L1038" i="2"/>
  <c r="F1038" i="2"/>
  <c r="D1038" i="2"/>
  <c r="R1037" i="2"/>
  <c r="L1037" i="2"/>
  <c r="F1037" i="2"/>
  <c r="D1037" i="2"/>
  <c r="R1036" i="2"/>
  <c r="L1036" i="2"/>
  <c r="F1036" i="2"/>
  <c r="D1036" i="2"/>
  <c r="R1035" i="2"/>
  <c r="L1035" i="2"/>
  <c r="F1035" i="2"/>
  <c r="D1035" i="2"/>
  <c r="R1034" i="2"/>
  <c r="L1034" i="2"/>
  <c r="F1034" i="2"/>
  <c r="D1034" i="2"/>
  <c r="R1033" i="2"/>
  <c r="L1033" i="2"/>
  <c r="F1033" i="2"/>
  <c r="D1033" i="2"/>
  <c r="R1032" i="2"/>
  <c r="L1032" i="2"/>
  <c r="F1032" i="2"/>
  <c r="D1032" i="2"/>
  <c r="R1031" i="2"/>
  <c r="L1031" i="2"/>
  <c r="F1031" i="2"/>
  <c r="D1031" i="2"/>
  <c r="R1030" i="2"/>
  <c r="L1030" i="2"/>
  <c r="F1030" i="2"/>
  <c r="D1030" i="2"/>
  <c r="R1029" i="2"/>
  <c r="L1029" i="2"/>
  <c r="F1029" i="2"/>
  <c r="D1029" i="2"/>
  <c r="R1028" i="2"/>
  <c r="L1028" i="2"/>
  <c r="F1028" i="2"/>
  <c r="D1028" i="2"/>
  <c r="R1027" i="2"/>
  <c r="L1027" i="2"/>
  <c r="F1027" i="2"/>
  <c r="D1027" i="2"/>
  <c r="R1026" i="2"/>
  <c r="L1026" i="2"/>
  <c r="F1026" i="2"/>
  <c r="D1026" i="2"/>
  <c r="R1025" i="2"/>
  <c r="L1025" i="2"/>
  <c r="F1025" i="2"/>
  <c r="D1025" i="2"/>
  <c r="R1024" i="2"/>
  <c r="L1024" i="2"/>
  <c r="F1024" i="2"/>
  <c r="D1024" i="2"/>
  <c r="R1023" i="2"/>
  <c r="L1023" i="2"/>
  <c r="F1023" i="2"/>
  <c r="D1023" i="2"/>
  <c r="R1022" i="2"/>
  <c r="L1022" i="2"/>
  <c r="F1022" i="2"/>
  <c r="D1022" i="2"/>
  <c r="R1021" i="2"/>
  <c r="L1021" i="2"/>
  <c r="F1021" i="2"/>
  <c r="D1021" i="2"/>
  <c r="R1020" i="2"/>
  <c r="L1020" i="2"/>
  <c r="F1020" i="2"/>
  <c r="D1020" i="2"/>
  <c r="R1019" i="2"/>
  <c r="L1019" i="2"/>
  <c r="F1019" i="2"/>
  <c r="D1019" i="2"/>
  <c r="R1018" i="2"/>
  <c r="L1018" i="2"/>
  <c r="F1018" i="2"/>
  <c r="D1018" i="2"/>
  <c r="R1017" i="2"/>
  <c r="L1017" i="2"/>
  <c r="F1017" i="2"/>
  <c r="D1017" i="2"/>
  <c r="R1016" i="2"/>
  <c r="L1016" i="2"/>
  <c r="F1016" i="2"/>
  <c r="D1016" i="2"/>
  <c r="R1015" i="2"/>
  <c r="L1015" i="2"/>
  <c r="F1015" i="2"/>
  <c r="D1015" i="2"/>
  <c r="R1014" i="2"/>
  <c r="L1014" i="2"/>
  <c r="F1014" i="2"/>
  <c r="D1014" i="2"/>
  <c r="R1013" i="2"/>
  <c r="L1013" i="2"/>
  <c r="F1013" i="2"/>
  <c r="D1013" i="2"/>
  <c r="R1012" i="2"/>
  <c r="L1012" i="2"/>
  <c r="F1012" i="2"/>
  <c r="D1012" i="2"/>
  <c r="R1011" i="2"/>
  <c r="L1011" i="2"/>
  <c r="F1011" i="2"/>
  <c r="D1011" i="2"/>
  <c r="R1010" i="2"/>
  <c r="L1010" i="2"/>
  <c r="F1010" i="2"/>
  <c r="D1010" i="2"/>
  <c r="R1009" i="2"/>
  <c r="L1009" i="2"/>
  <c r="F1009" i="2"/>
  <c r="D1009" i="2"/>
  <c r="R1008" i="2"/>
  <c r="L1008" i="2"/>
  <c r="F1008" i="2"/>
  <c r="D1008" i="2"/>
  <c r="R1007" i="2"/>
  <c r="L1007" i="2"/>
  <c r="F1007" i="2"/>
  <c r="D1007" i="2"/>
  <c r="R1006" i="2"/>
  <c r="L1006" i="2"/>
  <c r="F1006" i="2"/>
  <c r="D1006" i="2"/>
  <c r="R1005" i="2"/>
  <c r="L1005" i="2"/>
  <c r="F1005" i="2"/>
  <c r="D1005" i="2"/>
  <c r="R1004" i="2"/>
  <c r="L1004" i="2"/>
  <c r="F1004" i="2"/>
  <c r="D1004" i="2"/>
  <c r="R1003" i="2"/>
  <c r="L1003" i="2"/>
  <c r="F1003" i="2"/>
  <c r="D1003" i="2"/>
  <c r="R1002" i="2"/>
  <c r="L1002" i="2"/>
  <c r="F1002" i="2"/>
  <c r="D1002" i="2"/>
  <c r="R1001" i="2"/>
  <c r="L1001" i="2"/>
  <c r="F1001" i="2"/>
  <c r="D1001" i="2"/>
  <c r="R1000" i="2"/>
  <c r="L1000" i="2"/>
  <c r="F1000" i="2"/>
  <c r="D1000" i="2"/>
  <c r="R999" i="2"/>
  <c r="L999" i="2"/>
  <c r="F999" i="2"/>
  <c r="D999" i="2"/>
  <c r="R998" i="2"/>
  <c r="L998" i="2"/>
  <c r="F998" i="2"/>
  <c r="D998" i="2"/>
  <c r="R997" i="2"/>
  <c r="L997" i="2"/>
  <c r="F997" i="2"/>
  <c r="D997" i="2"/>
  <c r="R996" i="2"/>
  <c r="L996" i="2"/>
  <c r="F996" i="2"/>
  <c r="D996" i="2"/>
  <c r="R995" i="2"/>
  <c r="L995" i="2"/>
  <c r="F995" i="2"/>
  <c r="D995" i="2"/>
  <c r="R994" i="2"/>
  <c r="L994" i="2"/>
  <c r="F994" i="2"/>
  <c r="D994" i="2"/>
  <c r="R993" i="2"/>
  <c r="L993" i="2"/>
  <c r="F993" i="2"/>
  <c r="D993" i="2"/>
  <c r="R992" i="2"/>
  <c r="L992" i="2"/>
  <c r="F992" i="2"/>
  <c r="D992" i="2"/>
  <c r="R991" i="2"/>
  <c r="L991" i="2"/>
  <c r="F991" i="2"/>
  <c r="D991" i="2"/>
  <c r="R990" i="2"/>
  <c r="L990" i="2"/>
  <c r="F990" i="2"/>
  <c r="D990" i="2"/>
  <c r="R989" i="2"/>
  <c r="L989" i="2"/>
  <c r="F989" i="2"/>
  <c r="D989" i="2"/>
  <c r="R988" i="2"/>
  <c r="L988" i="2"/>
  <c r="F988" i="2"/>
  <c r="D988" i="2"/>
  <c r="R987" i="2"/>
  <c r="L987" i="2"/>
  <c r="F987" i="2"/>
  <c r="D987" i="2"/>
  <c r="R986" i="2"/>
  <c r="L986" i="2"/>
  <c r="F986" i="2"/>
  <c r="D986" i="2"/>
  <c r="R985" i="2"/>
  <c r="L985" i="2"/>
  <c r="F985" i="2"/>
  <c r="D985" i="2"/>
  <c r="R984" i="2"/>
  <c r="L984" i="2"/>
  <c r="F984" i="2"/>
  <c r="D984" i="2"/>
  <c r="R983" i="2"/>
  <c r="L983" i="2"/>
  <c r="F983" i="2"/>
  <c r="D983" i="2"/>
  <c r="R982" i="2"/>
  <c r="L982" i="2"/>
  <c r="F982" i="2"/>
  <c r="D982" i="2"/>
  <c r="R981" i="2"/>
  <c r="L981" i="2"/>
  <c r="F981" i="2"/>
  <c r="D981" i="2"/>
  <c r="R980" i="2"/>
  <c r="L980" i="2"/>
  <c r="F980" i="2"/>
  <c r="D980" i="2"/>
  <c r="R979" i="2"/>
  <c r="L979" i="2"/>
  <c r="F979" i="2"/>
  <c r="D979" i="2"/>
  <c r="R978" i="2"/>
  <c r="L978" i="2"/>
  <c r="F978" i="2"/>
  <c r="D978" i="2"/>
  <c r="R977" i="2"/>
  <c r="L977" i="2"/>
  <c r="F977" i="2"/>
  <c r="D977" i="2"/>
  <c r="R976" i="2"/>
  <c r="L976" i="2"/>
  <c r="F976" i="2"/>
  <c r="D976" i="2"/>
  <c r="R975" i="2"/>
  <c r="L975" i="2"/>
  <c r="F975" i="2"/>
  <c r="D975" i="2"/>
  <c r="R974" i="2"/>
  <c r="L974" i="2"/>
  <c r="F974" i="2"/>
  <c r="D974" i="2"/>
  <c r="R973" i="2"/>
  <c r="L973" i="2"/>
  <c r="F973" i="2"/>
  <c r="D973" i="2"/>
  <c r="R972" i="2"/>
  <c r="L972" i="2"/>
  <c r="F972" i="2"/>
  <c r="D972" i="2"/>
  <c r="R971" i="2"/>
  <c r="L971" i="2"/>
  <c r="F971" i="2"/>
  <c r="D971" i="2"/>
  <c r="R970" i="2"/>
  <c r="L970" i="2"/>
  <c r="F970" i="2"/>
  <c r="D970" i="2"/>
  <c r="R969" i="2"/>
  <c r="L969" i="2"/>
  <c r="F969" i="2"/>
  <c r="D969" i="2"/>
  <c r="R968" i="2"/>
  <c r="L968" i="2"/>
  <c r="F968" i="2"/>
  <c r="D968" i="2"/>
  <c r="R967" i="2"/>
  <c r="L967" i="2"/>
  <c r="F967" i="2"/>
  <c r="D967" i="2"/>
  <c r="R966" i="2"/>
  <c r="L966" i="2"/>
  <c r="F966" i="2"/>
  <c r="D966" i="2"/>
  <c r="R965" i="2"/>
  <c r="L965" i="2"/>
  <c r="F965" i="2"/>
  <c r="D965" i="2"/>
  <c r="R964" i="2"/>
  <c r="L964" i="2"/>
  <c r="F964" i="2"/>
  <c r="D964" i="2"/>
  <c r="R963" i="2"/>
  <c r="L963" i="2"/>
  <c r="F963" i="2"/>
  <c r="D963" i="2"/>
  <c r="R962" i="2"/>
  <c r="L962" i="2"/>
  <c r="F962" i="2"/>
  <c r="D962" i="2"/>
  <c r="R961" i="2"/>
  <c r="L961" i="2"/>
  <c r="F961" i="2"/>
  <c r="D961" i="2"/>
  <c r="R960" i="2"/>
  <c r="L960" i="2"/>
  <c r="F960" i="2"/>
  <c r="D960" i="2"/>
  <c r="R959" i="2"/>
  <c r="L959" i="2"/>
  <c r="F959" i="2"/>
  <c r="D959" i="2"/>
  <c r="R958" i="2"/>
  <c r="L958" i="2"/>
  <c r="F958" i="2"/>
  <c r="D958" i="2"/>
  <c r="R957" i="2"/>
  <c r="L957" i="2"/>
  <c r="F957" i="2"/>
  <c r="D957" i="2"/>
  <c r="R956" i="2"/>
  <c r="L956" i="2"/>
  <c r="F956" i="2"/>
  <c r="D956" i="2"/>
  <c r="R955" i="2"/>
  <c r="L955" i="2"/>
  <c r="F955" i="2"/>
  <c r="D955" i="2"/>
  <c r="R954" i="2"/>
  <c r="L954" i="2"/>
  <c r="F954" i="2"/>
  <c r="D954" i="2"/>
  <c r="R953" i="2"/>
  <c r="L953" i="2"/>
  <c r="F953" i="2"/>
  <c r="D953" i="2"/>
  <c r="R952" i="2"/>
  <c r="L952" i="2"/>
  <c r="F952" i="2"/>
  <c r="D952" i="2"/>
  <c r="R951" i="2"/>
  <c r="L951" i="2"/>
  <c r="F951" i="2"/>
  <c r="D951" i="2"/>
  <c r="R950" i="2"/>
  <c r="L950" i="2"/>
  <c r="F950" i="2"/>
  <c r="D950" i="2"/>
  <c r="R949" i="2"/>
  <c r="L949" i="2"/>
  <c r="F949" i="2"/>
  <c r="D949" i="2"/>
  <c r="R948" i="2"/>
  <c r="L948" i="2"/>
  <c r="F948" i="2"/>
  <c r="D948" i="2"/>
  <c r="R947" i="2"/>
  <c r="L947" i="2"/>
  <c r="F947" i="2"/>
  <c r="D947" i="2"/>
  <c r="R946" i="2"/>
  <c r="L946" i="2"/>
  <c r="F946" i="2"/>
  <c r="D946" i="2"/>
  <c r="R945" i="2"/>
  <c r="L945" i="2"/>
  <c r="F945" i="2"/>
  <c r="D945" i="2"/>
  <c r="R944" i="2"/>
  <c r="L944" i="2"/>
  <c r="F944" i="2"/>
  <c r="D944" i="2"/>
  <c r="R943" i="2"/>
  <c r="L943" i="2"/>
  <c r="F943" i="2"/>
  <c r="D943" i="2"/>
  <c r="R942" i="2"/>
  <c r="L942" i="2"/>
  <c r="F942" i="2"/>
  <c r="D942" i="2"/>
  <c r="R941" i="2"/>
  <c r="L941" i="2"/>
  <c r="F941" i="2"/>
  <c r="D941" i="2"/>
  <c r="R940" i="2"/>
  <c r="L940" i="2"/>
  <c r="F940" i="2"/>
  <c r="D940" i="2"/>
  <c r="R939" i="2"/>
  <c r="L939" i="2"/>
  <c r="F939" i="2"/>
  <c r="D939" i="2"/>
  <c r="R938" i="2"/>
  <c r="L938" i="2"/>
  <c r="F938" i="2"/>
  <c r="D938" i="2"/>
  <c r="R937" i="2"/>
  <c r="L937" i="2"/>
  <c r="F937" i="2"/>
  <c r="D937" i="2"/>
  <c r="R936" i="2"/>
  <c r="L936" i="2"/>
  <c r="F936" i="2"/>
  <c r="D936" i="2"/>
  <c r="R935" i="2"/>
  <c r="L935" i="2"/>
  <c r="F935" i="2"/>
  <c r="D935" i="2"/>
  <c r="R934" i="2"/>
  <c r="L934" i="2"/>
  <c r="F934" i="2"/>
  <c r="D934" i="2"/>
  <c r="R933" i="2"/>
  <c r="L933" i="2"/>
  <c r="F933" i="2"/>
  <c r="D933" i="2"/>
  <c r="R932" i="2"/>
  <c r="L932" i="2"/>
  <c r="F932" i="2"/>
  <c r="D932" i="2"/>
  <c r="R931" i="2"/>
  <c r="L931" i="2"/>
  <c r="F931" i="2"/>
  <c r="D931" i="2"/>
  <c r="R930" i="2"/>
  <c r="L930" i="2"/>
  <c r="F930" i="2"/>
  <c r="D930" i="2"/>
  <c r="R929" i="2"/>
  <c r="L929" i="2"/>
  <c r="F929" i="2"/>
  <c r="D929" i="2"/>
  <c r="R928" i="2"/>
  <c r="L928" i="2"/>
  <c r="F928" i="2"/>
  <c r="D928" i="2"/>
  <c r="R927" i="2"/>
  <c r="L927" i="2"/>
  <c r="F927" i="2"/>
  <c r="D927" i="2"/>
  <c r="R926" i="2"/>
  <c r="L926" i="2"/>
  <c r="F926" i="2"/>
  <c r="D926" i="2"/>
  <c r="R925" i="2"/>
  <c r="L925" i="2"/>
  <c r="F925" i="2"/>
  <c r="D925" i="2"/>
  <c r="R924" i="2"/>
  <c r="L924" i="2"/>
  <c r="F924" i="2"/>
  <c r="D924" i="2"/>
  <c r="R923" i="2"/>
  <c r="L923" i="2"/>
  <c r="F923" i="2"/>
  <c r="D923" i="2"/>
  <c r="R922" i="2"/>
  <c r="L922" i="2"/>
  <c r="F922" i="2"/>
  <c r="D922" i="2"/>
  <c r="R921" i="2"/>
  <c r="L921" i="2"/>
  <c r="F921" i="2"/>
  <c r="D921" i="2"/>
  <c r="R920" i="2"/>
  <c r="L920" i="2"/>
  <c r="F920" i="2"/>
  <c r="D920" i="2"/>
  <c r="R919" i="2"/>
  <c r="L919" i="2"/>
  <c r="F919" i="2"/>
  <c r="D919" i="2"/>
  <c r="R918" i="2"/>
  <c r="L918" i="2"/>
  <c r="F918" i="2"/>
  <c r="D918" i="2"/>
  <c r="R917" i="2"/>
  <c r="L917" i="2"/>
  <c r="F917" i="2"/>
  <c r="D917" i="2"/>
  <c r="R916" i="2"/>
  <c r="L916" i="2"/>
  <c r="F916" i="2"/>
  <c r="D916" i="2"/>
  <c r="R915" i="2"/>
  <c r="L915" i="2"/>
  <c r="F915" i="2"/>
  <c r="D915" i="2"/>
  <c r="R914" i="2"/>
  <c r="L914" i="2"/>
  <c r="F914" i="2"/>
  <c r="D914" i="2"/>
  <c r="R913" i="2"/>
  <c r="L913" i="2"/>
  <c r="F913" i="2"/>
  <c r="D913" i="2"/>
  <c r="R912" i="2"/>
  <c r="L912" i="2"/>
  <c r="F912" i="2"/>
  <c r="D912" i="2"/>
  <c r="R911" i="2"/>
  <c r="L911" i="2"/>
  <c r="F911" i="2"/>
  <c r="D911" i="2"/>
  <c r="R910" i="2"/>
  <c r="L910" i="2"/>
  <c r="F910" i="2"/>
  <c r="D910" i="2"/>
  <c r="R909" i="2"/>
  <c r="L909" i="2"/>
  <c r="F909" i="2"/>
  <c r="D909" i="2"/>
  <c r="R908" i="2"/>
  <c r="L908" i="2"/>
  <c r="F908" i="2"/>
  <c r="D908" i="2"/>
  <c r="R907" i="2"/>
  <c r="L907" i="2"/>
  <c r="F907" i="2"/>
  <c r="D907" i="2"/>
  <c r="R906" i="2"/>
  <c r="L906" i="2"/>
  <c r="F906" i="2"/>
  <c r="D906" i="2"/>
  <c r="R905" i="2"/>
  <c r="L905" i="2"/>
  <c r="F905" i="2"/>
  <c r="D905" i="2"/>
  <c r="R904" i="2"/>
  <c r="L904" i="2"/>
  <c r="F904" i="2"/>
  <c r="D904" i="2"/>
  <c r="R903" i="2"/>
  <c r="L903" i="2"/>
  <c r="F903" i="2"/>
  <c r="D903" i="2"/>
  <c r="R902" i="2"/>
  <c r="L902" i="2"/>
  <c r="F902" i="2"/>
  <c r="D902" i="2"/>
  <c r="R901" i="2"/>
  <c r="L901" i="2"/>
  <c r="F901" i="2"/>
  <c r="D901" i="2"/>
  <c r="R900" i="2"/>
  <c r="L900" i="2"/>
  <c r="F900" i="2"/>
  <c r="D900" i="2"/>
  <c r="R899" i="2"/>
  <c r="L899" i="2"/>
  <c r="F899" i="2"/>
  <c r="D899" i="2"/>
  <c r="R898" i="2"/>
  <c r="L898" i="2"/>
  <c r="F898" i="2"/>
  <c r="D898" i="2"/>
  <c r="R897" i="2"/>
  <c r="L897" i="2"/>
  <c r="F897" i="2"/>
  <c r="D897" i="2"/>
  <c r="R896" i="2"/>
  <c r="L896" i="2"/>
  <c r="F896" i="2"/>
  <c r="D896" i="2"/>
  <c r="R895" i="2"/>
  <c r="L895" i="2"/>
  <c r="F895" i="2"/>
  <c r="D895" i="2"/>
  <c r="R894" i="2"/>
  <c r="L894" i="2"/>
  <c r="F894" i="2"/>
  <c r="D894" i="2"/>
  <c r="R893" i="2"/>
  <c r="L893" i="2"/>
  <c r="F893" i="2"/>
  <c r="D893" i="2"/>
  <c r="R892" i="2"/>
  <c r="L892" i="2"/>
  <c r="F892" i="2"/>
  <c r="D892" i="2"/>
  <c r="R891" i="2"/>
  <c r="L891" i="2"/>
  <c r="F891" i="2"/>
  <c r="D891" i="2"/>
  <c r="R890" i="2"/>
  <c r="L890" i="2"/>
  <c r="F890" i="2"/>
  <c r="D890" i="2"/>
  <c r="R889" i="2"/>
  <c r="L889" i="2"/>
  <c r="F889" i="2"/>
  <c r="D889" i="2"/>
  <c r="R888" i="2"/>
  <c r="L888" i="2"/>
  <c r="F888" i="2"/>
  <c r="D888" i="2"/>
  <c r="R887" i="2"/>
  <c r="L887" i="2"/>
  <c r="F887" i="2"/>
  <c r="D887" i="2"/>
  <c r="R886" i="2"/>
  <c r="L886" i="2"/>
  <c r="F886" i="2"/>
  <c r="D886" i="2"/>
  <c r="R885" i="2"/>
  <c r="L885" i="2"/>
  <c r="F885" i="2"/>
  <c r="D885" i="2"/>
  <c r="R884" i="2"/>
  <c r="L884" i="2"/>
  <c r="F884" i="2"/>
  <c r="D884" i="2"/>
  <c r="R883" i="2"/>
  <c r="L883" i="2"/>
  <c r="F883" i="2"/>
  <c r="D883" i="2"/>
  <c r="R882" i="2"/>
  <c r="L882" i="2"/>
  <c r="F882" i="2"/>
  <c r="D882" i="2"/>
  <c r="R881" i="2"/>
  <c r="L881" i="2"/>
  <c r="F881" i="2"/>
  <c r="D881" i="2"/>
  <c r="R880" i="2"/>
  <c r="L880" i="2"/>
  <c r="F880" i="2"/>
  <c r="D880" i="2"/>
  <c r="R879" i="2"/>
  <c r="L879" i="2"/>
  <c r="F879" i="2"/>
  <c r="D879" i="2"/>
  <c r="R878" i="2"/>
  <c r="L878" i="2"/>
  <c r="F878" i="2"/>
  <c r="D878" i="2"/>
  <c r="R877" i="2"/>
  <c r="L877" i="2"/>
  <c r="F877" i="2"/>
  <c r="D877" i="2"/>
  <c r="R876" i="2"/>
  <c r="L876" i="2"/>
  <c r="F876" i="2"/>
  <c r="D876" i="2"/>
  <c r="R875" i="2"/>
  <c r="L875" i="2"/>
  <c r="F875" i="2"/>
  <c r="D875" i="2"/>
  <c r="R874" i="2"/>
  <c r="L874" i="2"/>
  <c r="F874" i="2"/>
  <c r="D874" i="2"/>
  <c r="R873" i="2"/>
  <c r="L873" i="2"/>
  <c r="F873" i="2"/>
  <c r="D873" i="2"/>
  <c r="R872" i="2"/>
  <c r="L872" i="2"/>
  <c r="F872" i="2"/>
  <c r="D872" i="2"/>
  <c r="R871" i="2"/>
  <c r="L871" i="2"/>
  <c r="F871" i="2"/>
  <c r="D871" i="2"/>
  <c r="R870" i="2"/>
  <c r="L870" i="2"/>
  <c r="F870" i="2"/>
  <c r="D870" i="2"/>
  <c r="R869" i="2"/>
  <c r="L869" i="2"/>
  <c r="F869" i="2"/>
  <c r="D869" i="2"/>
  <c r="R868" i="2"/>
  <c r="L868" i="2"/>
  <c r="F868" i="2"/>
  <c r="D868" i="2"/>
  <c r="R867" i="2"/>
  <c r="L867" i="2"/>
  <c r="F867" i="2"/>
  <c r="D867" i="2"/>
  <c r="R866" i="2"/>
  <c r="L866" i="2"/>
  <c r="F866" i="2"/>
  <c r="D866" i="2"/>
  <c r="R865" i="2"/>
  <c r="L865" i="2"/>
  <c r="F865" i="2"/>
  <c r="D865" i="2"/>
  <c r="R864" i="2"/>
  <c r="L864" i="2"/>
  <c r="F864" i="2"/>
  <c r="D864" i="2"/>
  <c r="R863" i="2"/>
  <c r="L863" i="2"/>
  <c r="F863" i="2"/>
  <c r="D863" i="2"/>
  <c r="R862" i="2"/>
  <c r="L862" i="2"/>
  <c r="F862" i="2"/>
  <c r="D862" i="2"/>
  <c r="R861" i="2"/>
  <c r="L861" i="2"/>
  <c r="F861" i="2"/>
  <c r="D861" i="2"/>
  <c r="R860" i="2"/>
  <c r="L860" i="2"/>
  <c r="F860" i="2"/>
  <c r="D860" i="2"/>
  <c r="R859" i="2"/>
  <c r="L859" i="2"/>
  <c r="F859" i="2"/>
  <c r="D859" i="2"/>
  <c r="R858" i="2"/>
  <c r="L858" i="2"/>
  <c r="F858" i="2"/>
  <c r="D858" i="2"/>
  <c r="R857" i="2"/>
  <c r="L857" i="2"/>
  <c r="F857" i="2"/>
  <c r="D857" i="2"/>
  <c r="R856" i="2"/>
  <c r="L856" i="2"/>
  <c r="F856" i="2"/>
  <c r="D856" i="2"/>
  <c r="R855" i="2"/>
  <c r="L855" i="2"/>
  <c r="F855" i="2"/>
  <c r="D855" i="2"/>
  <c r="R854" i="2"/>
  <c r="L854" i="2"/>
  <c r="F854" i="2"/>
  <c r="D854" i="2"/>
  <c r="R853" i="2"/>
  <c r="L853" i="2"/>
  <c r="F853" i="2"/>
  <c r="D853" i="2"/>
  <c r="R852" i="2"/>
  <c r="L852" i="2"/>
  <c r="F852" i="2"/>
  <c r="D852" i="2"/>
  <c r="R851" i="2"/>
  <c r="L851" i="2"/>
  <c r="F851" i="2"/>
  <c r="D851" i="2"/>
  <c r="R850" i="2"/>
  <c r="L850" i="2"/>
  <c r="F850" i="2"/>
  <c r="D850" i="2"/>
  <c r="R849" i="2"/>
  <c r="L849" i="2"/>
  <c r="F849" i="2"/>
  <c r="D849" i="2"/>
  <c r="R848" i="2"/>
  <c r="L848" i="2"/>
  <c r="F848" i="2"/>
  <c r="D848" i="2"/>
  <c r="R847" i="2"/>
  <c r="L847" i="2"/>
  <c r="F847" i="2"/>
  <c r="D847" i="2"/>
  <c r="R846" i="2"/>
  <c r="L846" i="2"/>
  <c r="F846" i="2"/>
  <c r="D846" i="2"/>
  <c r="R845" i="2"/>
  <c r="L845" i="2"/>
  <c r="F845" i="2"/>
  <c r="D845" i="2"/>
  <c r="R844" i="2"/>
  <c r="L844" i="2"/>
  <c r="F844" i="2"/>
  <c r="D844" i="2"/>
  <c r="R843" i="2"/>
  <c r="L843" i="2"/>
  <c r="F843" i="2"/>
  <c r="D843" i="2"/>
  <c r="R842" i="2"/>
  <c r="L842" i="2"/>
  <c r="F842" i="2"/>
  <c r="D842" i="2"/>
  <c r="R841" i="2"/>
  <c r="L841" i="2"/>
  <c r="F841" i="2"/>
  <c r="D841" i="2"/>
  <c r="R840" i="2"/>
  <c r="L840" i="2"/>
  <c r="F840" i="2"/>
  <c r="D840" i="2"/>
  <c r="R839" i="2"/>
  <c r="L839" i="2"/>
  <c r="F839" i="2"/>
  <c r="D839" i="2"/>
  <c r="R838" i="2"/>
  <c r="L838" i="2"/>
  <c r="F838" i="2"/>
  <c r="D838" i="2"/>
  <c r="R837" i="2"/>
  <c r="L837" i="2"/>
  <c r="F837" i="2"/>
  <c r="D837" i="2"/>
  <c r="R836" i="2"/>
  <c r="L836" i="2"/>
  <c r="F836" i="2"/>
  <c r="D836" i="2"/>
  <c r="R835" i="2"/>
  <c r="L835" i="2"/>
  <c r="F835" i="2"/>
  <c r="D835" i="2"/>
  <c r="R834" i="2"/>
  <c r="L834" i="2"/>
  <c r="F834" i="2"/>
  <c r="D834" i="2"/>
  <c r="R833" i="2"/>
  <c r="L833" i="2"/>
  <c r="F833" i="2"/>
  <c r="D833" i="2"/>
  <c r="R832" i="2"/>
  <c r="L832" i="2"/>
  <c r="F832" i="2"/>
  <c r="D832" i="2"/>
  <c r="R831" i="2"/>
  <c r="L831" i="2"/>
  <c r="F831" i="2"/>
  <c r="D831" i="2"/>
  <c r="R830" i="2"/>
  <c r="L830" i="2"/>
  <c r="F830" i="2"/>
  <c r="D830" i="2"/>
  <c r="R829" i="2"/>
  <c r="L829" i="2"/>
  <c r="F829" i="2"/>
  <c r="D829" i="2"/>
  <c r="R828" i="2"/>
  <c r="L828" i="2"/>
  <c r="F828" i="2"/>
  <c r="D828" i="2"/>
  <c r="R827" i="2"/>
  <c r="L827" i="2"/>
  <c r="F827" i="2"/>
  <c r="D827" i="2"/>
  <c r="R826" i="2"/>
  <c r="L826" i="2"/>
  <c r="F826" i="2"/>
  <c r="D826" i="2"/>
  <c r="R825" i="2"/>
  <c r="L825" i="2"/>
  <c r="F825" i="2"/>
  <c r="D825" i="2"/>
  <c r="R824" i="2"/>
  <c r="L824" i="2"/>
  <c r="F824" i="2"/>
  <c r="D824" i="2"/>
  <c r="R823" i="2"/>
  <c r="L823" i="2"/>
  <c r="F823" i="2"/>
  <c r="D823" i="2"/>
  <c r="R822" i="2"/>
  <c r="L822" i="2"/>
  <c r="F822" i="2"/>
  <c r="D822" i="2"/>
  <c r="R821" i="2"/>
  <c r="L821" i="2"/>
  <c r="F821" i="2"/>
  <c r="D821" i="2"/>
  <c r="R820" i="2"/>
  <c r="L820" i="2"/>
  <c r="F820" i="2"/>
  <c r="D820" i="2"/>
  <c r="R819" i="2"/>
  <c r="L819" i="2"/>
  <c r="F819" i="2"/>
  <c r="D819" i="2"/>
  <c r="R818" i="2"/>
  <c r="L818" i="2"/>
  <c r="F818" i="2"/>
  <c r="D818" i="2"/>
  <c r="R817" i="2"/>
  <c r="L817" i="2"/>
  <c r="F817" i="2"/>
  <c r="D817" i="2"/>
  <c r="R816" i="2"/>
  <c r="L816" i="2"/>
  <c r="F816" i="2"/>
  <c r="D816" i="2"/>
  <c r="R815" i="2"/>
  <c r="L815" i="2"/>
  <c r="F815" i="2"/>
  <c r="D815" i="2"/>
  <c r="R814" i="2"/>
  <c r="L814" i="2"/>
  <c r="F814" i="2"/>
  <c r="D814" i="2"/>
  <c r="R813" i="2"/>
  <c r="L813" i="2"/>
  <c r="F813" i="2"/>
  <c r="D813" i="2"/>
  <c r="R812" i="2"/>
  <c r="L812" i="2"/>
  <c r="F812" i="2"/>
  <c r="D812" i="2"/>
  <c r="R811" i="2"/>
  <c r="L811" i="2"/>
  <c r="F811" i="2"/>
  <c r="D811" i="2"/>
  <c r="R810" i="2"/>
  <c r="L810" i="2"/>
  <c r="F810" i="2"/>
  <c r="D810" i="2"/>
  <c r="R809" i="2"/>
  <c r="L809" i="2"/>
  <c r="F809" i="2"/>
  <c r="D809" i="2"/>
  <c r="R808" i="2"/>
  <c r="L808" i="2"/>
  <c r="F808" i="2"/>
  <c r="D808" i="2"/>
  <c r="R807" i="2"/>
  <c r="L807" i="2"/>
  <c r="F807" i="2"/>
  <c r="D807" i="2"/>
  <c r="R806" i="2"/>
  <c r="L806" i="2"/>
  <c r="F806" i="2"/>
  <c r="D806" i="2"/>
  <c r="R805" i="2"/>
  <c r="L805" i="2"/>
  <c r="F805" i="2"/>
  <c r="D805" i="2"/>
  <c r="R804" i="2"/>
  <c r="L804" i="2"/>
  <c r="F804" i="2"/>
  <c r="D804" i="2"/>
  <c r="R803" i="2"/>
  <c r="L803" i="2"/>
  <c r="F803" i="2"/>
  <c r="D803" i="2"/>
  <c r="R802" i="2"/>
  <c r="L802" i="2"/>
  <c r="F802" i="2"/>
  <c r="D802" i="2"/>
  <c r="R801" i="2"/>
  <c r="L801" i="2"/>
  <c r="F801" i="2"/>
  <c r="D801" i="2"/>
  <c r="R800" i="2"/>
  <c r="L800" i="2"/>
  <c r="F800" i="2"/>
  <c r="D800" i="2"/>
  <c r="R799" i="2"/>
  <c r="L799" i="2"/>
  <c r="F799" i="2"/>
  <c r="D799" i="2"/>
  <c r="R798" i="2"/>
  <c r="L798" i="2"/>
  <c r="F798" i="2"/>
  <c r="D798" i="2"/>
  <c r="R797" i="2"/>
  <c r="L797" i="2"/>
  <c r="F797" i="2"/>
  <c r="D797" i="2"/>
  <c r="R796" i="2"/>
  <c r="L796" i="2"/>
  <c r="F796" i="2"/>
  <c r="D796" i="2"/>
  <c r="R795" i="2"/>
  <c r="L795" i="2"/>
  <c r="F795" i="2"/>
  <c r="D795" i="2"/>
  <c r="R794" i="2"/>
  <c r="L794" i="2"/>
  <c r="F794" i="2"/>
  <c r="D794" i="2"/>
  <c r="R793" i="2"/>
  <c r="L793" i="2"/>
  <c r="F793" i="2"/>
  <c r="D793" i="2"/>
  <c r="R792" i="2"/>
  <c r="L792" i="2"/>
  <c r="F792" i="2"/>
  <c r="D792" i="2"/>
  <c r="R791" i="2"/>
  <c r="L791" i="2"/>
  <c r="F791" i="2"/>
  <c r="D791" i="2"/>
  <c r="R790" i="2"/>
  <c r="L790" i="2"/>
  <c r="F790" i="2"/>
  <c r="D790" i="2"/>
  <c r="R789" i="2"/>
  <c r="L789" i="2"/>
  <c r="F789" i="2"/>
  <c r="D789" i="2"/>
  <c r="R788" i="2"/>
  <c r="L788" i="2"/>
  <c r="F788" i="2"/>
  <c r="D788" i="2"/>
  <c r="R787" i="2"/>
  <c r="L787" i="2"/>
  <c r="F787" i="2"/>
  <c r="D787" i="2"/>
  <c r="R786" i="2"/>
  <c r="L786" i="2"/>
  <c r="F786" i="2"/>
  <c r="D786" i="2"/>
  <c r="R785" i="2"/>
  <c r="L785" i="2"/>
  <c r="F785" i="2"/>
  <c r="D785" i="2"/>
  <c r="R784" i="2"/>
  <c r="L784" i="2"/>
  <c r="F784" i="2"/>
  <c r="D784" i="2"/>
  <c r="R783" i="2"/>
  <c r="L783" i="2"/>
  <c r="F783" i="2"/>
  <c r="D783" i="2"/>
  <c r="R782" i="2"/>
  <c r="L782" i="2"/>
  <c r="F782" i="2"/>
  <c r="D782" i="2"/>
  <c r="R781" i="2"/>
  <c r="L781" i="2"/>
  <c r="F781" i="2"/>
  <c r="D781" i="2"/>
  <c r="R780" i="2"/>
  <c r="L780" i="2"/>
  <c r="F780" i="2"/>
  <c r="D780" i="2"/>
  <c r="R779" i="2"/>
  <c r="L779" i="2"/>
  <c r="F779" i="2"/>
  <c r="D779" i="2"/>
  <c r="R778" i="2"/>
  <c r="L778" i="2"/>
  <c r="F778" i="2"/>
  <c r="D778" i="2"/>
  <c r="R777" i="2"/>
  <c r="L777" i="2"/>
  <c r="F777" i="2"/>
  <c r="D777" i="2"/>
  <c r="R776" i="2"/>
  <c r="L776" i="2"/>
  <c r="F776" i="2"/>
  <c r="D776" i="2"/>
  <c r="R775" i="2"/>
  <c r="L775" i="2"/>
  <c r="F775" i="2"/>
  <c r="D775" i="2"/>
  <c r="R774" i="2"/>
  <c r="L774" i="2"/>
  <c r="F774" i="2"/>
  <c r="D774" i="2"/>
  <c r="R773" i="2"/>
  <c r="L773" i="2"/>
  <c r="F773" i="2"/>
  <c r="D773" i="2"/>
  <c r="R772" i="2"/>
  <c r="L772" i="2"/>
  <c r="F772" i="2"/>
  <c r="D772" i="2"/>
  <c r="R771" i="2"/>
  <c r="L771" i="2"/>
  <c r="F771" i="2"/>
  <c r="D771" i="2"/>
  <c r="R770" i="2"/>
  <c r="L770" i="2"/>
  <c r="F770" i="2"/>
  <c r="D770" i="2"/>
  <c r="R769" i="2"/>
  <c r="L769" i="2"/>
  <c r="F769" i="2"/>
  <c r="D769" i="2"/>
  <c r="R768" i="2"/>
  <c r="L768" i="2"/>
  <c r="F768" i="2"/>
  <c r="D768" i="2"/>
  <c r="R767" i="2"/>
  <c r="L767" i="2"/>
  <c r="F767" i="2"/>
  <c r="D767" i="2"/>
  <c r="R766" i="2"/>
  <c r="L766" i="2"/>
  <c r="F766" i="2"/>
  <c r="D766" i="2"/>
  <c r="R765" i="2"/>
  <c r="L765" i="2"/>
  <c r="F765" i="2"/>
  <c r="D765" i="2"/>
  <c r="R764" i="2"/>
  <c r="L764" i="2"/>
  <c r="F764" i="2"/>
  <c r="D764" i="2"/>
  <c r="R763" i="2"/>
  <c r="L763" i="2"/>
  <c r="F763" i="2"/>
  <c r="D763" i="2"/>
  <c r="R762" i="2"/>
  <c r="L762" i="2"/>
  <c r="F762" i="2"/>
  <c r="D762" i="2"/>
  <c r="R761" i="2"/>
  <c r="L761" i="2"/>
  <c r="F761" i="2"/>
  <c r="D761" i="2"/>
  <c r="R760" i="2"/>
  <c r="L760" i="2"/>
  <c r="F760" i="2"/>
  <c r="D760" i="2"/>
  <c r="R759" i="2"/>
  <c r="L759" i="2"/>
  <c r="F759" i="2"/>
  <c r="D759" i="2"/>
  <c r="R758" i="2"/>
  <c r="L758" i="2"/>
  <c r="F758" i="2"/>
  <c r="D758" i="2"/>
  <c r="R757" i="2"/>
  <c r="L757" i="2"/>
  <c r="F757" i="2"/>
  <c r="D757" i="2"/>
  <c r="R756" i="2"/>
  <c r="L756" i="2"/>
  <c r="F756" i="2"/>
  <c r="D756" i="2"/>
  <c r="R755" i="2"/>
  <c r="L755" i="2"/>
  <c r="F755" i="2"/>
  <c r="D755" i="2"/>
  <c r="R754" i="2"/>
  <c r="L754" i="2"/>
  <c r="F754" i="2"/>
  <c r="D754" i="2"/>
  <c r="R753" i="2"/>
  <c r="L753" i="2"/>
  <c r="F753" i="2"/>
  <c r="D753" i="2"/>
  <c r="R752" i="2"/>
  <c r="L752" i="2"/>
  <c r="F752" i="2"/>
  <c r="D752" i="2"/>
  <c r="R751" i="2"/>
  <c r="L751" i="2"/>
  <c r="F751" i="2"/>
  <c r="D751" i="2"/>
  <c r="R750" i="2"/>
  <c r="L750" i="2"/>
  <c r="F750" i="2"/>
  <c r="D750" i="2"/>
  <c r="R749" i="2"/>
  <c r="L749" i="2"/>
  <c r="F749" i="2"/>
  <c r="D749" i="2"/>
  <c r="R748" i="2"/>
  <c r="L748" i="2"/>
  <c r="F748" i="2"/>
  <c r="D748" i="2"/>
  <c r="R747" i="2"/>
  <c r="L747" i="2"/>
  <c r="F747" i="2"/>
  <c r="D747" i="2"/>
  <c r="R746" i="2"/>
  <c r="L746" i="2"/>
  <c r="F746" i="2"/>
  <c r="D746" i="2"/>
  <c r="R745" i="2"/>
  <c r="L745" i="2"/>
  <c r="F745" i="2"/>
  <c r="D745" i="2"/>
  <c r="R744" i="2"/>
  <c r="L744" i="2"/>
  <c r="F744" i="2"/>
  <c r="D744" i="2"/>
  <c r="R743" i="2"/>
  <c r="L743" i="2"/>
  <c r="F743" i="2"/>
  <c r="D743" i="2"/>
  <c r="R742" i="2"/>
  <c r="L742" i="2"/>
  <c r="F742" i="2"/>
  <c r="D742" i="2"/>
  <c r="R741" i="2"/>
  <c r="L741" i="2"/>
  <c r="F741" i="2"/>
  <c r="D741" i="2"/>
  <c r="R740" i="2"/>
  <c r="L740" i="2"/>
  <c r="F740" i="2"/>
  <c r="D740" i="2"/>
  <c r="R739" i="2"/>
  <c r="L739" i="2"/>
  <c r="F739" i="2"/>
  <c r="D739" i="2"/>
  <c r="R738" i="2"/>
  <c r="L738" i="2"/>
  <c r="F738" i="2"/>
  <c r="D738" i="2"/>
  <c r="R737" i="2"/>
  <c r="L737" i="2"/>
  <c r="F737" i="2"/>
  <c r="D737" i="2"/>
  <c r="R736" i="2"/>
  <c r="L736" i="2"/>
  <c r="F736" i="2"/>
  <c r="D736" i="2"/>
  <c r="R735" i="2"/>
  <c r="L735" i="2"/>
  <c r="F735" i="2"/>
  <c r="D735" i="2"/>
  <c r="R734" i="2"/>
  <c r="L734" i="2"/>
  <c r="F734" i="2"/>
  <c r="D734" i="2"/>
  <c r="R733" i="2"/>
  <c r="L733" i="2"/>
  <c r="F733" i="2"/>
  <c r="D733" i="2"/>
  <c r="R732" i="2"/>
  <c r="L732" i="2"/>
  <c r="F732" i="2"/>
  <c r="D732" i="2"/>
  <c r="R731" i="2"/>
  <c r="L731" i="2"/>
  <c r="F731" i="2"/>
  <c r="D731" i="2"/>
  <c r="R730" i="2"/>
  <c r="L730" i="2"/>
  <c r="F730" i="2"/>
  <c r="D730" i="2"/>
  <c r="R729" i="2"/>
  <c r="L729" i="2"/>
  <c r="F729" i="2"/>
  <c r="D729" i="2"/>
  <c r="R728" i="2"/>
  <c r="L728" i="2"/>
  <c r="F728" i="2"/>
  <c r="D728" i="2"/>
  <c r="R727" i="2"/>
  <c r="L727" i="2"/>
  <c r="F727" i="2"/>
  <c r="D727" i="2"/>
  <c r="R726" i="2"/>
  <c r="L726" i="2"/>
  <c r="F726" i="2"/>
  <c r="D726" i="2"/>
  <c r="R725" i="2"/>
  <c r="L725" i="2"/>
  <c r="F725" i="2"/>
  <c r="D725" i="2"/>
  <c r="R724" i="2"/>
  <c r="L724" i="2"/>
  <c r="F724" i="2"/>
  <c r="D724" i="2"/>
  <c r="R723" i="2"/>
  <c r="L723" i="2"/>
  <c r="F723" i="2"/>
  <c r="D723" i="2"/>
  <c r="R722" i="2"/>
  <c r="L722" i="2"/>
  <c r="F722" i="2"/>
  <c r="D722" i="2"/>
  <c r="R721" i="2"/>
  <c r="L721" i="2"/>
  <c r="F721" i="2"/>
  <c r="D721" i="2"/>
  <c r="R720" i="2"/>
  <c r="L720" i="2"/>
  <c r="F720" i="2"/>
  <c r="D720" i="2"/>
  <c r="R719" i="2"/>
  <c r="L719" i="2"/>
  <c r="F719" i="2"/>
  <c r="D719" i="2"/>
  <c r="R718" i="2"/>
  <c r="L718" i="2"/>
  <c r="F718" i="2"/>
  <c r="D718" i="2"/>
  <c r="R717" i="2"/>
  <c r="L717" i="2"/>
  <c r="F717" i="2"/>
  <c r="D717" i="2"/>
  <c r="R716" i="2"/>
  <c r="L716" i="2"/>
  <c r="F716" i="2"/>
  <c r="D716" i="2"/>
  <c r="R715" i="2"/>
  <c r="L715" i="2"/>
  <c r="F715" i="2"/>
  <c r="D715" i="2"/>
  <c r="R714" i="2"/>
  <c r="L714" i="2"/>
  <c r="F714" i="2"/>
  <c r="D714" i="2"/>
  <c r="R713" i="2"/>
  <c r="L713" i="2"/>
  <c r="F713" i="2"/>
  <c r="D713" i="2"/>
  <c r="R712" i="2"/>
  <c r="L712" i="2"/>
  <c r="F712" i="2"/>
  <c r="D712" i="2"/>
  <c r="R711" i="2"/>
  <c r="L711" i="2"/>
  <c r="F711" i="2"/>
  <c r="D711" i="2"/>
  <c r="R710" i="2"/>
  <c r="L710" i="2"/>
  <c r="F710" i="2"/>
  <c r="D710" i="2"/>
  <c r="R709" i="2"/>
  <c r="L709" i="2"/>
  <c r="F709" i="2"/>
  <c r="D709" i="2"/>
  <c r="R708" i="2"/>
  <c r="L708" i="2"/>
  <c r="F708" i="2"/>
  <c r="D708" i="2"/>
  <c r="R707" i="2"/>
  <c r="L707" i="2"/>
  <c r="F707" i="2"/>
  <c r="D707" i="2"/>
  <c r="R706" i="2"/>
  <c r="L706" i="2"/>
  <c r="F706" i="2"/>
  <c r="D706" i="2"/>
  <c r="R705" i="2"/>
  <c r="L705" i="2"/>
  <c r="F705" i="2"/>
  <c r="D705" i="2"/>
  <c r="R704" i="2"/>
  <c r="L704" i="2"/>
  <c r="F704" i="2"/>
  <c r="D704" i="2"/>
  <c r="R703" i="2"/>
  <c r="L703" i="2"/>
  <c r="F703" i="2"/>
  <c r="D703" i="2"/>
  <c r="R702" i="2"/>
  <c r="L702" i="2"/>
  <c r="F702" i="2"/>
  <c r="D702" i="2"/>
  <c r="R701" i="2"/>
  <c r="L701" i="2"/>
  <c r="F701" i="2"/>
  <c r="D701" i="2"/>
  <c r="R700" i="2"/>
  <c r="L700" i="2"/>
  <c r="F700" i="2"/>
  <c r="D700" i="2"/>
  <c r="R699" i="2"/>
  <c r="L699" i="2"/>
  <c r="F699" i="2"/>
  <c r="D699" i="2"/>
  <c r="R698" i="2"/>
  <c r="L698" i="2"/>
  <c r="F698" i="2"/>
  <c r="D698" i="2"/>
  <c r="R697" i="2"/>
  <c r="L697" i="2"/>
  <c r="F697" i="2"/>
  <c r="D697" i="2"/>
  <c r="R696" i="2"/>
  <c r="L696" i="2"/>
  <c r="F696" i="2"/>
  <c r="D696" i="2"/>
  <c r="R695" i="2"/>
  <c r="L695" i="2"/>
  <c r="F695" i="2"/>
  <c r="D695" i="2"/>
  <c r="R694" i="2"/>
  <c r="L694" i="2"/>
  <c r="F694" i="2"/>
  <c r="D694" i="2"/>
  <c r="R693" i="2"/>
  <c r="L693" i="2"/>
  <c r="F693" i="2"/>
  <c r="D693" i="2"/>
  <c r="R692" i="2"/>
  <c r="L692" i="2"/>
  <c r="F692" i="2"/>
  <c r="D692" i="2"/>
  <c r="R691" i="2"/>
  <c r="L691" i="2"/>
  <c r="F691" i="2"/>
  <c r="D691" i="2"/>
  <c r="R690" i="2"/>
  <c r="L690" i="2"/>
  <c r="F690" i="2"/>
  <c r="D690" i="2"/>
  <c r="R689" i="2"/>
  <c r="L689" i="2"/>
  <c r="F689" i="2"/>
  <c r="D689" i="2"/>
  <c r="R688" i="2"/>
  <c r="L688" i="2"/>
  <c r="F688" i="2"/>
  <c r="D688" i="2"/>
  <c r="R687" i="2"/>
  <c r="L687" i="2"/>
  <c r="F687" i="2"/>
  <c r="D687" i="2"/>
  <c r="R686" i="2"/>
  <c r="L686" i="2"/>
  <c r="F686" i="2"/>
  <c r="D686" i="2"/>
  <c r="R685" i="2"/>
  <c r="L685" i="2"/>
  <c r="F685" i="2"/>
  <c r="D685" i="2"/>
  <c r="R684" i="2"/>
  <c r="L684" i="2"/>
  <c r="F684" i="2"/>
  <c r="D684" i="2"/>
  <c r="R683" i="2"/>
  <c r="L683" i="2"/>
  <c r="F683" i="2"/>
  <c r="D683" i="2"/>
  <c r="R682" i="2"/>
  <c r="L682" i="2"/>
  <c r="F682" i="2"/>
  <c r="D682" i="2"/>
  <c r="R681" i="2"/>
  <c r="L681" i="2"/>
  <c r="F681" i="2"/>
  <c r="D681" i="2"/>
  <c r="R680" i="2"/>
  <c r="L680" i="2"/>
  <c r="F680" i="2"/>
  <c r="D680" i="2"/>
  <c r="R679" i="2"/>
  <c r="L679" i="2"/>
  <c r="F679" i="2"/>
  <c r="D679" i="2"/>
  <c r="R678" i="2"/>
  <c r="L678" i="2"/>
  <c r="F678" i="2"/>
  <c r="D678" i="2"/>
  <c r="R677" i="2"/>
  <c r="L677" i="2"/>
  <c r="F677" i="2"/>
  <c r="D677" i="2"/>
  <c r="R676" i="2"/>
  <c r="L676" i="2"/>
  <c r="F676" i="2"/>
  <c r="D676" i="2"/>
  <c r="R675" i="2"/>
  <c r="L675" i="2"/>
  <c r="F675" i="2"/>
  <c r="D675" i="2"/>
  <c r="R674" i="2"/>
  <c r="L674" i="2"/>
  <c r="F674" i="2"/>
  <c r="D674" i="2"/>
  <c r="R673" i="2"/>
  <c r="L673" i="2"/>
  <c r="F673" i="2"/>
  <c r="D673" i="2"/>
  <c r="R672" i="2"/>
  <c r="L672" i="2"/>
  <c r="F672" i="2"/>
  <c r="D672" i="2"/>
  <c r="R671" i="2"/>
  <c r="L671" i="2"/>
  <c r="F671" i="2"/>
  <c r="D671" i="2"/>
  <c r="R670" i="2"/>
  <c r="L670" i="2"/>
  <c r="F670" i="2"/>
  <c r="D670" i="2"/>
  <c r="R669" i="2"/>
  <c r="L669" i="2"/>
  <c r="F669" i="2"/>
  <c r="D669" i="2"/>
  <c r="R668" i="2"/>
  <c r="L668" i="2"/>
  <c r="F668" i="2"/>
  <c r="D668" i="2"/>
  <c r="R667" i="2"/>
  <c r="L667" i="2"/>
  <c r="F667" i="2"/>
  <c r="D667" i="2"/>
  <c r="R666" i="2"/>
  <c r="L666" i="2"/>
  <c r="F666" i="2"/>
  <c r="D666" i="2"/>
  <c r="R665" i="2"/>
  <c r="L665" i="2"/>
  <c r="F665" i="2"/>
  <c r="D665" i="2"/>
  <c r="R664" i="2"/>
  <c r="L664" i="2"/>
  <c r="F664" i="2"/>
  <c r="D664" i="2"/>
  <c r="R663" i="2"/>
  <c r="L663" i="2"/>
  <c r="F663" i="2"/>
  <c r="D663" i="2"/>
  <c r="R662" i="2"/>
  <c r="L662" i="2"/>
  <c r="F662" i="2"/>
  <c r="D662" i="2"/>
  <c r="R661" i="2"/>
  <c r="L661" i="2"/>
  <c r="F661" i="2"/>
  <c r="D661" i="2"/>
  <c r="R660" i="2"/>
  <c r="L660" i="2"/>
  <c r="F660" i="2"/>
  <c r="D660" i="2"/>
  <c r="R659" i="2"/>
  <c r="L659" i="2"/>
  <c r="F659" i="2"/>
  <c r="D659" i="2"/>
  <c r="R658" i="2"/>
  <c r="L658" i="2"/>
  <c r="F658" i="2"/>
  <c r="D658" i="2"/>
  <c r="R657" i="2"/>
  <c r="L657" i="2"/>
  <c r="F657" i="2"/>
  <c r="D657" i="2"/>
  <c r="R656" i="2"/>
  <c r="L656" i="2"/>
  <c r="F656" i="2"/>
  <c r="D656" i="2"/>
  <c r="R655" i="2"/>
  <c r="L655" i="2"/>
  <c r="F655" i="2"/>
  <c r="D655" i="2"/>
  <c r="R654" i="2"/>
  <c r="L654" i="2"/>
  <c r="F654" i="2"/>
  <c r="D654" i="2"/>
  <c r="R653" i="2"/>
  <c r="L653" i="2"/>
  <c r="F653" i="2"/>
  <c r="D653" i="2"/>
  <c r="R652" i="2"/>
  <c r="L652" i="2"/>
  <c r="F652" i="2"/>
  <c r="D652" i="2"/>
  <c r="R651" i="2"/>
  <c r="L651" i="2"/>
  <c r="F651" i="2"/>
  <c r="D651" i="2"/>
  <c r="R650" i="2"/>
  <c r="L650" i="2"/>
  <c r="F650" i="2"/>
  <c r="D650" i="2"/>
  <c r="R649" i="2"/>
  <c r="L649" i="2"/>
  <c r="F649" i="2"/>
  <c r="D649" i="2"/>
  <c r="R648" i="2"/>
  <c r="L648" i="2"/>
  <c r="F648" i="2"/>
  <c r="D648" i="2"/>
  <c r="R647" i="2"/>
  <c r="L647" i="2"/>
  <c r="F647" i="2"/>
  <c r="D647" i="2"/>
  <c r="R646" i="2"/>
  <c r="L646" i="2"/>
  <c r="F646" i="2"/>
  <c r="D646" i="2"/>
  <c r="R645" i="2"/>
  <c r="L645" i="2"/>
  <c r="F645" i="2"/>
  <c r="D645" i="2"/>
  <c r="R644" i="2"/>
  <c r="L644" i="2"/>
  <c r="F644" i="2"/>
  <c r="D644" i="2"/>
  <c r="R643" i="2"/>
  <c r="L643" i="2"/>
  <c r="F643" i="2"/>
  <c r="D643" i="2"/>
  <c r="R642" i="2"/>
  <c r="L642" i="2"/>
  <c r="F642" i="2"/>
  <c r="D642" i="2"/>
  <c r="R641" i="2"/>
  <c r="L641" i="2"/>
  <c r="F641" i="2"/>
  <c r="D641" i="2"/>
  <c r="R640" i="2"/>
  <c r="L640" i="2"/>
  <c r="F640" i="2"/>
  <c r="D640" i="2"/>
  <c r="R639" i="2"/>
  <c r="L639" i="2"/>
  <c r="F639" i="2"/>
  <c r="D639" i="2"/>
  <c r="R638" i="2"/>
  <c r="L638" i="2"/>
  <c r="F638" i="2"/>
  <c r="D638" i="2"/>
  <c r="R637" i="2"/>
  <c r="L637" i="2"/>
  <c r="F637" i="2"/>
  <c r="D637" i="2"/>
  <c r="R636" i="2"/>
  <c r="L636" i="2"/>
  <c r="F636" i="2"/>
  <c r="D636" i="2"/>
  <c r="R635" i="2"/>
  <c r="L635" i="2"/>
  <c r="F635" i="2"/>
  <c r="D635" i="2"/>
  <c r="R634" i="2"/>
  <c r="L634" i="2"/>
  <c r="F634" i="2"/>
  <c r="D634" i="2"/>
  <c r="R633" i="2"/>
  <c r="L633" i="2"/>
  <c r="F633" i="2"/>
  <c r="D633" i="2"/>
  <c r="R632" i="2"/>
  <c r="L632" i="2"/>
  <c r="F632" i="2"/>
  <c r="D632" i="2"/>
  <c r="R631" i="2"/>
  <c r="L631" i="2"/>
  <c r="F631" i="2"/>
  <c r="D631" i="2"/>
  <c r="R630" i="2"/>
  <c r="L630" i="2"/>
  <c r="F630" i="2"/>
  <c r="D630" i="2"/>
  <c r="R629" i="2"/>
  <c r="L629" i="2"/>
  <c r="F629" i="2"/>
  <c r="D629" i="2"/>
  <c r="R628" i="2"/>
  <c r="L628" i="2"/>
  <c r="F628" i="2"/>
  <c r="D628" i="2"/>
  <c r="R627" i="2"/>
  <c r="L627" i="2"/>
  <c r="F627" i="2"/>
  <c r="D627" i="2"/>
  <c r="R626" i="2"/>
  <c r="L626" i="2"/>
  <c r="F626" i="2"/>
  <c r="D626" i="2"/>
  <c r="R625" i="2"/>
  <c r="L625" i="2"/>
  <c r="F625" i="2"/>
  <c r="D625" i="2"/>
  <c r="R624" i="2"/>
  <c r="L624" i="2"/>
  <c r="F624" i="2"/>
  <c r="D624" i="2"/>
  <c r="R623" i="2"/>
  <c r="L623" i="2"/>
  <c r="F623" i="2"/>
  <c r="D623" i="2"/>
  <c r="R622" i="2"/>
  <c r="L622" i="2"/>
  <c r="F622" i="2"/>
  <c r="D622" i="2"/>
  <c r="R621" i="2"/>
  <c r="L621" i="2"/>
  <c r="F621" i="2"/>
  <c r="D621" i="2"/>
  <c r="R620" i="2"/>
  <c r="L620" i="2"/>
  <c r="F620" i="2"/>
  <c r="D620" i="2"/>
  <c r="R619" i="2"/>
  <c r="L619" i="2"/>
  <c r="F619" i="2"/>
  <c r="D619" i="2"/>
  <c r="R618" i="2"/>
  <c r="L618" i="2"/>
  <c r="F618" i="2"/>
  <c r="D618" i="2"/>
  <c r="R617" i="2"/>
  <c r="L617" i="2"/>
  <c r="F617" i="2"/>
  <c r="D617" i="2"/>
  <c r="R616" i="2"/>
  <c r="L616" i="2"/>
  <c r="F616" i="2"/>
  <c r="D616" i="2"/>
  <c r="R615" i="2"/>
  <c r="L615" i="2"/>
  <c r="F615" i="2"/>
  <c r="D615" i="2"/>
  <c r="R614" i="2"/>
  <c r="L614" i="2"/>
  <c r="F614" i="2"/>
  <c r="D614" i="2"/>
  <c r="R613" i="2"/>
  <c r="L613" i="2"/>
  <c r="F613" i="2"/>
  <c r="D613" i="2"/>
  <c r="R612" i="2"/>
  <c r="L612" i="2"/>
  <c r="F612" i="2"/>
  <c r="D612" i="2"/>
  <c r="R611" i="2"/>
  <c r="L611" i="2"/>
  <c r="F611" i="2"/>
  <c r="D611" i="2"/>
  <c r="R610" i="2"/>
  <c r="L610" i="2"/>
  <c r="F610" i="2"/>
  <c r="D610" i="2"/>
  <c r="R609" i="2"/>
  <c r="L609" i="2"/>
  <c r="F609" i="2"/>
  <c r="D609" i="2"/>
  <c r="R608" i="2"/>
  <c r="L608" i="2"/>
  <c r="F608" i="2"/>
  <c r="D608" i="2"/>
  <c r="R607" i="2"/>
  <c r="L607" i="2"/>
  <c r="F607" i="2"/>
  <c r="D607" i="2"/>
  <c r="R606" i="2"/>
  <c r="L606" i="2"/>
  <c r="F606" i="2"/>
  <c r="D606" i="2"/>
  <c r="R605" i="2"/>
  <c r="L605" i="2"/>
  <c r="F605" i="2"/>
  <c r="D605" i="2"/>
  <c r="R604" i="2"/>
  <c r="L604" i="2"/>
  <c r="F604" i="2"/>
  <c r="D604" i="2"/>
  <c r="R603" i="2"/>
  <c r="L603" i="2"/>
  <c r="F603" i="2"/>
  <c r="D603" i="2"/>
  <c r="R602" i="2"/>
  <c r="L602" i="2"/>
  <c r="F602" i="2"/>
  <c r="D602" i="2"/>
  <c r="R601" i="2"/>
  <c r="L601" i="2"/>
  <c r="F601" i="2"/>
  <c r="D601" i="2"/>
  <c r="R600" i="2"/>
  <c r="L600" i="2"/>
  <c r="F600" i="2"/>
  <c r="D600" i="2"/>
  <c r="R599" i="2"/>
  <c r="L599" i="2"/>
  <c r="F599" i="2"/>
  <c r="D599" i="2"/>
  <c r="R598" i="2"/>
  <c r="L598" i="2"/>
  <c r="F598" i="2"/>
  <c r="D598" i="2"/>
  <c r="R597" i="2"/>
  <c r="L597" i="2"/>
  <c r="F597" i="2"/>
  <c r="D597" i="2"/>
  <c r="R596" i="2"/>
  <c r="L596" i="2"/>
  <c r="F596" i="2"/>
  <c r="D596" i="2"/>
  <c r="R595" i="2"/>
  <c r="L595" i="2"/>
  <c r="F595" i="2"/>
  <c r="D595" i="2"/>
  <c r="R594" i="2"/>
  <c r="L594" i="2"/>
  <c r="F594" i="2"/>
  <c r="D594" i="2"/>
  <c r="R593" i="2"/>
  <c r="L593" i="2"/>
  <c r="F593" i="2"/>
  <c r="D593" i="2"/>
  <c r="R592" i="2"/>
  <c r="L592" i="2"/>
  <c r="F592" i="2"/>
  <c r="D592" i="2"/>
  <c r="R591" i="2"/>
  <c r="L591" i="2"/>
  <c r="F591" i="2"/>
  <c r="D591" i="2"/>
  <c r="R590" i="2"/>
  <c r="L590" i="2"/>
  <c r="F590" i="2"/>
  <c r="D590" i="2"/>
  <c r="R589" i="2"/>
  <c r="L589" i="2"/>
  <c r="F589" i="2"/>
  <c r="D589" i="2"/>
  <c r="R588" i="2"/>
  <c r="L588" i="2"/>
  <c r="F588" i="2"/>
  <c r="D588" i="2"/>
  <c r="R587" i="2"/>
  <c r="L587" i="2"/>
  <c r="F587" i="2"/>
  <c r="D587" i="2"/>
  <c r="R586" i="2"/>
  <c r="L586" i="2"/>
  <c r="F586" i="2"/>
  <c r="D586" i="2"/>
  <c r="R585" i="2"/>
  <c r="L585" i="2"/>
  <c r="F585" i="2"/>
  <c r="D585" i="2"/>
  <c r="R584" i="2"/>
  <c r="L584" i="2"/>
  <c r="F584" i="2"/>
  <c r="D584" i="2"/>
  <c r="R583" i="2"/>
  <c r="L583" i="2"/>
  <c r="F583" i="2"/>
  <c r="D583" i="2"/>
  <c r="R582" i="2"/>
  <c r="L582" i="2"/>
  <c r="F582" i="2"/>
  <c r="D582" i="2"/>
  <c r="R581" i="2"/>
  <c r="L581" i="2"/>
  <c r="F581" i="2"/>
  <c r="D581" i="2"/>
  <c r="R580" i="2"/>
  <c r="L580" i="2"/>
  <c r="F580" i="2"/>
  <c r="D580" i="2"/>
  <c r="R579" i="2"/>
  <c r="L579" i="2"/>
  <c r="F579" i="2"/>
  <c r="D579" i="2"/>
  <c r="R578" i="2"/>
  <c r="L578" i="2"/>
  <c r="F578" i="2"/>
  <c r="D578" i="2"/>
  <c r="R577" i="2"/>
  <c r="L577" i="2"/>
  <c r="F577" i="2"/>
  <c r="D577" i="2"/>
  <c r="R576" i="2"/>
  <c r="L576" i="2"/>
  <c r="F576" i="2"/>
  <c r="D576" i="2"/>
  <c r="R575" i="2"/>
  <c r="L575" i="2"/>
  <c r="F575" i="2"/>
  <c r="D575" i="2"/>
  <c r="R574" i="2"/>
  <c r="L574" i="2"/>
  <c r="F574" i="2"/>
  <c r="D574" i="2"/>
  <c r="R573" i="2"/>
  <c r="L573" i="2"/>
  <c r="F573" i="2"/>
  <c r="D573" i="2"/>
  <c r="R572" i="2"/>
  <c r="L572" i="2"/>
  <c r="F572" i="2"/>
  <c r="D572" i="2"/>
  <c r="R571" i="2"/>
  <c r="L571" i="2"/>
  <c r="F571" i="2"/>
  <c r="D571" i="2"/>
  <c r="R570" i="2"/>
  <c r="L570" i="2"/>
  <c r="F570" i="2"/>
  <c r="D570" i="2"/>
  <c r="R569" i="2"/>
  <c r="L569" i="2"/>
  <c r="F569" i="2"/>
  <c r="D569" i="2"/>
  <c r="R568" i="2"/>
  <c r="L568" i="2"/>
  <c r="F568" i="2"/>
  <c r="D568" i="2"/>
  <c r="R567" i="2"/>
  <c r="L567" i="2"/>
  <c r="F567" i="2"/>
  <c r="D567" i="2"/>
  <c r="R566" i="2"/>
  <c r="L566" i="2"/>
  <c r="F566" i="2"/>
  <c r="D566" i="2"/>
  <c r="R565" i="2"/>
  <c r="L565" i="2"/>
  <c r="F565" i="2"/>
  <c r="D565" i="2"/>
  <c r="R564" i="2"/>
  <c r="L564" i="2"/>
  <c r="F564" i="2"/>
  <c r="D564" i="2"/>
  <c r="R563" i="2"/>
  <c r="L563" i="2"/>
  <c r="F563" i="2"/>
  <c r="D563" i="2"/>
  <c r="R562" i="2"/>
  <c r="L562" i="2"/>
  <c r="F562" i="2"/>
  <c r="D562" i="2"/>
  <c r="R561" i="2"/>
  <c r="L561" i="2"/>
  <c r="F561" i="2"/>
  <c r="D561" i="2"/>
  <c r="R560" i="2"/>
  <c r="L560" i="2"/>
  <c r="F560" i="2"/>
  <c r="D560" i="2"/>
  <c r="R559" i="2"/>
  <c r="L559" i="2"/>
  <c r="F559" i="2"/>
  <c r="D559" i="2"/>
  <c r="R558" i="2"/>
  <c r="L558" i="2"/>
  <c r="F558" i="2"/>
  <c r="D558" i="2"/>
  <c r="R557" i="2"/>
  <c r="L557" i="2"/>
  <c r="F557" i="2"/>
  <c r="D557" i="2"/>
  <c r="R556" i="2"/>
  <c r="L556" i="2"/>
  <c r="F556" i="2"/>
  <c r="D556" i="2"/>
  <c r="R555" i="2"/>
  <c r="L555" i="2"/>
  <c r="F555" i="2"/>
  <c r="D555" i="2"/>
  <c r="R554" i="2"/>
  <c r="L554" i="2"/>
  <c r="F554" i="2"/>
  <c r="D554" i="2"/>
  <c r="R553" i="2"/>
  <c r="L553" i="2"/>
  <c r="F553" i="2"/>
  <c r="D553" i="2"/>
  <c r="R552" i="2"/>
  <c r="L552" i="2"/>
  <c r="F552" i="2"/>
  <c r="D552" i="2"/>
  <c r="R551" i="2"/>
  <c r="L551" i="2"/>
  <c r="F551" i="2"/>
  <c r="D551" i="2"/>
  <c r="R550" i="2"/>
  <c r="L550" i="2"/>
  <c r="F550" i="2"/>
  <c r="D550" i="2"/>
  <c r="R549" i="2"/>
  <c r="L549" i="2"/>
  <c r="F549" i="2"/>
  <c r="D549" i="2"/>
  <c r="R548" i="2"/>
  <c r="L548" i="2"/>
  <c r="F548" i="2"/>
  <c r="D548" i="2"/>
  <c r="R547" i="2"/>
  <c r="L547" i="2"/>
  <c r="F547" i="2"/>
  <c r="D547" i="2"/>
  <c r="R546" i="2"/>
  <c r="L546" i="2"/>
  <c r="F546" i="2"/>
  <c r="D546" i="2"/>
  <c r="R545" i="2"/>
  <c r="L545" i="2"/>
  <c r="F545" i="2"/>
  <c r="D545" i="2"/>
  <c r="R544" i="2"/>
  <c r="L544" i="2"/>
  <c r="F544" i="2"/>
  <c r="D544" i="2"/>
  <c r="R543" i="2"/>
  <c r="L543" i="2"/>
  <c r="F543" i="2"/>
  <c r="D543" i="2"/>
  <c r="R542" i="2"/>
  <c r="L542" i="2"/>
  <c r="F542" i="2"/>
  <c r="D542" i="2"/>
  <c r="R541" i="2"/>
  <c r="L541" i="2"/>
  <c r="F541" i="2"/>
  <c r="D541" i="2"/>
  <c r="R540" i="2"/>
  <c r="L540" i="2"/>
  <c r="F540" i="2"/>
  <c r="D540" i="2"/>
  <c r="R539" i="2"/>
  <c r="L539" i="2"/>
  <c r="F539" i="2"/>
  <c r="D539" i="2"/>
  <c r="R538" i="2"/>
  <c r="L538" i="2"/>
  <c r="F538" i="2"/>
  <c r="D538" i="2"/>
  <c r="R537" i="2"/>
  <c r="L537" i="2"/>
  <c r="F537" i="2"/>
  <c r="D537" i="2"/>
  <c r="R536" i="2"/>
  <c r="L536" i="2"/>
  <c r="F536" i="2"/>
  <c r="D536" i="2"/>
  <c r="P61" i="3"/>
  <c r="B61" i="3"/>
  <c r="P60" i="3"/>
  <c r="B60" i="3"/>
  <c r="P59" i="3"/>
  <c r="B59" i="3"/>
  <c r="P58" i="3"/>
  <c r="B58" i="3"/>
  <c r="P57" i="3"/>
  <c r="B57" i="3"/>
  <c r="P56" i="3"/>
  <c r="B56" i="3"/>
  <c r="P55" i="3"/>
  <c r="B55" i="3"/>
  <c r="P54" i="3"/>
  <c r="B54" i="3"/>
  <c r="P53" i="3"/>
  <c r="B53" i="3"/>
  <c r="P52" i="3"/>
  <c r="B52" i="3"/>
  <c r="P51" i="3"/>
  <c r="B51" i="3"/>
  <c r="P50" i="3"/>
  <c r="B50" i="3"/>
  <c r="P49" i="3"/>
  <c r="B49" i="3"/>
  <c r="P48" i="3"/>
  <c r="B48" i="3"/>
  <c r="P47" i="3"/>
  <c r="B47" i="3"/>
  <c r="P46" i="3"/>
  <c r="B46" i="3"/>
  <c r="P45" i="3"/>
  <c r="B45" i="3"/>
  <c r="P44" i="3"/>
  <c r="B44" i="3"/>
  <c r="P43" i="3"/>
  <c r="B43" i="3"/>
  <c r="P42" i="3"/>
  <c r="B42" i="3"/>
  <c r="B41" i="3"/>
  <c r="B40" i="3"/>
  <c r="B39" i="3"/>
  <c r="B37" i="3"/>
  <c r="B36" i="3"/>
  <c r="K200" i="4"/>
  <c r="A200" i="4"/>
  <c r="AI199" i="4"/>
  <c r="K199" i="4"/>
  <c r="A199" i="4"/>
  <c r="AI198" i="4"/>
  <c r="K198" i="4"/>
  <c r="A198" i="4"/>
  <c r="AI197" i="4"/>
  <c r="K197" i="4"/>
  <c r="A197" i="4"/>
  <c r="AI196" i="4"/>
  <c r="K196" i="4"/>
  <c r="A196" i="4"/>
  <c r="AI195" i="4"/>
  <c r="K195" i="4"/>
  <c r="A195" i="4"/>
  <c r="K194" i="4"/>
  <c r="A194" i="4"/>
  <c r="K193" i="4"/>
  <c r="A193" i="4"/>
  <c r="K192" i="4"/>
  <c r="A192" i="4"/>
  <c r="AI191" i="4"/>
  <c r="K191" i="4"/>
  <c r="A191" i="4"/>
  <c r="K190" i="4"/>
  <c r="A190" i="4"/>
  <c r="AI189" i="4"/>
  <c r="Q189" i="4"/>
  <c r="K189" i="4"/>
  <c r="A189" i="4"/>
  <c r="AI188" i="4"/>
  <c r="K188" i="4"/>
  <c r="A188" i="4"/>
  <c r="AI187" i="4"/>
  <c r="Q187" i="4"/>
  <c r="K187" i="4"/>
  <c r="A187" i="4"/>
  <c r="AI186" i="4"/>
  <c r="Q186" i="4"/>
  <c r="K186" i="4"/>
  <c r="A186" i="4"/>
  <c r="AI185" i="4"/>
  <c r="Q185" i="4"/>
  <c r="K185" i="4"/>
  <c r="A185" i="4"/>
  <c r="K184" i="4"/>
  <c r="A184" i="4"/>
  <c r="K183" i="4"/>
  <c r="A183" i="4"/>
  <c r="AI182" i="4"/>
  <c r="K182" i="4"/>
  <c r="A182" i="4"/>
  <c r="AI181" i="4"/>
  <c r="K181" i="4"/>
  <c r="A181" i="4"/>
  <c r="K180" i="4"/>
  <c r="A180" i="4"/>
  <c r="AI179" i="4"/>
  <c r="Q179" i="4"/>
  <c r="K179" i="4"/>
  <c r="A179" i="4"/>
  <c r="AI178" i="4"/>
  <c r="Q178" i="4"/>
  <c r="K178" i="4"/>
  <c r="A178" i="4"/>
  <c r="AI177" i="4"/>
  <c r="Q177" i="4"/>
  <c r="K177" i="4"/>
  <c r="A177" i="4"/>
  <c r="AI176" i="4"/>
  <c r="K176" i="4"/>
  <c r="A176" i="4"/>
  <c r="AI175" i="4"/>
  <c r="Q175" i="4"/>
  <c r="K175" i="4"/>
  <c r="A175" i="4"/>
  <c r="AI174" i="4"/>
  <c r="Q174" i="4"/>
  <c r="K174" i="4"/>
  <c r="A174" i="4"/>
  <c r="AI173" i="4"/>
  <c r="K173" i="4"/>
  <c r="A173" i="4"/>
  <c r="AI172" i="4"/>
  <c r="K172" i="4"/>
  <c r="A172" i="4"/>
  <c r="Q171" i="4"/>
  <c r="K171" i="4"/>
  <c r="A171" i="4"/>
  <c r="AI170" i="4"/>
  <c r="Q170" i="4"/>
  <c r="K170" i="4"/>
  <c r="A170" i="4"/>
  <c r="AI169" i="4"/>
  <c r="K169" i="4"/>
  <c r="A169" i="4"/>
  <c r="AI168" i="4"/>
  <c r="Q168" i="4"/>
  <c r="K168" i="4"/>
  <c r="A168" i="4"/>
  <c r="AI167" i="4"/>
  <c r="Q167" i="4"/>
  <c r="K167" i="4"/>
  <c r="A167" i="4"/>
  <c r="AI166" i="4"/>
  <c r="Q166" i="4"/>
  <c r="K166" i="4"/>
  <c r="A166" i="4"/>
  <c r="K165" i="4"/>
  <c r="A165" i="4"/>
  <c r="AI164" i="4"/>
  <c r="K164" i="4"/>
  <c r="A164" i="4"/>
  <c r="AI163" i="4"/>
  <c r="K163" i="4"/>
  <c r="A163" i="4"/>
  <c r="K162" i="4"/>
  <c r="A162" i="4"/>
  <c r="K161" i="4"/>
  <c r="A161" i="4"/>
  <c r="K160" i="4"/>
  <c r="A160" i="4"/>
  <c r="AI159" i="4"/>
  <c r="Q159" i="4"/>
  <c r="K159" i="4"/>
  <c r="A159" i="4"/>
  <c r="AI158" i="4"/>
  <c r="K158" i="4"/>
  <c r="A158" i="4"/>
  <c r="AI157" i="4"/>
  <c r="K157" i="4"/>
  <c r="A157" i="4"/>
  <c r="K156" i="4"/>
  <c r="A156" i="4"/>
  <c r="K155" i="4"/>
  <c r="A155" i="4"/>
  <c r="AI154" i="4"/>
  <c r="K154" i="4"/>
  <c r="A154" i="4"/>
  <c r="AI153" i="4"/>
  <c r="K153" i="4"/>
  <c r="A153" i="4"/>
  <c r="K152" i="4"/>
  <c r="A152" i="4"/>
  <c r="K151" i="4"/>
  <c r="A151" i="4"/>
  <c r="AI150" i="4"/>
  <c r="Q150" i="4"/>
  <c r="K150" i="4"/>
  <c r="A150" i="4"/>
  <c r="AI149" i="4"/>
  <c r="Q149" i="4"/>
  <c r="K149" i="4"/>
  <c r="A149" i="4"/>
  <c r="K148" i="4"/>
  <c r="A148" i="4"/>
  <c r="AI147" i="4"/>
  <c r="Q147" i="4"/>
  <c r="K147" i="4"/>
  <c r="A147" i="4"/>
  <c r="AI146" i="4"/>
  <c r="K146" i="4"/>
  <c r="A146" i="4"/>
  <c r="AI145" i="4"/>
  <c r="Q145" i="4"/>
  <c r="K145" i="4"/>
  <c r="A145" i="4"/>
  <c r="AI144" i="4"/>
  <c r="K144" i="4"/>
  <c r="A144" i="4"/>
  <c r="AI143" i="4"/>
  <c r="K143" i="4"/>
  <c r="A143" i="4"/>
  <c r="K142" i="4"/>
  <c r="A142" i="4"/>
  <c r="AI141" i="4"/>
  <c r="K141" i="4"/>
  <c r="A141" i="4"/>
  <c r="AI140" i="4"/>
  <c r="Q140" i="4"/>
  <c r="K140" i="4"/>
  <c r="A140" i="4"/>
  <c r="K139" i="4"/>
  <c r="A139" i="4"/>
  <c r="AI138" i="4"/>
  <c r="K138" i="4"/>
  <c r="A138" i="4"/>
  <c r="AI137" i="4"/>
  <c r="Q137" i="4"/>
  <c r="K137" i="4"/>
  <c r="A137" i="4"/>
  <c r="AI136" i="4"/>
  <c r="K136" i="4"/>
  <c r="A136" i="4"/>
  <c r="AI135" i="4"/>
  <c r="K135" i="4"/>
  <c r="A135" i="4"/>
  <c r="AI134" i="4"/>
  <c r="K134" i="4"/>
  <c r="A134" i="4"/>
  <c r="AI133" i="4"/>
  <c r="Q133" i="4"/>
  <c r="K133" i="4"/>
  <c r="A133" i="4"/>
  <c r="K132" i="4"/>
  <c r="A132" i="4"/>
  <c r="AI131" i="4"/>
  <c r="K131" i="4"/>
  <c r="A131" i="4"/>
  <c r="K130" i="4"/>
  <c r="A130" i="4"/>
  <c r="K129" i="4"/>
  <c r="A129" i="4"/>
  <c r="AI128" i="4"/>
  <c r="K128" i="4"/>
  <c r="A128" i="4"/>
  <c r="K127" i="4"/>
  <c r="A127" i="4"/>
  <c r="AI126" i="4"/>
  <c r="K126" i="4"/>
  <c r="A126" i="4"/>
  <c r="K125" i="4"/>
  <c r="A125" i="4"/>
  <c r="AI124" i="4"/>
  <c r="Q124" i="4"/>
  <c r="K124" i="4"/>
  <c r="A124" i="4"/>
  <c r="AI123" i="4"/>
  <c r="K123" i="4"/>
  <c r="A123" i="4"/>
  <c r="AI122" i="4"/>
  <c r="K122" i="4"/>
  <c r="A122" i="4"/>
  <c r="AI121" i="4"/>
  <c r="Q121" i="4"/>
  <c r="K121" i="4"/>
  <c r="A121" i="4"/>
  <c r="AI120" i="4"/>
  <c r="K120" i="4"/>
  <c r="A120" i="4"/>
  <c r="Q119" i="4"/>
  <c r="K119" i="4"/>
  <c r="A119" i="4"/>
  <c r="Q118" i="4"/>
  <c r="K118" i="4"/>
  <c r="A118" i="4"/>
  <c r="Q117" i="4"/>
  <c r="K117" i="4"/>
  <c r="A117" i="4"/>
  <c r="AI116" i="4"/>
  <c r="Q116" i="4"/>
  <c r="K116" i="4"/>
  <c r="A116" i="4"/>
  <c r="Q115" i="4"/>
  <c r="K115" i="4"/>
  <c r="A115" i="4"/>
  <c r="AI114" i="4"/>
  <c r="K114" i="4"/>
  <c r="A114" i="4"/>
  <c r="AI113" i="4"/>
  <c r="Q113" i="4"/>
  <c r="K113" i="4"/>
  <c r="A113" i="4"/>
  <c r="AI112" i="4"/>
  <c r="K112" i="4"/>
  <c r="A112" i="4"/>
  <c r="AI111" i="4"/>
  <c r="K111" i="4"/>
  <c r="A111" i="4"/>
  <c r="AI110" i="4"/>
  <c r="K110" i="4"/>
  <c r="A110" i="4"/>
  <c r="AI109" i="4"/>
  <c r="K109" i="4"/>
  <c r="A109" i="4"/>
  <c r="AI108" i="4"/>
  <c r="K108" i="4"/>
  <c r="A108" i="4"/>
  <c r="AI107" i="4"/>
  <c r="Q107" i="4"/>
  <c r="K107" i="4"/>
  <c r="A107" i="4"/>
  <c r="AI106" i="4"/>
  <c r="Q106" i="4"/>
  <c r="K106" i="4"/>
  <c r="A106" i="4"/>
  <c r="K105" i="4"/>
  <c r="A105" i="4"/>
  <c r="AI104" i="4"/>
  <c r="K104" i="4"/>
  <c r="A104" i="4"/>
  <c r="K103" i="4"/>
  <c r="A103" i="4"/>
  <c r="AI102" i="4"/>
  <c r="K102" i="4"/>
  <c r="A102" i="4"/>
  <c r="AI101" i="4"/>
  <c r="Q101" i="4"/>
  <c r="K101" i="4"/>
  <c r="A101" i="4"/>
  <c r="Q100" i="4"/>
  <c r="K100" i="4"/>
  <c r="A100" i="4"/>
  <c r="AI99" i="4"/>
  <c r="Q99" i="4"/>
  <c r="K99" i="4"/>
  <c r="A99" i="4"/>
  <c r="AI98" i="4"/>
  <c r="Q98" i="4"/>
  <c r="K98" i="4"/>
  <c r="A98" i="4"/>
  <c r="AI97" i="4"/>
  <c r="Q97" i="4"/>
  <c r="K97" i="4"/>
  <c r="A97" i="4"/>
  <c r="AI96" i="4"/>
  <c r="Q96" i="4"/>
  <c r="K96" i="4"/>
  <c r="A96" i="4"/>
  <c r="K95" i="4"/>
  <c r="A95" i="4"/>
  <c r="AI94" i="4"/>
  <c r="Q94" i="4"/>
  <c r="K94" i="4"/>
  <c r="A94" i="4"/>
  <c r="AI93" i="4"/>
  <c r="K93" i="4"/>
  <c r="A93" i="4"/>
  <c r="AI92" i="4"/>
  <c r="Q92" i="4"/>
  <c r="K92" i="4"/>
  <c r="A92" i="4"/>
  <c r="AI91" i="4"/>
  <c r="K91" i="4"/>
  <c r="A91" i="4"/>
  <c r="AI90" i="4"/>
  <c r="K90" i="4"/>
  <c r="A90" i="4"/>
  <c r="AI89" i="4"/>
  <c r="Q89" i="4"/>
  <c r="K89" i="4"/>
  <c r="A89" i="4"/>
  <c r="AI88" i="4"/>
  <c r="K88" i="4"/>
  <c r="A88" i="4"/>
  <c r="AI87" i="4"/>
  <c r="Q87" i="4"/>
  <c r="K87" i="4"/>
  <c r="A87" i="4"/>
  <c r="AI86" i="4"/>
  <c r="K86" i="4"/>
  <c r="A86" i="4"/>
  <c r="AI85" i="4"/>
  <c r="Q85" i="4"/>
  <c r="K85" i="4"/>
  <c r="A85" i="4"/>
  <c r="AI84" i="4"/>
  <c r="K84" i="4"/>
  <c r="A84" i="4"/>
  <c r="AI83" i="4"/>
  <c r="K83" i="4"/>
  <c r="A83" i="4"/>
  <c r="AI82" i="4"/>
  <c r="K82" i="4"/>
  <c r="A82" i="4"/>
  <c r="AI81" i="4"/>
  <c r="K81" i="4"/>
  <c r="A81" i="4"/>
  <c r="Q80" i="4"/>
  <c r="K80" i="4"/>
  <c r="A80" i="4"/>
  <c r="AI79" i="4"/>
  <c r="Q79" i="4"/>
  <c r="K79" i="4"/>
  <c r="A79" i="4"/>
  <c r="AI78" i="4"/>
  <c r="K78" i="4"/>
  <c r="A78" i="4"/>
  <c r="AI77" i="4"/>
  <c r="K77" i="4"/>
  <c r="A77" i="4"/>
  <c r="AI76" i="4"/>
  <c r="K76" i="4"/>
  <c r="A76" i="4"/>
  <c r="Q75" i="4"/>
  <c r="K75" i="4"/>
  <c r="A75" i="4"/>
  <c r="AI74" i="4"/>
  <c r="K74" i="4"/>
  <c r="A74" i="4"/>
  <c r="K73" i="4"/>
  <c r="A73" i="4"/>
  <c r="K72" i="4"/>
  <c r="A72" i="4"/>
  <c r="K71" i="4"/>
  <c r="A71" i="4"/>
  <c r="K70" i="4"/>
  <c r="A70" i="4"/>
  <c r="AI69" i="4"/>
  <c r="K69" i="4"/>
  <c r="A69" i="4"/>
  <c r="AI68" i="4"/>
  <c r="K68" i="4"/>
  <c r="A68" i="4"/>
  <c r="AI67" i="4"/>
  <c r="K67" i="4"/>
  <c r="A67" i="4"/>
  <c r="AI66" i="4"/>
  <c r="Q66" i="4"/>
  <c r="K66" i="4"/>
  <c r="A66" i="4"/>
  <c r="AI65" i="4"/>
  <c r="K65" i="4"/>
  <c r="A65" i="4"/>
  <c r="AI64" i="4"/>
  <c r="K64" i="4"/>
  <c r="A64" i="4"/>
  <c r="K63" i="4"/>
  <c r="A63" i="4"/>
  <c r="Q62" i="4"/>
  <c r="K62" i="4"/>
  <c r="A62" i="4"/>
  <c r="AI61" i="4"/>
  <c r="K61" i="4"/>
  <c r="A61" i="4"/>
  <c r="AI60" i="4"/>
  <c r="K60" i="4"/>
  <c r="A60" i="4"/>
  <c r="K59" i="4"/>
  <c r="A59" i="4"/>
  <c r="AI58" i="4"/>
  <c r="Q58" i="4"/>
  <c r="K58" i="4"/>
  <c r="A58" i="4"/>
  <c r="AI57" i="4"/>
  <c r="K57" i="4"/>
  <c r="A57" i="4"/>
  <c r="K56" i="4"/>
  <c r="A56" i="4"/>
  <c r="AI55" i="4"/>
  <c r="K55" i="4"/>
  <c r="A55" i="4"/>
  <c r="K54" i="4"/>
  <c r="A54" i="4"/>
  <c r="K53" i="4"/>
  <c r="A53" i="4"/>
  <c r="K52" i="4"/>
  <c r="A52" i="4"/>
  <c r="K51" i="4"/>
  <c r="A51" i="4"/>
  <c r="K50" i="4"/>
  <c r="A50" i="4"/>
  <c r="K49" i="4"/>
  <c r="A49" i="4"/>
  <c r="K48" i="4"/>
  <c r="A48" i="4"/>
  <c r="K47" i="4"/>
  <c r="A47" i="4"/>
  <c r="AI46" i="4"/>
  <c r="K46" i="4"/>
  <c r="A46" i="4"/>
  <c r="AI45" i="4"/>
  <c r="Q45" i="4"/>
  <c r="K45" i="4"/>
  <c r="A45" i="4"/>
  <c r="Q44" i="4"/>
  <c r="K44" i="4"/>
  <c r="A44" i="4"/>
  <c r="Q43" i="4"/>
  <c r="K43" i="4"/>
  <c r="A43" i="4"/>
  <c r="AI42" i="4"/>
  <c r="Q42" i="4"/>
  <c r="K42" i="4"/>
  <c r="A42" i="4"/>
  <c r="K41" i="4"/>
  <c r="A41" i="4"/>
  <c r="K40" i="4"/>
  <c r="A40" i="4"/>
  <c r="AI39" i="4"/>
  <c r="Q39" i="4"/>
  <c r="K39" i="4"/>
  <c r="A39" i="4"/>
  <c r="AI38" i="4"/>
  <c r="K38" i="4"/>
  <c r="A38" i="4"/>
  <c r="AI37" i="4"/>
  <c r="K37" i="4"/>
  <c r="A37" i="4"/>
  <c r="K36" i="4"/>
  <c r="A36" i="4"/>
  <c r="Q35" i="4"/>
  <c r="K35" i="4"/>
  <c r="A35" i="4"/>
  <c r="AI34" i="4"/>
  <c r="Q34" i="4"/>
  <c r="K34" i="4"/>
  <c r="A34" i="4"/>
  <c r="AI33" i="4"/>
  <c r="Q33" i="4"/>
  <c r="K33" i="4"/>
  <c r="A33" i="4"/>
  <c r="AI32" i="4"/>
  <c r="Q32" i="4"/>
  <c r="K32" i="4"/>
  <c r="A32" i="4"/>
  <c r="AI31" i="4"/>
  <c r="Q31" i="4"/>
  <c r="K31" i="4"/>
  <c r="A31" i="4"/>
  <c r="AI30" i="4"/>
  <c r="Q30" i="4"/>
  <c r="K30" i="4"/>
  <c r="A30" i="4"/>
  <c r="AI29" i="4"/>
  <c r="K29" i="4"/>
  <c r="A29" i="4"/>
  <c r="Q28" i="4"/>
  <c r="K28" i="4"/>
  <c r="A28" i="4"/>
  <c r="AI27" i="4"/>
  <c r="K27" i="4"/>
  <c r="A27" i="4"/>
  <c r="AI26" i="4"/>
  <c r="Q26" i="4"/>
  <c r="K26" i="4"/>
  <c r="A26" i="4"/>
  <c r="AI25" i="4"/>
  <c r="Q25" i="4"/>
  <c r="K25" i="4"/>
  <c r="A25" i="4"/>
  <c r="AI24" i="4"/>
  <c r="K24" i="4"/>
  <c r="A24" i="4"/>
  <c r="AI23" i="4"/>
  <c r="Q23" i="4"/>
  <c r="K23" i="4"/>
  <c r="A23" i="4"/>
  <c r="K22" i="4"/>
  <c r="A22" i="4"/>
  <c r="AI21" i="4"/>
  <c r="K21" i="4"/>
  <c r="A21" i="4"/>
  <c r="AI20" i="4"/>
  <c r="Q20" i="4"/>
  <c r="K20" i="4"/>
  <c r="A20" i="4"/>
  <c r="AI19" i="4"/>
  <c r="K19" i="4"/>
  <c r="A19" i="4"/>
  <c r="AI18" i="4"/>
  <c r="K18" i="4"/>
  <c r="A18" i="4"/>
  <c r="AI17" i="4"/>
  <c r="K17" i="4"/>
  <c r="A17" i="4"/>
  <c r="AI16" i="4"/>
  <c r="Q16" i="4"/>
  <c r="K16" i="4"/>
  <c r="A16" i="4"/>
  <c r="AI15" i="4"/>
  <c r="Q15" i="4"/>
  <c r="K15" i="4"/>
  <c r="A15" i="4"/>
  <c r="AI14" i="4"/>
  <c r="K14" i="4"/>
  <c r="A14" i="4"/>
  <c r="AI13" i="4"/>
  <c r="K13" i="4"/>
  <c r="A13" i="4"/>
  <c r="AI12" i="4"/>
  <c r="Q12" i="4"/>
  <c r="K12" i="4"/>
  <c r="A12" i="4"/>
  <c r="AI11" i="4"/>
  <c r="K11" i="4"/>
  <c r="A11" i="4"/>
  <c r="AI10" i="4"/>
  <c r="Q10" i="4"/>
  <c r="K10" i="4"/>
  <c r="A10" i="4"/>
  <c r="AI9" i="4"/>
  <c r="Q9" i="4"/>
  <c r="K9" i="4"/>
  <c r="A9" i="4"/>
  <c r="AI8" i="4"/>
  <c r="K8" i="4"/>
  <c r="A8" i="4"/>
  <c r="AI7" i="4"/>
  <c r="Q7" i="4"/>
  <c r="K7" i="4"/>
  <c r="A7" i="4"/>
  <c r="AI6" i="4"/>
  <c r="Q6" i="4"/>
  <c r="K6" i="4"/>
  <c r="A6" i="4"/>
  <c r="AI5" i="4"/>
  <c r="Q5" i="4"/>
  <c r="K5" i="4"/>
  <c r="A5" i="4"/>
  <c r="AI4" i="4"/>
  <c r="K4" i="4"/>
  <c r="A4" i="4"/>
  <c r="AI3" i="4"/>
  <c r="Q3" i="4"/>
  <c r="K3" i="4"/>
  <c r="A3" i="4"/>
  <c r="Q2" i="4"/>
  <c r="K2" i="4"/>
  <c r="A2" i="4"/>
  <c r="Q35" i="3"/>
  <c r="B35" i="3"/>
  <c r="Q34" i="3"/>
  <c r="B34" i="3"/>
  <c r="Q33" i="3"/>
  <c r="B33" i="3"/>
  <c r="Q32" i="3"/>
  <c r="B32" i="3"/>
  <c r="Q31" i="3"/>
  <c r="B31" i="3"/>
  <c r="Q30" i="3"/>
  <c r="B30" i="3"/>
  <c r="Q29" i="3"/>
  <c r="B29" i="3"/>
  <c r="Q28" i="3"/>
  <c r="B28" i="3"/>
  <c r="Q27" i="3"/>
  <c r="B27" i="3"/>
  <c r="Q26" i="3"/>
  <c r="B26" i="3"/>
  <c r="Q25" i="3"/>
  <c r="B25" i="3"/>
  <c r="Q24" i="3"/>
  <c r="B24" i="3"/>
  <c r="Q23" i="3"/>
  <c r="B23" i="3"/>
  <c r="Q22" i="3"/>
  <c r="B22" i="3"/>
  <c r="Q21" i="3"/>
  <c r="B21" i="3"/>
  <c r="Q20" i="3"/>
  <c r="B20" i="3"/>
  <c r="Q19" i="3"/>
  <c r="B19" i="3"/>
  <c r="Q18" i="3"/>
  <c r="B18" i="3"/>
  <c r="Q17" i="3"/>
  <c r="B17" i="3"/>
  <c r="Q16" i="3"/>
  <c r="B16" i="3"/>
  <c r="Q15" i="3"/>
  <c r="B15" i="3"/>
  <c r="Q14" i="3"/>
  <c r="Q13" i="3"/>
  <c r="B13" i="3"/>
  <c r="Q12" i="3"/>
  <c r="B12" i="3"/>
  <c r="Q11" i="3"/>
  <c r="B11" i="3"/>
  <c r="Q10" i="3"/>
  <c r="P10" i="3"/>
  <c r="P9" i="3"/>
  <c r="B9" i="3"/>
  <c r="P8" i="3"/>
  <c r="B8" i="3"/>
  <c r="P7" i="3"/>
  <c r="B7" i="3"/>
  <c r="P6" i="3"/>
  <c r="B6" i="3"/>
  <c r="P5" i="3"/>
  <c r="B5" i="3"/>
  <c r="P4" i="3"/>
  <c r="B4" i="3"/>
  <c r="B3" i="3"/>
  <c r="Q2" i="3"/>
  <c r="P2" i="3"/>
  <c r="R535" i="2"/>
  <c r="L535" i="2"/>
  <c r="F535" i="2"/>
  <c r="D535" i="2"/>
  <c r="R534" i="2"/>
  <c r="L534" i="2"/>
  <c r="F534" i="2"/>
  <c r="D534" i="2"/>
  <c r="R533" i="2"/>
  <c r="L533" i="2"/>
  <c r="F533" i="2"/>
  <c r="D533" i="2"/>
  <c r="R532" i="2"/>
  <c r="L532" i="2"/>
  <c r="F532" i="2"/>
  <c r="D532" i="2"/>
  <c r="R531" i="2"/>
  <c r="L531" i="2"/>
  <c r="F531" i="2"/>
  <c r="D531" i="2"/>
  <c r="R530" i="2"/>
  <c r="L530" i="2"/>
  <c r="F530" i="2"/>
  <c r="D530" i="2"/>
  <c r="R529" i="2"/>
  <c r="L529" i="2"/>
  <c r="F529" i="2"/>
  <c r="D529" i="2"/>
  <c r="R528" i="2"/>
  <c r="L528" i="2"/>
  <c r="F528" i="2"/>
  <c r="D528" i="2"/>
  <c r="R527" i="2"/>
  <c r="L527" i="2"/>
  <c r="F527" i="2"/>
  <c r="D527" i="2"/>
  <c r="R526" i="2"/>
  <c r="L526" i="2"/>
  <c r="F526" i="2"/>
  <c r="D526" i="2"/>
  <c r="R525" i="2"/>
  <c r="L525" i="2"/>
  <c r="F525" i="2"/>
  <c r="D525" i="2"/>
  <c r="R524" i="2"/>
  <c r="L524" i="2"/>
  <c r="F524" i="2"/>
  <c r="D524" i="2"/>
  <c r="R523" i="2"/>
  <c r="L523" i="2"/>
  <c r="F523" i="2"/>
  <c r="D523" i="2"/>
  <c r="R522" i="2"/>
  <c r="L522" i="2"/>
  <c r="F522" i="2"/>
  <c r="D522" i="2"/>
  <c r="R521" i="2"/>
  <c r="L521" i="2"/>
  <c r="F521" i="2"/>
  <c r="D521" i="2"/>
  <c r="R520" i="2"/>
  <c r="L520" i="2"/>
  <c r="F520" i="2"/>
  <c r="D520" i="2"/>
  <c r="R519" i="2"/>
  <c r="L519" i="2"/>
  <c r="F519" i="2"/>
  <c r="D519" i="2"/>
  <c r="R518" i="2"/>
  <c r="L518" i="2"/>
  <c r="F518" i="2"/>
  <c r="D518" i="2"/>
  <c r="R517" i="2"/>
  <c r="L517" i="2"/>
  <c r="F517" i="2"/>
  <c r="D517" i="2"/>
  <c r="R516" i="2"/>
  <c r="L516" i="2"/>
  <c r="F516" i="2"/>
  <c r="D516" i="2"/>
  <c r="R515" i="2"/>
  <c r="L515" i="2"/>
  <c r="F515" i="2"/>
  <c r="D515" i="2"/>
  <c r="R514" i="2"/>
  <c r="L514" i="2"/>
  <c r="F514" i="2"/>
  <c r="D514" i="2"/>
  <c r="R513" i="2"/>
  <c r="L513" i="2"/>
  <c r="F513" i="2"/>
  <c r="D513" i="2"/>
  <c r="R512" i="2"/>
  <c r="L512" i="2"/>
  <c r="F512" i="2"/>
  <c r="D512" i="2"/>
  <c r="R511" i="2"/>
  <c r="L511" i="2"/>
  <c r="F511" i="2"/>
  <c r="D511" i="2"/>
  <c r="R510" i="2"/>
  <c r="L510" i="2"/>
  <c r="F510" i="2"/>
  <c r="D510" i="2"/>
  <c r="R509" i="2"/>
  <c r="L509" i="2"/>
  <c r="F509" i="2"/>
  <c r="D509" i="2"/>
  <c r="R508" i="2"/>
  <c r="L508" i="2"/>
  <c r="F508" i="2"/>
  <c r="D508" i="2"/>
  <c r="R507" i="2"/>
  <c r="L507" i="2"/>
  <c r="F507" i="2"/>
  <c r="D507" i="2"/>
  <c r="R506" i="2"/>
  <c r="L506" i="2"/>
  <c r="F506" i="2"/>
  <c r="D506" i="2"/>
  <c r="R505" i="2"/>
  <c r="L505" i="2"/>
  <c r="F505" i="2"/>
  <c r="D505" i="2"/>
  <c r="R504" i="2"/>
  <c r="L504" i="2"/>
  <c r="F504" i="2"/>
  <c r="D504" i="2"/>
  <c r="R503" i="2"/>
  <c r="L503" i="2"/>
  <c r="F503" i="2"/>
  <c r="D503" i="2"/>
  <c r="R502" i="2"/>
  <c r="L502" i="2"/>
  <c r="F502" i="2"/>
  <c r="D502" i="2"/>
  <c r="R501" i="2"/>
  <c r="L501" i="2"/>
  <c r="F501" i="2"/>
  <c r="D501" i="2"/>
  <c r="R500" i="2"/>
  <c r="L500" i="2"/>
  <c r="F500" i="2"/>
  <c r="D500" i="2"/>
  <c r="R499" i="2"/>
  <c r="L499" i="2"/>
  <c r="F499" i="2"/>
  <c r="D499" i="2"/>
  <c r="R498" i="2"/>
  <c r="L498" i="2"/>
  <c r="F498" i="2"/>
  <c r="D498" i="2"/>
  <c r="R497" i="2"/>
  <c r="L497" i="2"/>
  <c r="F497" i="2"/>
  <c r="D497" i="2"/>
  <c r="R496" i="2"/>
  <c r="L496" i="2"/>
  <c r="F496" i="2"/>
  <c r="D496" i="2"/>
  <c r="R495" i="2"/>
  <c r="L495" i="2"/>
  <c r="F495" i="2"/>
  <c r="D495" i="2"/>
  <c r="R494" i="2"/>
  <c r="L494" i="2"/>
  <c r="F494" i="2"/>
  <c r="D494" i="2"/>
  <c r="R493" i="2"/>
  <c r="L493" i="2"/>
  <c r="F493" i="2"/>
  <c r="D493" i="2"/>
  <c r="R492" i="2"/>
  <c r="L492" i="2"/>
  <c r="F492" i="2"/>
  <c r="D492" i="2"/>
  <c r="R491" i="2"/>
  <c r="L491" i="2"/>
  <c r="F491" i="2"/>
  <c r="D491" i="2"/>
  <c r="R490" i="2"/>
  <c r="L490" i="2"/>
  <c r="F490" i="2"/>
  <c r="D490" i="2"/>
  <c r="R489" i="2"/>
  <c r="L489" i="2"/>
  <c r="F489" i="2"/>
  <c r="D489" i="2"/>
  <c r="R488" i="2"/>
  <c r="L488" i="2"/>
  <c r="F488" i="2"/>
  <c r="D488" i="2"/>
  <c r="R487" i="2"/>
  <c r="L487" i="2"/>
  <c r="F487" i="2"/>
  <c r="D487" i="2"/>
  <c r="R486" i="2"/>
  <c r="L486" i="2"/>
  <c r="F486" i="2"/>
  <c r="D486" i="2"/>
  <c r="R485" i="2"/>
  <c r="L485" i="2"/>
  <c r="F485" i="2"/>
  <c r="D485" i="2"/>
  <c r="R484" i="2"/>
  <c r="L484" i="2"/>
  <c r="F484" i="2"/>
  <c r="D484" i="2"/>
  <c r="R483" i="2"/>
  <c r="L483" i="2"/>
  <c r="F483" i="2"/>
  <c r="D483" i="2"/>
  <c r="R482" i="2"/>
  <c r="L482" i="2"/>
  <c r="F482" i="2"/>
  <c r="D482" i="2"/>
  <c r="R481" i="2"/>
  <c r="L481" i="2"/>
  <c r="F481" i="2"/>
  <c r="D481" i="2"/>
  <c r="R480" i="2"/>
  <c r="L480" i="2"/>
  <c r="F480" i="2"/>
  <c r="D480" i="2"/>
  <c r="R479" i="2"/>
  <c r="L479" i="2"/>
  <c r="F479" i="2"/>
  <c r="D479" i="2"/>
  <c r="R478" i="2"/>
  <c r="L478" i="2"/>
  <c r="F478" i="2"/>
  <c r="D478" i="2"/>
  <c r="R477" i="2"/>
  <c r="L477" i="2"/>
  <c r="F477" i="2"/>
  <c r="D477" i="2"/>
  <c r="R476" i="2"/>
  <c r="L476" i="2"/>
  <c r="F476" i="2"/>
  <c r="D476" i="2"/>
  <c r="R475" i="2"/>
  <c r="L475" i="2"/>
  <c r="F475" i="2"/>
  <c r="D475" i="2"/>
  <c r="R474" i="2"/>
  <c r="L474" i="2"/>
  <c r="F474" i="2"/>
  <c r="D474" i="2"/>
  <c r="R473" i="2"/>
  <c r="L473" i="2"/>
  <c r="F473" i="2"/>
  <c r="D473" i="2"/>
  <c r="R472" i="2"/>
  <c r="L472" i="2"/>
  <c r="F472" i="2"/>
  <c r="D472" i="2"/>
  <c r="R471" i="2"/>
  <c r="L471" i="2"/>
  <c r="F471" i="2"/>
  <c r="D471" i="2"/>
  <c r="R470" i="2"/>
  <c r="L470" i="2"/>
  <c r="F470" i="2"/>
  <c r="D470" i="2"/>
  <c r="R469" i="2"/>
  <c r="L469" i="2"/>
  <c r="F469" i="2"/>
  <c r="D469" i="2"/>
  <c r="R468" i="2"/>
  <c r="L468" i="2"/>
  <c r="F468" i="2"/>
  <c r="D468" i="2"/>
  <c r="R467" i="2"/>
  <c r="L467" i="2"/>
  <c r="F467" i="2"/>
  <c r="D467" i="2"/>
  <c r="R466" i="2"/>
  <c r="L466" i="2"/>
  <c r="F466" i="2"/>
  <c r="D466" i="2"/>
  <c r="R465" i="2"/>
  <c r="L465" i="2"/>
  <c r="F465" i="2"/>
  <c r="D465" i="2"/>
  <c r="R464" i="2"/>
  <c r="L464" i="2"/>
  <c r="F464" i="2"/>
  <c r="D464" i="2"/>
  <c r="R463" i="2"/>
  <c r="L463" i="2"/>
  <c r="F463" i="2"/>
  <c r="D463" i="2"/>
  <c r="R462" i="2"/>
  <c r="L462" i="2"/>
  <c r="F462" i="2"/>
  <c r="D462" i="2"/>
  <c r="R461" i="2"/>
  <c r="L461" i="2"/>
  <c r="F461" i="2"/>
  <c r="D461" i="2"/>
  <c r="R460" i="2"/>
  <c r="L460" i="2"/>
  <c r="F460" i="2"/>
  <c r="D460" i="2"/>
  <c r="R459" i="2"/>
  <c r="L459" i="2"/>
  <c r="F459" i="2"/>
  <c r="D459" i="2"/>
  <c r="R458" i="2"/>
  <c r="L458" i="2"/>
  <c r="F458" i="2"/>
  <c r="D458" i="2"/>
  <c r="R457" i="2"/>
  <c r="L457" i="2"/>
  <c r="F457" i="2"/>
  <c r="D457" i="2"/>
  <c r="R456" i="2"/>
  <c r="L456" i="2"/>
  <c r="F456" i="2"/>
  <c r="D456" i="2"/>
  <c r="R455" i="2"/>
  <c r="L455" i="2"/>
  <c r="F455" i="2"/>
  <c r="D455" i="2"/>
  <c r="R454" i="2"/>
  <c r="L454" i="2"/>
  <c r="F454" i="2"/>
  <c r="D454" i="2"/>
  <c r="R453" i="2"/>
  <c r="L453" i="2"/>
  <c r="F453" i="2"/>
  <c r="D453" i="2"/>
  <c r="R452" i="2"/>
  <c r="L452" i="2"/>
  <c r="F452" i="2"/>
  <c r="D452" i="2"/>
  <c r="R451" i="2"/>
  <c r="L451" i="2"/>
  <c r="F451" i="2"/>
  <c r="D451" i="2"/>
  <c r="R450" i="2"/>
  <c r="L450" i="2"/>
  <c r="F450" i="2"/>
  <c r="D450" i="2"/>
  <c r="R449" i="2"/>
  <c r="L449" i="2"/>
  <c r="F449" i="2"/>
  <c r="D449" i="2"/>
  <c r="R448" i="2"/>
  <c r="L448" i="2"/>
  <c r="F448" i="2"/>
  <c r="D448" i="2"/>
  <c r="R447" i="2"/>
  <c r="L447" i="2"/>
  <c r="F447" i="2"/>
  <c r="D447" i="2"/>
  <c r="R446" i="2"/>
  <c r="L446" i="2"/>
  <c r="F446" i="2"/>
  <c r="D446" i="2"/>
  <c r="R445" i="2"/>
  <c r="L445" i="2"/>
  <c r="F445" i="2"/>
  <c r="D445" i="2"/>
  <c r="R444" i="2"/>
  <c r="L444" i="2"/>
  <c r="F444" i="2"/>
  <c r="D444" i="2"/>
  <c r="R443" i="2"/>
  <c r="L443" i="2"/>
  <c r="F443" i="2"/>
  <c r="D443" i="2"/>
  <c r="R442" i="2"/>
  <c r="L442" i="2"/>
  <c r="F442" i="2"/>
  <c r="D442" i="2"/>
  <c r="R441" i="2"/>
  <c r="L441" i="2"/>
  <c r="F441" i="2"/>
  <c r="D441" i="2"/>
  <c r="R440" i="2"/>
  <c r="L440" i="2"/>
  <c r="F440" i="2"/>
  <c r="D440" i="2"/>
  <c r="R439" i="2"/>
  <c r="L439" i="2"/>
  <c r="F439" i="2"/>
  <c r="D439" i="2"/>
  <c r="R438" i="2"/>
  <c r="L438" i="2"/>
  <c r="F438" i="2"/>
  <c r="D438" i="2"/>
  <c r="R437" i="2"/>
  <c r="L437" i="2"/>
  <c r="F437" i="2"/>
  <c r="D437" i="2"/>
  <c r="R436" i="2"/>
  <c r="L436" i="2"/>
  <c r="F436" i="2"/>
  <c r="D436" i="2"/>
  <c r="R435" i="2"/>
  <c r="L435" i="2"/>
  <c r="F435" i="2"/>
  <c r="D435" i="2"/>
  <c r="R434" i="2"/>
  <c r="L434" i="2"/>
  <c r="F434" i="2"/>
  <c r="D434" i="2"/>
  <c r="R433" i="2"/>
  <c r="L433" i="2"/>
  <c r="F433" i="2"/>
  <c r="D433" i="2"/>
  <c r="R432" i="2"/>
  <c r="L432" i="2"/>
  <c r="F432" i="2"/>
  <c r="D432" i="2"/>
  <c r="R431" i="2"/>
  <c r="L431" i="2"/>
  <c r="F431" i="2"/>
  <c r="D431" i="2"/>
  <c r="R430" i="2"/>
  <c r="L430" i="2"/>
  <c r="F430" i="2"/>
  <c r="D430" i="2"/>
  <c r="R429" i="2"/>
  <c r="L429" i="2"/>
  <c r="F429" i="2"/>
  <c r="D429" i="2"/>
  <c r="R428" i="2"/>
  <c r="L428" i="2"/>
  <c r="F428" i="2"/>
  <c r="D428" i="2"/>
  <c r="R427" i="2"/>
  <c r="L427" i="2"/>
  <c r="F427" i="2"/>
  <c r="D427" i="2"/>
  <c r="R426" i="2"/>
  <c r="L426" i="2"/>
  <c r="F426" i="2"/>
  <c r="D426" i="2"/>
  <c r="R425" i="2"/>
  <c r="L425" i="2"/>
  <c r="F425" i="2"/>
  <c r="D425" i="2"/>
  <c r="R424" i="2"/>
  <c r="L424" i="2"/>
  <c r="F424" i="2"/>
  <c r="D424" i="2"/>
  <c r="R423" i="2"/>
  <c r="L423" i="2"/>
  <c r="F423" i="2"/>
  <c r="D423" i="2"/>
  <c r="R422" i="2"/>
  <c r="L422" i="2"/>
  <c r="F422" i="2"/>
  <c r="D422" i="2"/>
  <c r="R421" i="2"/>
  <c r="L421" i="2"/>
  <c r="F421" i="2"/>
  <c r="D421" i="2"/>
  <c r="R420" i="2"/>
  <c r="L420" i="2"/>
  <c r="F420" i="2"/>
  <c r="D420" i="2"/>
  <c r="R419" i="2"/>
  <c r="L419" i="2"/>
  <c r="F419" i="2"/>
  <c r="D419" i="2"/>
  <c r="R418" i="2"/>
  <c r="L418" i="2"/>
  <c r="F418" i="2"/>
  <c r="D418" i="2"/>
  <c r="R417" i="2"/>
  <c r="L417" i="2"/>
  <c r="F417" i="2"/>
  <c r="D417" i="2"/>
  <c r="R416" i="2"/>
  <c r="L416" i="2"/>
  <c r="F416" i="2"/>
  <c r="D416" i="2"/>
  <c r="R415" i="2"/>
  <c r="L415" i="2"/>
  <c r="F415" i="2"/>
  <c r="D415" i="2"/>
  <c r="R414" i="2"/>
  <c r="L414" i="2"/>
  <c r="F414" i="2"/>
  <c r="D414" i="2"/>
  <c r="R413" i="2"/>
  <c r="L413" i="2"/>
  <c r="F413" i="2"/>
  <c r="D413" i="2"/>
  <c r="R412" i="2"/>
  <c r="L412" i="2"/>
  <c r="F412" i="2"/>
  <c r="D412" i="2"/>
  <c r="R411" i="2"/>
  <c r="L411" i="2"/>
  <c r="F411" i="2"/>
  <c r="D411" i="2"/>
  <c r="R410" i="2"/>
  <c r="L410" i="2"/>
  <c r="F410" i="2"/>
  <c r="D410" i="2"/>
  <c r="R409" i="2"/>
  <c r="L409" i="2"/>
  <c r="F409" i="2"/>
  <c r="D409" i="2"/>
  <c r="R408" i="2"/>
  <c r="L408" i="2"/>
  <c r="F408" i="2"/>
  <c r="D408" i="2"/>
  <c r="R407" i="2"/>
  <c r="L407" i="2"/>
  <c r="F407" i="2"/>
  <c r="D407" i="2"/>
  <c r="R406" i="2"/>
  <c r="L406" i="2"/>
  <c r="F406" i="2"/>
  <c r="D406" i="2"/>
  <c r="R405" i="2"/>
  <c r="L405" i="2"/>
  <c r="F405" i="2"/>
  <c r="D405" i="2"/>
  <c r="R404" i="2"/>
  <c r="L404" i="2"/>
  <c r="F404" i="2"/>
  <c r="D404" i="2"/>
  <c r="R403" i="2"/>
  <c r="L403" i="2"/>
  <c r="F403" i="2"/>
  <c r="D403" i="2"/>
  <c r="R402" i="2"/>
  <c r="L402" i="2"/>
  <c r="F402" i="2"/>
  <c r="D402" i="2"/>
  <c r="R401" i="2"/>
  <c r="L401" i="2"/>
  <c r="F401" i="2"/>
  <c r="D401" i="2"/>
  <c r="R400" i="2"/>
  <c r="L400" i="2"/>
  <c r="F400" i="2"/>
  <c r="D400" i="2"/>
  <c r="R399" i="2"/>
  <c r="L399" i="2"/>
  <c r="F399" i="2"/>
  <c r="D399" i="2"/>
  <c r="R398" i="2"/>
  <c r="L398" i="2"/>
  <c r="F398" i="2"/>
  <c r="D398" i="2"/>
  <c r="R397" i="2"/>
  <c r="L397" i="2"/>
  <c r="F397" i="2"/>
  <c r="D397" i="2"/>
  <c r="R396" i="2"/>
  <c r="L396" i="2"/>
  <c r="F396" i="2"/>
  <c r="D396" i="2"/>
  <c r="R395" i="2"/>
  <c r="L395" i="2"/>
  <c r="F395" i="2"/>
  <c r="D395" i="2"/>
  <c r="R394" i="2"/>
  <c r="L394" i="2"/>
  <c r="F394" i="2"/>
  <c r="D394" i="2"/>
  <c r="R393" i="2"/>
  <c r="L393" i="2"/>
  <c r="F393" i="2"/>
  <c r="D393" i="2"/>
  <c r="R392" i="2"/>
  <c r="L392" i="2"/>
  <c r="F392" i="2"/>
  <c r="D392" i="2"/>
  <c r="R391" i="2"/>
  <c r="L391" i="2"/>
  <c r="F391" i="2"/>
  <c r="D391" i="2"/>
  <c r="R390" i="2"/>
  <c r="L390" i="2"/>
  <c r="F390" i="2"/>
  <c r="D390" i="2"/>
  <c r="R389" i="2"/>
  <c r="L389" i="2"/>
  <c r="F389" i="2"/>
  <c r="D389" i="2"/>
  <c r="R388" i="2"/>
  <c r="L388" i="2"/>
  <c r="F388" i="2"/>
  <c r="D388" i="2"/>
  <c r="R387" i="2"/>
  <c r="L387" i="2"/>
  <c r="F387" i="2"/>
  <c r="D387" i="2"/>
  <c r="R386" i="2"/>
  <c r="L386" i="2"/>
  <c r="F386" i="2"/>
  <c r="D386" i="2"/>
  <c r="R385" i="2"/>
  <c r="L385" i="2"/>
  <c r="F385" i="2"/>
  <c r="D385" i="2"/>
  <c r="R384" i="2"/>
  <c r="L384" i="2"/>
  <c r="F384" i="2"/>
  <c r="D384" i="2"/>
  <c r="R383" i="2"/>
  <c r="L383" i="2"/>
  <c r="F383" i="2"/>
  <c r="D383" i="2"/>
  <c r="R382" i="2"/>
  <c r="L382" i="2"/>
  <c r="F382" i="2"/>
  <c r="D382" i="2"/>
  <c r="R381" i="2"/>
  <c r="L381" i="2"/>
  <c r="F381" i="2"/>
  <c r="D381" i="2"/>
  <c r="R380" i="2"/>
  <c r="L380" i="2"/>
  <c r="F380" i="2"/>
  <c r="D380" i="2"/>
  <c r="R379" i="2"/>
  <c r="L379" i="2"/>
  <c r="F379" i="2"/>
  <c r="D379" i="2"/>
  <c r="R378" i="2"/>
  <c r="L378" i="2"/>
  <c r="F378" i="2"/>
  <c r="D378" i="2"/>
  <c r="R377" i="2"/>
  <c r="L377" i="2"/>
  <c r="F377" i="2"/>
  <c r="D377" i="2"/>
  <c r="R376" i="2"/>
  <c r="L376" i="2"/>
  <c r="F376" i="2"/>
  <c r="D376" i="2"/>
  <c r="R375" i="2"/>
  <c r="L375" i="2"/>
  <c r="F375" i="2"/>
  <c r="D375" i="2"/>
  <c r="R374" i="2"/>
  <c r="L374" i="2"/>
  <c r="F374" i="2"/>
  <c r="D374" i="2"/>
  <c r="R373" i="2"/>
  <c r="L373" i="2"/>
  <c r="F373" i="2"/>
  <c r="D373" i="2"/>
  <c r="R372" i="2"/>
  <c r="L372" i="2"/>
  <c r="F372" i="2"/>
  <c r="D372" i="2"/>
  <c r="R371" i="2"/>
  <c r="L371" i="2"/>
  <c r="F371" i="2"/>
  <c r="D371" i="2"/>
  <c r="R370" i="2"/>
  <c r="L370" i="2"/>
  <c r="F370" i="2"/>
  <c r="D370" i="2"/>
  <c r="R369" i="2"/>
  <c r="L369" i="2"/>
  <c r="F369" i="2"/>
  <c r="D369" i="2"/>
  <c r="R368" i="2"/>
  <c r="L368" i="2"/>
  <c r="F368" i="2"/>
  <c r="D368" i="2"/>
  <c r="R367" i="2"/>
  <c r="L367" i="2"/>
  <c r="F367" i="2"/>
  <c r="D367" i="2"/>
  <c r="R366" i="2"/>
  <c r="L366" i="2"/>
  <c r="F366" i="2"/>
  <c r="D366" i="2"/>
  <c r="R365" i="2"/>
  <c r="L365" i="2"/>
  <c r="F365" i="2"/>
  <c r="D365" i="2"/>
  <c r="R364" i="2"/>
  <c r="L364" i="2"/>
  <c r="F364" i="2"/>
  <c r="D364" i="2"/>
  <c r="R363" i="2"/>
  <c r="L363" i="2"/>
  <c r="F363" i="2"/>
  <c r="D363" i="2"/>
  <c r="R362" i="2"/>
  <c r="L362" i="2"/>
  <c r="F362" i="2"/>
  <c r="D362" i="2"/>
  <c r="R361" i="2"/>
  <c r="L361" i="2"/>
  <c r="F361" i="2"/>
  <c r="D361" i="2"/>
  <c r="R360" i="2"/>
  <c r="L360" i="2"/>
  <c r="F360" i="2"/>
  <c r="D360" i="2"/>
  <c r="R359" i="2"/>
  <c r="L359" i="2"/>
  <c r="F359" i="2"/>
  <c r="D359" i="2"/>
  <c r="R358" i="2"/>
  <c r="L358" i="2"/>
  <c r="F358" i="2"/>
  <c r="D358" i="2"/>
  <c r="R357" i="2"/>
  <c r="L357" i="2"/>
  <c r="F357" i="2"/>
  <c r="D357" i="2"/>
  <c r="R356" i="2"/>
  <c r="L356" i="2"/>
  <c r="F356" i="2"/>
  <c r="D356" i="2"/>
  <c r="R355" i="2"/>
  <c r="L355" i="2"/>
  <c r="F355" i="2"/>
  <c r="D355" i="2"/>
  <c r="R354" i="2"/>
  <c r="L354" i="2"/>
  <c r="F354" i="2"/>
  <c r="D354" i="2"/>
  <c r="R353" i="2"/>
  <c r="L353" i="2"/>
  <c r="F353" i="2"/>
  <c r="D353" i="2"/>
  <c r="R352" i="2"/>
  <c r="L352" i="2"/>
  <c r="F352" i="2"/>
  <c r="D352" i="2"/>
  <c r="R351" i="2"/>
  <c r="L351" i="2"/>
  <c r="F351" i="2"/>
  <c r="D351" i="2"/>
  <c r="R350" i="2"/>
  <c r="L350" i="2"/>
  <c r="F350" i="2"/>
  <c r="D350" i="2"/>
  <c r="R349" i="2"/>
  <c r="L349" i="2"/>
  <c r="F349" i="2"/>
  <c r="D349" i="2"/>
  <c r="R348" i="2"/>
  <c r="L348" i="2"/>
  <c r="F348" i="2"/>
  <c r="D348" i="2"/>
  <c r="R347" i="2"/>
  <c r="L347" i="2"/>
  <c r="F347" i="2"/>
  <c r="D347" i="2"/>
  <c r="R346" i="2"/>
  <c r="L346" i="2"/>
  <c r="F346" i="2"/>
  <c r="D346" i="2"/>
  <c r="R345" i="2"/>
  <c r="L345" i="2"/>
  <c r="F345" i="2"/>
  <c r="D345" i="2"/>
  <c r="R344" i="2"/>
  <c r="L344" i="2"/>
  <c r="F344" i="2"/>
  <c r="D344" i="2"/>
  <c r="R343" i="2"/>
  <c r="L343" i="2"/>
  <c r="F343" i="2"/>
  <c r="D343" i="2"/>
  <c r="R342" i="2"/>
  <c r="L342" i="2"/>
  <c r="F342" i="2"/>
  <c r="D342" i="2"/>
  <c r="R341" i="2"/>
  <c r="L341" i="2"/>
  <c r="F341" i="2"/>
  <c r="D341" i="2"/>
  <c r="R340" i="2"/>
  <c r="L340" i="2"/>
  <c r="F340" i="2"/>
  <c r="D340" i="2"/>
  <c r="R339" i="2"/>
  <c r="L339" i="2"/>
  <c r="F339" i="2"/>
  <c r="D339" i="2"/>
  <c r="R338" i="2"/>
  <c r="L338" i="2"/>
  <c r="F338" i="2"/>
  <c r="D338" i="2"/>
  <c r="R337" i="2"/>
  <c r="L337" i="2"/>
  <c r="F337" i="2"/>
  <c r="D337" i="2"/>
  <c r="R336" i="2"/>
  <c r="L336" i="2"/>
  <c r="F336" i="2"/>
  <c r="D336" i="2"/>
  <c r="R335" i="2"/>
  <c r="L335" i="2"/>
  <c r="F335" i="2"/>
  <c r="D335" i="2"/>
  <c r="R334" i="2"/>
  <c r="L334" i="2"/>
  <c r="F334" i="2"/>
  <c r="D334" i="2"/>
  <c r="R333" i="2"/>
  <c r="L333" i="2"/>
  <c r="F333" i="2"/>
  <c r="D333" i="2"/>
  <c r="R332" i="2"/>
  <c r="L332" i="2"/>
  <c r="F332" i="2"/>
  <c r="D332" i="2"/>
  <c r="R331" i="2"/>
  <c r="L331" i="2"/>
  <c r="F331" i="2"/>
  <c r="D331" i="2"/>
  <c r="R330" i="2"/>
  <c r="L330" i="2"/>
  <c r="F330" i="2"/>
  <c r="D330" i="2"/>
  <c r="R329" i="2"/>
  <c r="L329" i="2"/>
  <c r="F329" i="2"/>
  <c r="D329" i="2"/>
  <c r="R328" i="2"/>
  <c r="L328" i="2"/>
  <c r="F328" i="2"/>
  <c r="D328" i="2"/>
  <c r="R327" i="2"/>
  <c r="L327" i="2"/>
  <c r="F327" i="2"/>
  <c r="D327" i="2"/>
  <c r="R326" i="2"/>
  <c r="L326" i="2"/>
  <c r="F326" i="2"/>
  <c r="D326" i="2"/>
  <c r="R325" i="2"/>
  <c r="L325" i="2"/>
  <c r="F325" i="2"/>
  <c r="D325" i="2"/>
  <c r="R324" i="2"/>
  <c r="L324" i="2"/>
  <c r="F324" i="2"/>
  <c r="D324" i="2"/>
  <c r="R323" i="2"/>
  <c r="L323" i="2"/>
  <c r="F323" i="2"/>
  <c r="D323" i="2"/>
  <c r="R322" i="2"/>
  <c r="L322" i="2"/>
  <c r="F322" i="2"/>
  <c r="D322" i="2"/>
  <c r="R321" i="2"/>
  <c r="L321" i="2"/>
  <c r="F321" i="2"/>
  <c r="D321" i="2"/>
  <c r="R320" i="2"/>
  <c r="L320" i="2"/>
  <c r="F320" i="2"/>
  <c r="D320" i="2"/>
  <c r="R319" i="2"/>
  <c r="L319" i="2"/>
  <c r="F319" i="2"/>
  <c r="D319" i="2"/>
  <c r="R318" i="2"/>
  <c r="L318" i="2"/>
  <c r="F318" i="2"/>
  <c r="D318" i="2"/>
  <c r="R317" i="2"/>
  <c r="L317" i="2"/>
  <c r="F317" i="2"/>
  <c r="D317" i="2"/>
  <c r="R316" i="2"/>
  <c r="L316" i="2"/>
  <c r="F316" i="2"/>
  <c r="D316" i="2"/>
  <c r="R315" i="2"/>
  <c r="L315" i="2"/>
  <c r="F315" i="2"/>
  <c r="D315" i="2"/>
  <c r="R314" i="2"/>
  <c r="L314" i="2"/>
  <c r="F314" i="2"/>
  <c r="D314" i="2"/>
  <c r="R313" i="2"/>
  <c r="L313" i="2"/>
  <c r="F313" i="2"/>
  <c r="D313" i="2"/>
  <c r="R312" i="2"/>
  <c r="L312" i="2"/>
  <c r="F312" i="2"/>
  <c r="D312" i="2"/>
  <c r="R311" i="2"/>
  <c r="L311" i="2"/>
  <c r="F311" i="2"/>
  <c r="D311" i="2"/>
  <c r="R310" i="2"/>
  <c r="L310" i="2"/>
  <c r="F310" i="2"/>
  <c r="D310" i="2"/>
  <c r="R309" i="2"/>
  <c r="L309" i="2"/>
  <c r="F309" i="2"/>
  <c r="D309" i="2"/>
  <c r="R308" i="2"/>
  <c r="L308" i="2"/>
  <c r="F308" i="2"/>
  <c r="D308" i="2"/>
  <c r="R307" i="2"/>
  <c r="L307" i="2"/>
  <c r="F307" i="2"/>
  <c r="D307" i="2"/>
  <c r="R306" i="2"/>
  <c r="L306" i="2"/>
  <c r="F306" i="2"/>
  <c r="D306" i="2"/>
  <c r="R305" i="2"/>
  <c r="L305" i="2"/>
  <c r="F305" i="2"/>
  <c r="D305" i="2"/>
  <c r="R304" i="2"/>
  <c r="L304" i="2"/>
  <c r="F304" i="2"/>
  <c r="D304" i="2"/>
  <c r="R303" i="2"/>
  <c r="L303" i="2"/>
  <c r="F303" i="2"/>
  <c r="D303" i="2"/>
  <c r="R302" i="2"/>
  <c r="L302" i="2"/>
  <c r="F302" i="2"/>
  <c r="D302" i="2"/>
  <c r="R301" i="2"/>
  <c r="L301" i="2"/>
  <c r="F301" i="2"/>
  <c r="D301" i="2"/>
  <c r="R300" i="2"/>
  <c r="L300" i="2"/>
  <c r="F300" i="2"/>
  <c r="D300" i="2"/>
  <c r="R299" i="2"/>
  <c r="L299" i="2"/>
  <c r="F299" i="2"/>
  <c r="D299" i="2"/>
  <c r="R298" i="2"/>
  <c r="L298" i="2"/>
  <c r="F298" i="2"/>
  <c r="D298" i="2"/>
  <c r="R297" i="2"/>
  <c r="L297" i="2"/>
  <c r="F297" i="2"/>
  <c r="D297" i="2"/>
  <c r="R296" i="2"/>
  <c r="L296" i="2"/>
  <c r="F296" i="2"/>
  <c r="D296" i="2"/>
  <c r="R295" i="2"/>
  <c r="L295" i="2"/>
  <c r="F295" i="2"/>
  <c r="D295" i="2"/>
  <c r="R294" i="2"/>
  <c r="L294" i="2"/>
  <c r="F294" i="2"/>
  <c r="D294" i="2"/>
  <c r="R293" i="2"/>
  <c r="L293" i="2"/>
  <c r="F293" i="2"/>
  <c r="D293" i="2"/>
  <c r="R292" i="2"/>
  <c r="L292" i="2"/>
  <c r="F292" i="2"/>
  <c r="D292" i="2"/>
  <c r="R291" i="2"/>
  <c r="L291" i="2"/>
  <c r="F291" i="2"/>
  <c r="D291" i="2"/>
  <c r="R290" i="2"/>
  <c r="L290" i="2"/>
  <c r="F290" i="2"/>
  <c r="D290" i="2"/>
  <c r="R289" i="2"/>
  <c r="L289" i="2"/>
  <c r="F289" i="2"/>
  <c r="D289" i="2"/>
  <c r="R288" i="2"/>
  <c r="L288" i="2"/>
  <c r="F288" i="2"/>
  <c r="D288" i="2"/>
  <c r="R287" i="2"/>
  <c r="L287" i="2"/>
  <c r="F287" i="2"/>
  <c r="D287" i="2"/>
  <c r="R286" i="2"/>
  <c r="L286" i="2"/>
  <c r="F286" i="2"/>
  <c r="D286" i="2"/>
  <c r="R285" i="2"/>
  <c r="L285" i="2"/>
  <c r="F285" i="2"/>
  <c r="D285" i="2"/>
  <c r="R284" i="2"/>
  <c r="L284" i="2"/>
  <c r="F284" i="2"/>
  <c r="D284" i="2"/>
  <c r="R283" i="2"/>
  <c r="L283" i="2"/>
  <c r="F283" i="2"/>
  <c r="D283" i="2"/>
  <c r="R282" i="2"/>
  <c r="L282" i="2"/>
  <c r="F282" i="2"/>
  <c r="D282" i="2"/>
  <c r="R281" i="2"/>
  <c r="L281" i="2"/>
  <c r="F281" i="2"/>
  <c r="D281" i="2"/>
  <c r="R280" i="2"/>
  <c r="L280" i="2"/>
  <c r="F280" i="2"/>
  <c r="D280" i="2"/>
  <c r="R279" i="2"/>
  <c r="L279" i="2"/>
  <c r="F279" i="2"/>
  <c r="D279" i="2"/>
  <c r="R278" i="2"/>
  <c r="L278" i="2"/>
  <c r="F278" i="2"/>
  <c r="D278" i="2"/>
  <c r="R277" i="2"/>
  <c r="L277" i="2"/>
  <c r="F277" i="2"/>
  <c r="D277" i="2"/>
  <c r="R276" i="2"/>
  <c r="L276" i="2"/>
  <c r="F276" i="2"/>
  <c r="D276" i="2"/>
  <c r="R275" i="2"/>
  <c r="L275" i="2"/>
  <c r="F275" i="2"/>
  <c r="D275" i="2"/>
  <c r="R274" i="2"/>
  <c r="L274" i="2"/>
  <c r="F274" i="2"/>
  <c r="D274" i="2"/>
  <c r="R273" i="2"/>
  <c r="L273" i="2"/>
  <c r="F273" i="2"/>
  <c r="D273" i="2"/>
  <c r="R272" i="2"/>
  <c r="L272" i="2"/>
  <c r="F272" i="2"/>
  <c r="D272" i="2"/>
  <c r="R271" i="2"/>
  <c r="L271" i="2"/>
  <c r="F271" i="2"/>
  <c r="D271" i="2"/>
  <c r="R270" i="2"/>
  <c r="L270" i="2"/>
  <c r="F270" i="2"/>
  <c r="D270" i="2"/>
  <c r="R269" i="2"/>
  <c r="L269" i="2"/>
  <c r="F269" i="2"/>
  <c r="D269" i="2"/>
  <c r="R268" i="2"/>
  <c r="L268" i="2"/>
  <c r="F268" i="2"/>
  <c r="D268" i="2"/>
  <c r="R267" i="2"/>
  <c r="L267" i="2"/>
  <c r="F267" i="2"/>
  <c r="D267" i="2"/>
  <c r="R266" i="2"/>
  <c r="L266" i="2"/>
  <c r="F266" i="2"/>
  <c r="D266" i="2"/>
  <c r="R265" i="2"/>
  <c r="L265" i="2"/>
  <c r="F265" i="2"/>
  <c r="D265" i="2"/>
  <c r="R264" i="2"/>
  <c r="L264" i="2"/>
  <c r="F264" i="2"/>
  <c r="D264" i="2"/>
  <c r="R263" i="2"/>
  <c r="L263" i="2"/>
  <c r="F263" i="2"/>
  <c r="D263" i="2"/>
  <c r="R262" i="2"/>
  <c r="L262" i="2"/>
  <c r="F262" i="2"/>
  <c r="D262" i="2"/>
  <c r="R261" i="2"/>
  <c r="L261" i="2"/>
  <c r="F261" i="2"/>
  <c r="D261" i="2"/>
  <c r="R260" i="2"/>
  <c r="L260" i="2"/>
  <c r="F260" i="2"/>
  <c r="D260" i="2"/>
  <c r="R259" i="2"/>
  <c r="L259" i="2"/>
  <c r="F259" i="2"/>
  <c r="D259" i="2"/>
  <c r="R258" i="2"/>
  <c r="L258" i="2"/>
  <c r="F258" i="2"/>
  <c r="D258" i="2"/>
  <c r="R257" i="2"/>
  <c r="L257" i="2"/>
  <c r="F257" i="2"/>
  <c r="D257" i="2"/>
  <c r="R256" i="2"/>
  <c r="L256" i="2"/>
  <c r="F256" i="2"/>
  <c r="D256" i="2"/>
  <c r="R255" i="2"/>
  <c r="L255" i="2"/>
  <c r="F255" i="2"/>
  <c r="D255" i="2"/>
  <c r="R254" i="2"/>
  <c r="L254" i="2"/>
  <c r="F254" i="2"/>
  <c r="D254" i="2"/>
  <c r="R253" i="2"/>
  <c r="L253" i="2"/>
  <c r="F253" i="2"/>
  <c r="D253" i="2"/>
  <c r="R252" i="2"/>
  <c r="L252" i="2"/>
  <c r="F252" i="2"/>
  <c r="D252" i="2"/>
  <c r="R251" i="2"/>
  <c r="L251" i="2"/>
  <c r="F251" i="2"/>
  <c r="D251" i="2"/>
  <c r="R250" i="2"/>
  <c r="L250" i="2"/>
  <c r="F250" i="2"/>
  <c r="D250" i="2"/>
  <c r="R249" i="2"/>
  <c r="L249" i="2"/>
  <c r="F249" i="2"/>
  <c r="D249" i="2"/>
  <c r="R248" i="2"/>
  <c r="L248" i="2"/>
  <c r="F248" i="2"/>
  <c r="D248" i="2"/>
  <c r="R247" i="2"/>
  <c r="L247" i="2"/>
  <c r="F247" i="2"/>
  <c r="D247" i="2"/>
  <c r="R246" i="2"/>
  <c r="L246" i="2"/>
  <c r="F246" i="2"/>
  <c r="D246" i="2"/>
  <c r="R245" i="2"/>
  <c r="L245" i="2"/>
  <c r="F245" i="2"/>
  <c r="D245" i="2"/>
  <c r="R244" i="2"/>
  <c r="L244" i="2"/>
  <c r="F244" i="2"/>
  <c r="D244" i="2"/>
  <c r="R243" i="2"/>
  <c r="L243" i="2"/>
  <c r="F243" i="2"/>
  <c r="D243" i="2"/>
  <c r="R242" i="2"/>
  <c r="L242" i="2"/>
  <c r="F242" i="2"/>
  <c r="D242" i="2"/>
  <c r="R241" i="2"/>
  <c r="L241" i="2"/>
  <c r="F241" i="2"/>
  <c r="D241" i="2"/>
  <c r="R240" i="2"/>
  <c r="L240" i="2"/>
  <c r="F240" i="2"/>
  <c r="D240" i="2"/>
  <c r="R239" i="2"/>
  <c r="L239" i="2"/>
  <c r="F239" i="2"/>
  <c r="D239" i="2"/>
  <c r="R238" i="2"/>
  <c r="L238" i="2"/>
  <c r="F238" i="2"/>
  <c r="D238" i="2"/>
  <c r="R237" i="2"/>
  <c r="L237" i="2"/>
  <c r="F237" i="2"/>
  <c r="D237" i="2"/>
  <c r="R236" i="2"/>
  <c r="L236" i="2"/>
  <c r="F236" i="2"/>
  <c r="D236" i="2"/>
  <c r="R235" i="2"/>
  <c r="L235" i="2"/>
  <c r="F235" i="2"/>
  <c r="D235" i="2"/>
  <c r="R234" i="2"/>
  <c r="L234" i="2"/>
  <c r="F234" i="2"/>
  <c r="D234" i="2"/>
  <c r="R233" i="2"/>
  <c r="L233" i="2"/>
  <c r="F233" i="2"/>
  <c r="D233" i="2"/>
  <c r="R232" i="2"/>
  <c r="L232" i="2"/>
  <c r="F232" i="2"/>
  <c r="D232" i="2"/>
  <c r="R231" i="2"/>
  <c r="L231" i="2"/>
  <c r="F231" i="2"/>
  <c r="D231" i="2"/>
  <c r="R230" i="2"/>
  <c r="L230" i="2"/>
  <c r="F230" i="2"/>
  <c r="D230" i="2"/>
  <c r="R229" i="2"/>
  <c r="L229" i="2"/>
  <c r="F229" i="2"/>
  <c r="D229" i="2"/>
  <c r="R228" i="2"/>
  <c r="L228" i="2"/>
  <c r="F228" i="2"/>
  <c r="D228" i="2"/>
  <c r="R227" i="2"/>
  <c r="L227" i="2"/>
  <c r="F227" i="2"/>
  <c r="D227" i="2"/>
  <c r="R226" i="2"/>
  <c r="L226" i="2"/>
  <c r="F226" i="2"/>
  <c r="D226" i="2"/>
  <c r="R225" i="2"/>
  <c r="L225" i="2"/>
  <c r="F225" i="2"/>
  <c r="D225" i="2"/>
  <c r="R224" i="2"/>
  <c r="L224" i="2"/>
  <c r="F224" i="2"/>
  <c r="D224" i="2"/>
  <c r="R223" i="2"/>
  <c r="L223" i="2"/>
  <c r="F223" i="2"/>
  <c r="D223" i="2"/>
  <c r="R222" i="2"/>
  <c r="L222" i="2"/>
  <c r="F222" i="2"/>
  <c r="D222" i="2"/>
  <c r="R221" i="2"/>
  <c r="L221" i="2"/>
  <c r="F221" i="2"/>
  <c r="D221" i="2"/>
  <c r="R220" i="2"/>
  <c r="L220" i="2"/>
  <c r="F220" i="2"/>
  <c r="D220" i="2"/>
  <c r="R219" i="2"/>
  <c r="L219" i="2"/>
  <c r="F219" i="2"/>
  <c r="D219" i="2"/>
  <c r="R218" i="2"/>
  <c r="L218" i="2"/>
  <c r="F218" i="2"/>
  <c r="D218" i="2"/>
  <c r="R217" i="2"/>
  <c r="L217" i="2"/>
  <c r="F217" i="2"/>
  <c r="D217" i="2"/>
  <c r="R216" i="2"/>
  <c r="L216" i="2"/>
  <c r="F216" i="2"/>
  <c r="D216" i="2"/>
  <c r="R215" i="2"/>
  <c r="L215" i="2"/>
  <c r="F215" i="2"/>
  <c r="D215" i="2"/>
  <c r="R214" i="2"/>
  <c r="L214" i="2"/>
  <c r="F214" i="2"/>
  <c r="D214" i="2"/>
  <c r="R213" i="2"/>
  <c r="L213" i="2"/>
  <c r="F213" i="2"/>
  <c r="D213" i="2"/>
  <c r="R212" i="2"/>
  <c r="L212" i="2"/>
  <c r="F212" i="2"/>
  <c r="D212" i="2"/>
  <c r="R211" i="2"/>
  <c r="L211" i="2"/>
  <c r="F211" i="2"/>
  <c r="D211" i="2"/>
  <c r="R210" i="2"/>
  <c r="L210" i="2"/>
  <c r="F210" i="2"/>
  <c r="D210" i="2"/>
  <c r="R209" i="2"/>
  <c r="L209" i="2"/>
  <c r="F209" i="2"/>
  <c r="D209" i="2"/>
  <c r="R208" i="2"/>
  <c r="L208" i="2"/>
  <c r="F208" i="2"/>
  <c r="D208" i="2"/>
  <c r="R207" i="2"/>
  <c r="L207" i="2"/>
  <c r="F207" i="2"/>
  <c r="D207" i="2"/>
  <c r="R206" i="2"/>
  <c r="L206" i="2"/>
  <c r="F206" i="2"/>
  <c r="D206" i="2"/>
  <c r="R205" i="2"/>
  <c r="L205" i="2"/>
  <c r="F205" i="2"/>
  <c r="D205" i="2"/>
  <c r="R204" i="2"/>
  <c r="L204" i="2"/>
  <c r="F204" i="2"/>
  <c r="D204" i="2"/>
  <c r="R203" i="2"/>
  <c r="L203" i="2"/>
  <c r="F203" i="2"/>
  <c r="D203" i="2"/>
  <c r="R202" i="2"/>
  <c r="L202" i="2"/>
  <c r="F202" i="2"/>
  <c r="D202" i="2"/>
  <c r="R201" i="2"/>
  <c r="L201" i="2"/>
  <c r="F201" i="2"/>
  <c r="D201" i="2"/>
  <c r="R200" i="2"/>
  <c r="L200" i="2"/>
  <c r="F200" i="2"/>
  <c r="D200" i="2"/>
  <c r="R199" i="2"/>
  <c r="L199" i="2"/>
  <c r="F199" i="2"/>
  <c r="D199" i="2"/>
  <c r="R198" i="2"/>
  <c r="L198" i="2"/>
  <c r="F198" i="2"/>
  <c r="D198" i="2"/>
  <c r="R197" i="2"/>
  <c r="L197" i="2"/>
  <c r="F197" i="2"/>
  <c r="D197" i="2"/>
  <c r="R196" i="2"/>
  <c r="L196" i="2"/>
  <c r="F196" i="2"/>
  <c r="D196" i="2"/>
  <c r="R195" i="2"/>
  <c r="L195" i="2"/>
  <c r="F195" i="2"/>
  <c r="D195" i="2"/>
  <c r="R194" i="2"/>
  <c r="L194" i="2"/>
  <c r="F194" i="2"/>
  <c r="D194" i="2"/>
  <c r="R193" i="2"/>
  <c r="L193" i="2"/>
  <c r="F193" i="2"/>
  <c r="D193" i="2"/>
  <c r="R192" i="2"/>
  <c r="L192" i="2"/>
  <c r="F192" i="2"/>
  <c r="D192" i="2"/>
  <c r="R191" i="2"/>
  <c r="L191" i="2"/>
  <c r="F191" i="2"/>
  <c r="D191" i="2"/>
  <c r="R190" i="2"/>
  <c r="L190" i="2"/>
  <c r="F190" i="2"/>
  <c r="D190" i="2"/>
  <c r="R189" i="2"/>
  <c r="L189" i="2"/>
  <c r="F189" i="2"/>
  <c r="D189" i="2"/>
  <c r="R188" i="2"/>
  <c r="L188" i="2"/>
  <c r="F188" i="2"/>
  <c r="D188" i="2"/>
  <c r="R187" i="2"/>
  <c r="L187" i="2"/>
  <c r="F187" i="2"/>
  <c r="D187" i="2"/>
  <c r="R186" i="2"/>
  <c r="L186" i="2"/>
  <c r="F186" i="2"/>
  <c r="D186" i="2"/>
  <c r="R185" i="2"/>
  <c r="L185" i="2"/>
  <c r="F185" i="2"/>
  <c r="D185" i="2"/>
  <c r="R184" i="2"/>
  <c r="L184" i="2"/>
  <c r="F184" i="2"/>
  <c r="D184" i="2"/>
  <c r="R183" i="2"/>
  <c r="L183" i="2"/>
  <c r="F183" i="2"/>
  <c r="D183" i="2"/>
  <c r="R182" i="2"/>
  <c r="L182" i="2"/>
  <c r="F182" i="2"/>
  <c r="D182" i="2"/>
  <c r="R181" i="2"/>
  <c r="L181" i="2"/>
  <c r="F181" i="2"/>
  <c r="D181" i="2"/>
  <c r="R180" i="2"/>
  <c r="L180" i="2"/>
  <c r="F180" i="2"/>
  <c r="D180" i="2"/>
  <c r="R179" i="2"/>
  <c r="L179" i="2"/>
  <c r="F179" i="2"/>
  <c r="D179" i="2"/>
  <c r="R178" i="2"/>
  <c r="L178" i="2"/>
  <c r="F178" i="2"/>
  <c r="D178" i="2"/>
  <c r="R177" i="2"/>
  <c r="L177" i="2"/>
  <c r="F177" i="2"/>
  <c r="D177" i="2"/>
  <c r="R176" i="2"/>
  <c r="L176" i="2"/>
  <c r="F176" i="2"/>
  <c r="D176" i="2"/>
  <c r="R175" i="2"/>
  <c r="L175" i="2"/>
  <c r="F175" i="2"/>
  <c r="D175" i="2"/>
  <c r="R174" i="2"/>
  <c r="L174" i="2"/>
  <c r="F174" i="2"/>
  <c r="D174" i="2"/>
  <c r="R173" i="2"/>
  <c r="L173" i="2"/>
  <c r="F173" i="2"/>
  <c r="D173" i="2"/>
  <c r="R172" i="2"/>
  <c r="L172" i="2"/>
  <c r="F172" i="2"/>
  <c r="D172" i="2"/>
  <c r="R171" i="2"/>
  <c r="L171" i="2"/>
  <c r="F171" i="2"/>
  <c r="D171" i="2"/>
  <c r="R170" i="2"/>
  <c r="L170" i="2"/>
  <c r="F170" i="2"/>
  <c r="D170" i="2"/>
  <c r="R169" i="2"/>
  <c r="L169" i="2"/>
  <c r="F169" i="2"/>
  <c r="D169" i="2"/>
  <c r="R168" i="2"/>
  <c r="L168" i="2"/>
  <c r="F168" i="2"/>
  <c r="D168" i="2"/>
  <c r="R167" i="2"/>
  <c r="L167" i="2"/>
  <c r="F167" i="2"/>
  <c r="D167" i="2"/>
  <c r="R166" i="2"/>
  <c r="L166" i="2"/>
  <c r="F166" i="2"/>
  <c r="D166" i="2"/>
  <c r="R165" i="2"/>
  <c r="L165" i="2"/>
  <c r="F165" i="2"/>
  <c r="D165" i="2"/>
  <c r="R164" i="2"/>
  <c r="L164" i="2"/>
  <c r="F164" i="2"/>
  <c r="D164" i="2"/>
  <c r="R163" i="2"/>
  <c r="L163" i="2"/>
  <c r="F163" i="2"/>
  <c r="D163" i="2"/>
  <c r="R162" i="2"/>
  <c r="L162" i="2"/>
  <c r="F162" i="2"/>
  <c r="D162" i="2"/>
  <c r="R161" i="2"/>
  <c r="L161" i="2"/>
  <c r="F161" i="2"/>
  <c r="D161" i="2"/>
  <c r="R160" i="2"/>
  <c r="L160" i="2"/>
  <c r="F160" i="2"/>
  <c r="D160" i="2"/>
  <c r="R159" i="2"/>
  <c r="L159" i="2"/>
  <c r="F159" i="2"/>
  <c r="D159" i="2"/>
  <c r="R158" i="2"/>
  <c r="L158" i="2"/>
  <c r="F158" i="2"/>
  <c r="D158" i="2"/>
  <c r="R157" i="2"/>
  <c r="L157" i="2"/>
  <c r="F157" i="2"/>
  <c r="D157" i="2"/>
  <c r="R156" i="2"/>
  <c r="L156" i="2"/>
  <c r="F156" i="2"/>
  <c r="D156" i="2"/>
  <c r="R155" i="2"/>
  <c r="L155" i="2"/>
  <c r="F155" i="2"/>
  <c r="D155" i="2"/>
  <c r="R154" i="2"/>
  <c r="L154" i="2"/>
  <c r="F154" i="2"/>
  <c r="D154" i="2"/>
  <c r="R153" i="2"/>
  <c r="L153" i="2"/>
  <c r="F153" i="2"/>
  <c r="D153" i="2"/>
  <c r="R152" i="2"/>
  <c r="L152" i="2"/>
  <c r="F152" i="2"/>
  <c r="D152" i="2"/>
  <c r="R151" i="2"/>
  <c r="L151" i="2"/>
  <c r="F151" i="2"/>
  <c r="D151" i="2"/>
  <c r="R150" i="2"/>
  <c r="L150" i="2"/>
  <c r="F150" i="2"/>
  <c r="D150" i="2"/>
  <c r="R149" i="2"/>
  <c r="L149" i="2"/>
  <c r="F149" i="2"/>
  <c r="D149" i="2"/>
  <c r="R148" i="2"/>
  <c r="L148" i="2"/>
  <c r="F148" i="2"/>
  <c r="D148" i="2"/>
  <c r="R147" i="2"/>
  <c r="L147" i="2"/>
  <c r="F147" i="2"/>
  <c r="D147" i="2"/>
  <c r="R146" i="2"/>
  <c r="L146" i="2"/>
  <c r="F146" i="2"/>
  <c r="D146" i="2"/>
  <c r="R145" i="2"/>
  <c r="L145" i="2"/>
  <c r="F145" i="2"/>
  <c r="D145" i="2"/>
  <c r="R144" i="2"/>
  <c r="L144" i="2"/>
  <c r="F144" i="2"/>
  <c r="D144" i="2"/>
  <c r="R143" i="2"/>
  <c r="L143" i="2"/>
  <c r="F143" i="2"/>
  <c r="D143" i="2"/>
  <c r="R142" i="2"/>
  <c r="L142" i="2"/>
  <c r="F142" i="2"/>
  <c r="D142" i="2"/>
  <c r="R141" i="2"/>
  <c r="L141" i="2"/>
  <c r="F141" i="2"/>
  <c r="D141" i="2"/>
  <c r="R140" i="2"/>
  <c r="L140" i="2"/>
  <c r="F140" i="2"/>
  <c r="D140" i="2"/>
  <c r="R139" i="2"/>
  <c r="L139" i="2"/>
  <c r="F139" i="2"/>
  <c r="D139" i="2"/>
  <c r="R138" i="2"/>
  <c r="L138" i="2"/>
  <c r="F138" i="2"/>
  <c r="D138" i="2"/>
  <c r="R137" i="2"/>
  <c r="L137" i="2"/>
  <c r="F137" i="2"/>
  <c r="D137" i="2"/>
  <c r="R136" i="2"/>
  <c r="L136" i="2"/>
  <c r="F136" i="2"/>
  <c r="D136" i="2"/>
  <c r="R135" i="2"/>
  <c r="L135" i="2"/>
  <c r="F135" i="2"/>
  <c r="D135" i="2"/>
  <c r="R134" i="2"/>
  <c r="L134" i="2"/>
  <c r="F134" i="2"/>
  <c r="D134" i="2"/>
  <c r="R133" i="2"/>
  <c r="L133" i="2"/>
  <c r="F133" i="2"/>
  <c r="D133" i="2"/>
  <c r="R132" i="2"/>
  <c r="L132" i="2"/>
  <c r="F132" i="2"/>
  <c r="D132" i="2"/>
  <c r="R131" i="2"/>
  <c r="L131" i="2"/>
  <c r="F131" i="2"/>
  <c r="D131" i="2"/>
  <c r="R130" i="2"/>
  <c r="L130" i="2"/>
  <c r="F130" i="2"/>
  <c r="D130" i="2"/>
  <c r="R129" i="2"/>
  <c r="L129" i="2"/>
  <c r="F129" i="2"/>
  <c r="D129" i="2"/>
  <c r="R128" i="2"/>
  <c r="L128" i="2"/>
  <c r="F128" i="2"/>
  <c r="D128" i="2"/>
  <c r="R127" i="2"/>
  <c r="L127" i="2"/>
  <c r="F127" i="2"/>
  <c r="D127" i="2"/>
  <c r="R126" i="2"/>
  <c r="L126" i="2"/>
  <c r="F126" i="2"/>
  <c r="D126" i="2"/>
  <c r="R125" i="2"/>
  <c r="L125" i="2"/>
  <c r="F125" i="2"/>
  <c r="D125" i="2"/>
  <c r="R124" i="2"/>
  <c r="L124" i="2"/>
  <c r="F124" i="2"/>
  <c r="D124" i="2"/>
  <c r="R123" i="2"/>
  <c r="L123" i="2"/>
  <c r="F123" i="2"/>
  <c r="D123" i="2"/>
  <c r="R122" i="2"/>
  <c r="L122" i="2"/>
  <c r="F122" i="2"/>
  <c r="D122" i="2"/>
  <c r="R121" i="2"/>
  <c r="L121" i="2"/>
  <c r="F121" i="2"/>
  <c r="D121" i="2"/>
  <c r="R120" i="2"/>
  <c r="L120" i="2"/>
  <c r="F120" i="2"/>
  <c r="D120" i="2"/>
  <c r="R119" i="2"/>
  <c r="L119" i="2"/>
  <c r="F119" i="2"/>
  <c r="D119" i="2"/>
  <c r="R118" i="2"/>
  <c r="L118" i="2"/>
  <c r="F118" i="2"/>
  <c r="D118" i="2"/>
  <c r="R117" i="2"/>
  <c r="L117" i="2"/>
  <c r="F117" i="2"/>
  <c r="D117" i="2"/>
  <c r="R116" i="2"/>
  <c r="L116" i="2"/>
  <c r="F116" i="2"/>
  <c r="D116" i="2"/>
  <c r="R115" i="2"/>
  <c r="L115" i="2"/>
  <c r="F115" i="2"/>
  <c r="D115" i="2"/>
  <c r="R114" i="2"/>
  <c r="L114" i="2"/>
  <c r="F114" i="2"/>
  <c r="D114" i="2"/>
  <c r="R113" i="2"/>
  <c r="L113" i="2"/>
  <c r="F113" i="2"/>
  <c r="D113" i="2"/>
  <c r="R112" i="2"/>
  <c r="L112" i="2"/>
  <c r="F112" i="2"/>
  <c r="D112" i="2"/>
  <c r="R111" i="2"/>
  <c r="L111" i="2"/>
  <c r="F111" i="2"/>
  <c r="D111" i="2"/>
  <c r="R110" i="2"/>
  <c r="L110" i="2"/>
  <c r="F110" i="2"/>
  <c r="D110" i="2"/>
  <c r="R109" i="2"/>
  <c r="L109" i="2"/>
  <c r="F109" i="2"/>
  <c r="D109" i="2"/>
  <c r="R108" i="2"/>
  <c r="L108" i="2"/>
  <c r="F108" i="2"/>
  <c r="D108" i="2"/>
  <c r="R107" i="2"/>
  <c r="L107" i="2"/>
  <c r="F107" i="2"/>
  <c r="D107" i="2"/>
  <c r="R106" i="2"/>
  <c r="L106" i="2"/>
  <c r="F106" i="2"/>
  <c r="D106" i="2"/>
  <c r="R105" i="2"/>
  <c r="L105" i="2"/>
  <c r="F105" i="2"/>
  <c r="D105" i="2"/>
  <c r="R104" i="2"/>
  <c r="L104" i="2"/>
  <c r="F104" i="2"/>
  <c r="D104" i="2"/>
  <c r="R103" i="2"/>
  <c r="L103" i="2"/>
  <c r="F103" i="2"/>
  <c r="D103" i="2"/>
  <c r="R102" i="2"/>
  <c r="L102" i="2"/>
  <c r="F102" i="2"/>
  <c r="D102" i="2"/>
  <c r="R101" i="2"/>
  <c r="L101" i="2"/>
  <c r="F101" i="2"/>
  <c r="D101" i="2"/>
  <c r="R100" i="2"/>
  <c r="L100" i="2"/>
  <c r="F100" i="2"/>
  <c r="D100" i="2"/>
  <c r="R99" i="2"/>
  <c r="L99" i="2"/>
  <c r="F99" i="2"/>
  <c r="D99" i="2"/>
  <c r="R98" i="2"/>
  <c r="L98" i="2"/>
  <c r="F98" i="2"/>
  <c r="D98" i="2"/>
  <c r="R97" i="2"/>
  <c r="L97" i="2"/>
  <c r="F97" i="2"/>
  <c r="D97" i="2"/>
  <c r="R96" i="2"/>
  <c r="L96" i="2"/>
  <c r="F96" i="2"/>
  <c r="D96" i="2"/>
  <c r="R95" i="2"/>
  <c r="L95" i="2"/>
  <c r="F95" i="2"/>
  <c r="D95" i="2"/>
  <c r="R94" i="2"/>
  <c r="L94" i="2"/>
  <c r="F94" i="2"/>
  <c r="D94" i="2"/>
  <c r="R93" i="2"/>
  <c r="L93" i="2"/>
  <c r="F93" i="2"/>
  <c r="D93" i="2"/>
  <c r="R92" i="2"/>
  <c r="L92" i="2"/>
  <c r="F92" i="2"/>
  <c r="D92" i="2"/>
  <c r="R91" i="2"/>
  <c r="L91" i="2"/>
  <c r="F91" i="2"/>
  <c r="D91" i="2"/>
  <c r="R90" i="2"/>
  <c r="L90" i="2"/>
  <c r="F90" i="2"/>
  <c r="D90" i="2"/>
  <c r="R89" i="2"/>
  <c r="L89" i="2"/>
  <c r="F89" i="2"/>
  <c r="D89" i="2"/>
  <c r="R88" i="2"/>
  <c r="L88" i="2"/>
  <c r="F88" i="2"/>
  <c r="D88" i="2"/>
  <c r="R87" i="2"/>
  <c r="L87" i="2"/>
  <c r="F87" i="2"/>
  <c r="D87" i="2"/>
  <c r="R86" i="2"/>
  <c r="L86" i="2"/>
  <c r="F86" i="2"/>
  <c r="D86" i="2"/>
  <c r="R85" i="2"/>
  <c r="L85" i="2"/>
  <c r="F85" i="2"/>
  <c r="D85" i="2"/>
  <c r="R84" i="2"/>
  <c r="L84" i="2"/>
  <c r="F84" i="2"/>
  <c r="D84" i="2"/>
  <c r="R83" i="2"/>
  <c r="L83" i="2"/>
  <c r="F83" i="2"/>
  <c r="D83" i="2"/>
  <c r="R82" i="2"/>
  <c r="L82" i="2"/>
  <c r="F82" i="2"/>
  <c r="D82" i="2"/>
  <c r="R81" i="2"/>
  <c r="L81" i="2"/>
  <c r="F81" i="2"/>
  <c r="D81" i="2"/>
  <c r="R80" i="2"/>
  <c r="L80" i="2"/>
  <c r="F80" i="2"/>
  <c r="D80" i="2"/>
  <c r="R79" i="2"/>
  <c r="L79" i="2"/>
  <c r="F79" i="2"/>
  <c r="D79" i="2"/>
  <c r="R78" i="2"/>
  <c r="L78" i="2"/>
  <c r="F78" i="2"/>
  <c r="D78" i="2"/>
  <c r="R77" i="2"/>
  <c r="L77" i="2"/>
  <c r="F77" i="2"/>
  <c r="D77" i="2"/>
  <c r="R76" i="2"/>
  <c r="L76" i="2"/>
  <c r="F76" i="2"/>
  <c r="D76" i="2"/>
  <c r="R75" i="2"/>
  <c r="L75" i="2"/>
  <c r="F75" i="2"/>
  <c r="D75" i="2"/>
  <c r="R74" i="2"/>
  <c r="L74" i="2"/>
  <c r="F74" i="2"/>
  <c r="D74" i="2"/>
  <c r="R73" i="2"/>
  <c r="L73" i="2"/>
  <c r="F73" i="2"/>
  <c r="D73" i="2"/>
  <c r="R72" i="2"/>
  <c r="L72" i="2"/>
  <c r="F72" i="2"/>
  <c r="D72" i="2"/>
  <c r="R71" i="2"/>
  <c r="L71" i="2"/>
  <c r="F71" i="2"/>
  <c r="D71" i="2"/>
  <c r="R70" i="2"/>
  <c r="L70" i="2"/>
  <c r="F70" i="2"/>
  <c r="D70" i="2"/>
  <c r="R69" i="2"/>
  <c r="L69" i="2"/>
  <c r="F69" i="2"/>
  <c r="D69" i="2"/>
  <c r="R68" i="2"/>
  <c r="L68" i="2"/>
  <c r="F68" i="2"/>
  <c r="D68" i="2"/>
  <c r="R67" i="2"/>
  <c r="L67" i="2"/>
  <c r="F67" i="2"/>
  <c r="D67" i="2"/>
  <c r="R66" i="2"/>
  <c r="L66" i="2"/>
  <c r="F66" i="2"/>
  <c r="D66" i="2"/>
  <c r="R65" i="2"/>
  <c r="L65" i="2"/>
  <c r="F65" i="2"/>
  <c r="D65" i="2"/>
  <c r="R64" i="2"/>
  <c r="L64" i="2"/>
  <c r="F64" i="2"/>
  <c r="D64" i="2"/>
  <c r="R63" i="2"/>
  <c r="L63" i="2"/>
  <c r="F63" i="2"/>
  <c r="D63" i="2"/>
  <c r="R62" i="2"/>
  <c r="L62" i="2"/>
  <c r="F62" i="2"/>
  <c r="D62" i="2"/>
  <c r="R61" i="2"/>
  <c r="L61" i="2"/>
  <c r="F61" i="2"/>
  <c r="D61" i="2"/>
  <c r="R60" i="2"/>
  <c r="L60" i="2"/>
  <c r="F60" i="2"/>
  <c r="D60" i="2"/>
  <c r="R59" i="2"/>
  <c r="L59" i="2"/>
  <c r="F59" i="2"/>
  <c r="D59" i="2"/>
  <c r="R58" i="2"/>
  <c r="L58" i="2"/>
  <c r="F58" i="2"/>
  <c r="D58" i="2"/>
  <c r="R57" i="2"/>
  <c r="L57" i="2"/>
  <c r="F57" i="2"/>
  <c r="D57" i="2"/>
  <c r="R56" i="2"/>
  <c r="L56" i="2"/>
  <c r="F56" i="2"/>
  <c r="D56" i="2"/>
  <c r="R55" i="2"/>
  <c r="L55" i="2"/>
  <c r="F55" i="2"/>
  <c r="D55" i="2"/>
  <c r="R54" i="2"/>
  <c r="L54" i="2"/>
  <c r="F54" i="2"/>
  <c r="D54" i="2"/>
  <c r="R53" i="2"/>
  <c r="L53" i="2"/>
  <c r="F53" i="2"/>
  <c r="D53" i="2"/>
  <c r="R52" i="2"/>
  <c r="L52" i="2"/>
  <c r="F52" i="2"/>
  <c r="D52" i="2"/>
  <c r="R51" i="2"/>
  <c r="L51" i="2"/>
  <c r="F51" i="2"/>
  <c r="D51" i="2"/>
  <c r="R50" i="2"/>
  <c r="L50" i="2"/>
  <c r="F50" i="2"/>
  <c r="D50" i="2"/>
  <c r="R49" i="2"/>
  <c r="L49" i="2"/>
  <c r="F49" i="2"/>
  <c r="D49" i="2"/>
  <c r="R48" i="2"/>
  <c r="L48" i="2"/>
  <c r="F48" i="2"/>
  <c r="D48" i="2"/>
  <c r="R47" i="2"/>
  <c r="L47" i="2"/>
  <c r="F47" i="2"/>
  <c r="D47" i="2"/>
  <c r="R46" i="2"/>
  <c r="L46" i="2"/>
  <c r="F46" i="2"/>
  <c r="D46" i="2"/>
  <c r="R45" i="2"/>
  <c r="L45" i="2"/>
  <c r="F45" i="2"/>
  <c r="D45" i="2"/>
  <c r="R44" i="2"/>
  <c r="L44" i="2"/>
  <c r="F44" i="2"/>
  <c r="D44" i="2"/>
  <c r="R43" i="2"/>
  <c r="L43" i="2"/>
  <c r="F43" i="2"/>
  <c r="D43" i="2"/>
  <c r="R42" i="2"/>
  <c r="L42" i="2"/>
  <c r="F42" i="2"/>
  <c r="D42" i="2"/>
  <c r="R41" i="2"/>
  <c r="L41" i="2"/>
  <c r="F41" i="2"/>
  <c r="D41" i="2"/>
  <c r="R40" i="2"/>
  <c r="L40" i="2"/>
  <c r="F40" i="2"/>
  <c r="D40" i="2"/>
  <c r="R39" i="2"/>
  <c r="L39" i="2"/>
  <c r="F39" i="2"/>
  <c r="D39" i="2"/>
  <c r="R38" i="2"/>
  <c r="L38" i="2"/>
  <c r="F38" i="2"/>
  <c r="D38" i="2"/>
  <c r="R37" i="2"/>
  <c r="L37" i="2"/>
  <c r="F37" i="2"/>
  <c r="D37" i="2"/>
  <c r="R36" i="2"/>
  <c r="L36" i="2"/>
  <c r="F36" i="2"/>
  <c r="D36" i="2"/>
  <c r="R35" i="2"/>
  <c r="L35" i="2"/>
  <c r="F35" i="2"/>
  <c r="D35" i="2"/>
  <c r="R34" i="2"/>
  <c r="L34" i="2"/>
  <c r="F34" i="2"/>
  <c r="D34" i="2"/>
  <c r="R33" i="2"/>
  <c r="L33" i="2"/>
  <c r="F33" i="2"/>
  <c r="D33" i="2"/>
  <c r="R32" i="2"/>
  <c r="L32" i="2"/>
  <c r="F32" i="2"/>
  <c r="D32" i="2"/>
  <c r="R31" i="2"/>
  <c r="L31" i="2"/>
  <c r="F31" i="2"/>
  <c r="D31" i="2"/>
  <c r="R30" i="2"/>
  <c r="L30" i="2"/>
  <c r="F30" i="2"/>
  <c r="D30" i="2"/>
  <c r="R29" i="2"/>
  <c r="L29" i="2"/>
  <c r="F29" i="2"/>
  <c r="D29" i="2"/>
  <c r="R28" i="2"/>
  <c r="L28" i="2"/>
  <c r="F28" i="2"/>
  <c r="D28" i="2"/>
  <c r="R27" i="2"/>
  <c r="L27" i="2"/>
  <c r="F27" i="2"/>
  <c r="D27" i="2"/>
  <c r="R26" i="2"/>
  <c r="L26" i="2"/>
  <c r="F26" i="2"/>
  <c r="D26" i="2"/>
  <c r="R25" i="2"/>
  <c r="L25" i="2"/>
  <c r="F25" i="2"/>
  <c r="D25" i="2"/>
  <c r="R24" i="2"/>
  <c r="L24" i="2"/>
  <c r="F24" i="2"/>
  <c r="D24" i="2"/>
  <c r="R23" i="2"/>
  <c r="L23" i="2"/>
  <c r="F23" i="2"/>
  <c r="D23" i="2"/>
  <c r="R22" i="2"/>
  <c r="L22" i="2"/>
  <c r="F22" i="2"/>
  <c r="D22" i="2"/>
  <c r="R21" i="2"/>
  <c r="L21" i="2"/>
  <c r="F21" i="2"/>
  <c r="D21" i="2"/>
  <c r="R20" i="2"/>
  <c r="L20" i="2"/>
  <c r="F20" i="2"/>
  <c r="D20" i="2"/>
  <c r="R19" i="2"/>
  <c r="L19" i="2"/>
  <c r="F19" i="2"/>
  <c r="D19" i="2"/>
  <c r="R18" i="2"/>
  <c r="L18" i="2"/>
  <c r="F18" i="2"/>
  <c r="D18" i="2"/>
  <c r="R17" i="2"/>
  <c r="L17" i="2"/>
  <c r="F17" i="2"/>
  <c r="D17" i="2"/>
  <c r="R16" i="2"/>
  <c r="L16" i="2"/>
  <c r="F16" i="2"/>
  <c r="D16" i="2"/>
  <c r="R15" i="2"/>
  <c r="L15" i="2"/>
  <c r="F15" i="2"/>
  <c r="D15" i="2"/>
  <c r="R14" i="2"/>
  <c r="L14" i="2"/>
  <c r="F14" i="2"/>
  <c r="D14" i="2"/>
  <c r="R13" i="2"/>
  <c r="L13" i="2"/>
  <c r="F13" i="2"/>
  <c r="D13" i="2"/>
  <c r="R12" i="2"/>
  <c r="L12" i="2"/>
  <c r="F12" i="2"/>
  <c r="D12" i="2"/>
  <c r="R11" i="2"/>
  <c r="L11" i="2"/>
  <c r="F11" i="2"/>
  <c r="D11" i="2"/>
  <c r="R10" i="2"/>
  <c r="L10" i="2"/>
  <c r="F10" i="2"/>
  <c r="D10" i="2"/>
  <c r="R9" i="2"/>
  <c r="L9" i="2"/>
  <c r="F9" i="2"/>
  <c r="D9" i="2"/>
  <c r="R8" i="2"/>
  <c r="L8" i="2"/>
  <c r="F8" i="2"/>
  <c r="D8" i="2"/>
  <c r="R7" i="2"/>
  <c r="L7" i="2"/>
  <c r="F7" i="2"/>
  <c r="D7" i="2"/>
  <c r="R6" i="2"/>
  <c r="L6" i="2"/>
  <c r="F6" i="2"/>
  <c r="D6" i="2"/>
  <c r="R5" i="2"/>
  <c r="L5" i="2"/>
  <c r="F5" i="2"/>
  <c r="D5" i="2"/>
  <c r="R4" i="2"/>
  <c r="L4" i="2"/>
  <c r="F4" i="2"/>
  <c r="D4" i="2"/>
  <c r="R3" i="2"/>
  <c r="L3" i="2"/>
  <c r="F3" i="2"/>
  <c r="D3" i="2"/>
  <c r="R2" i="2"/>
  <c r="L2" i="2"/>
  <c r="F2" i="2"/>
  <c r="D2" i="2"/>
  <c r="W726" i="1"/>
  <c r="N726" i="1"/>
  <c r="J726" i="1"/>
  <c r="E726" i="1"/>
  <c r="W725" i="1"/>
  <c r="J725" i="1"/>
  <c r="E725" i="1"/>
  <c r="W724" i="1"/>
  <c r="N724" i="1"/>
  <c r="J724" i="1"/>
  <c r="E724" i="1"/>
  <c r="W723" i="1"/>
  <c r="N723" i="1"/>
  <c r="J723" i="1"/>
  <c r="E723" i="1"/>
  <c r="W722" i="1"/>
  <c r="N722" i="1"/>
  <c r="J722" i="1"/>
  <c r="E722" i="1"/>
  <c r="W721" i="1"/>
  <c r="N721" i="1"/>
  <c r="J721" i="1"/>
  <c r="E721" i="1"/>
  <c r="W720" i="1"/>
  <c r="N720" i="1"/>
  <c r="J720" i="1"/>
  <c r="E720" i="1"/>
  <c r="W719" i="1"/>
  <c r="N719" i="1"/>
  <c r="J719" i="1"/>
  <c r="E719" i="1"/>
  <c r="W718" i="1"/>
  <c r="N718" i="1"/>
  <c r="J718" i="1"/>
  <c r="E718" i="1"/>
  <c r="W717" i="1"/>
  <c r="N717" i="1"/>
  <c r="J717" i="1"/>
  <c r="E717" i="1"/>
  <c r="W716" i="1"/>
  <c r="N716" i="1"/>
  <c r="J716" i="1"/>
  <c r="E716" i="1"/>
  <c r="W715" i="1"/>
  <c r="N715" i="1"/>
  <c r="J715" i="1"/>
  <c r="E715" i="1"/>
  <c r="W714" i="1"/>
  <c r="N714" i="1"/>
  <c r="J714" i="1"/>
  <c r="E714" i="1"/>
  <c r="W713" i="1"/>
  <c r="N713" i="1"/>
  <c r="J713" i="1"/>
  <c r="E713" i="1"/>
  <c r="W712" i="1"/>
  <c r="N712" i="1"/>
  <c r="J712" i="1"/>
  <c r="E712" i="1"/>
  <c r="W711" i="1"/>
  <c r="N711" i="1"/>
  <c r="J711" i="1"/>
  <c r="E711" i="1"/>
  <c r="W710" i="1"/>
  <c r="N710" i="1"/>
  <c r="J710" i="1"/>
  <c r="E710" i="1"/>
  <c r="W709" i="1"/>
  <c r="N709" i="1"/>
  <c r="J709" i="1"/>
  <c r="E709" i="1"/>
  <c r="W708" i="1"/>
  <c r="N708" i="1"/>
  <c r="J708" i="1"/>
  <c r="E708" i="1"/>
  <c r="W707" i="1"/>
  <c r="N707" i="1"/>
  <c r="J707" i="1"/>
  <c r="E707" i="1"/>
  <c r="W706" i="1"/>
  <c r="N706" i="1"/>
  <c r="J706" i="1"/>
  <c r="E706" i="1"/>
  <c r="W705" i="1"/>
  <c r="N705" i="1"/>
  <c r="J705" i="1"/>
  <c r="E705" i="1"/>
  <c r="W704" i="1"/>
  <c r="N704" i="1"/>
  <c r="J704" i="1"/>
  <c r="E704" i="1"/>
  <c r="W703" i="1"/>
  <c r="N703" i="1"/>
  <c r="J703" i="1"/>
  <c r="E703" i="1"/>
  <c r="W702" i="1"/>
  <c r="N702" i="1"/>
  <c r="J702" i="1"/>
  <c r="E702" i="1"/>
  <c r="W701" i="1"/>
  <c r="N701" i="1"/>
  <c r="J701" i="1"/>
  <c r="E701" i="1"/>
  <c r="W700" i="1"/>
  <c r="N700" i="1"/>
  <c r="J700" i="1"/>
  <c r="E700" i="1"/>
  <c r="W699" i="1"/>
  <c r="N699" i="1"/>
  <c r="J699" i="1"/>
  <c r="E699" i="1"/>
  <c r="W698" i="1"/>
  <c r="N698" i="1"/>
  <c r="J698" i="1"/>
  <c r="E698" i="1"/>
  <c r="W697" i="1"/>
  <c r="N697" i="1"/>
  <c r="J697" i="1"/>
  <c r="E697" i="1"/>
  <c r="W696" i="1"/>
  <c r="N696" i="1"/>
  <c r="J696" i="1"/>
  <c r="E696" i="1"/>
  <c r="W695" i="1"/>
  <c r="N695" i="1"/>
  <c r="J695" i="1"/>
  <c r="E695" i="1"/>
  <c r="W694" i="1"/>
  <c r="N694" i="1"/>
  <c r="J694" i="1"/>
  <c r="E694" i="1"/>
  <c r="W693" i="1"/>
  <c r="N693" i="1"/>
  <c r="J693" i="1"/>
  <c r="E693" i="1"/>
  <c r="W692" i="1"/>
  <c r="N692" i="1"/>
  <c r="J692" i="1"/>
  <c r="E692" i="1"/>
  <c r="W691" i="1"/>
  <c r="N691" i="1"/>
  <c r="J691" i="1"/>
  <c r="E691" i="1"/>
  <c r="W690" i="1"/>
  <c r="N690" i="1"/>
  <c r="J690" i="1"/>
  <c r="E690" i="1"/>
  <c r="W689" i="1"/>
  <c r="N689" i="1"/>
  <c r="J689" i="1"/>
  <c r="E689" i="1"/>
  <c r="W688" i="1"/>
  <c r="N688" i="1"/>
  <c r="J688" i="1"/>
  <c r="E688" i="1"/>
  <c r="W687" i="1"/>
  <c r="N687" i="1"/>
  <c r="J687" i="1"/>
  <c r="E687" i="1"/>
  <c r="W686" i="1"/>
  <c r="N686" i="1"/>
  <c r="J686" i="1"/>
  <c r="E686" i="1"/>
  <c r="W685" i="1"/>
  <c r="N685" i="1"/>
  <c r="J685" i="1"/>
  <c r="E685" i="1"/>
  <c r="W684" i="1"/>
  <c r="N684" i="1"/>
  <c r="J684" i="1"/>
  <c r="E684" i="1"/>
  <c r="W683" i="1"/>
  <c r="N683" i="1"/>
  <c r="J683" i="1"/>
  <c r="E683" i="1"/>
  <c r="W682" i="1"/>
  <c r="N682" i="1"/>
  <c r="J682" i="1"/>
  <c r="E682" i="1"/>
  <c r="W681" i="1"/>
  <c r="N681" i="1"/>
  <c r="J681" i="1"/>
  <c r="E681" i="1"/>
  <c r="W680" i="1"/>
  <c r="N680" i="1"/>
  <c r="J680" i="1"/>
  <c r="E680" i="1"/>
  <c r="W679" i="1"/>
  <c r="N679" i="1"/>
  <c r="J679" i="1"/>
  <c r="E679" i="1"/>
  <c r="W678" i="1"/>
  <c r="N678" i="1"/>
  <c r="J678" i="1"/>
  <c r="E678" i="1"/>
  <c r="W677" i="1"/>
  <c r="N677" i="1"/>
  <c r="J677" i="1"/>
  <c r="E677" i="1"/>
  <c r="W676" i="1"/>
  <c r="N676" i="1"/>
  <c r="J676" i="1"/>
  <c r="E676" i="1"/>
  <c r="W675" i="1"/>
  <c r="N675" i="1"/>
  <c r="J675" i="1"/>
  <c r="E675" i="1"/>
  <c r="W674" i="1"/>
  <c r="N674" i="1"/>
  <c r="J674" i="1"/>
  <c r="E674" i="1"/>
  <c r="W673" i="1"/>
  <c r="N673" i="1"/>
  <c r="J673" i="1"/>
  <c r="E673" i="1"/>
  <c r="W672" i="1"/>
  <c r="N672" i="1"/>
  <c r="J672" i="1"/>
  <c r="E672" i="1"/>
  <c r="W671" i="1"/>
  <c r="N671" i="1"/>
  <c r="J671" i="1"/>
  <c r="E671" i="1"/>
  <c r="W670" i="1"/>
  <c r="N670" i="1"/>
  <c r="J670" i="1"/>
  <c r="E670" i="1"/>
  <c r="W669" i="1"/>
  <c r="N669" i="1"/>
  <c r="J669" i="1"/>
  <c r="E669" i="1"/>
  <c r="W668" i="1"/>
  <c r="N668" i="1"/>
  <c r="J668" i="1"/>
  <c r="E668" i="1"/>
  <c r="W667" i="1"/>
  <c r="N667" i="1"/>
  <c r="J667" i="1"/>
  <c r="E667" i="1"/>
  <c r="W666" i="1"/>
  <c r="N666" i="1"/>
  <c r="J666" i="1"/>
  <c r="E666" i="1"/>
  <c r="W665" i="1"/>
  <c r="N665" i="1"/>
  <c r="J665" i="1"/>
  <c r="E665" i="1"/>
  <c r="W664" i="1"/>
  <c r="N664" i="1"/>
  <c r="J664" i="1"/>
  <c r="E664" i="1"/>
  <c r="W663" i="1"/>
  <c r="N663" i="1"/>
  <c r="J663" i="1"/>
  <c r="E663" i="1"/>
  <c r="W662" i="1"/>
  <c r="N662" i="1"/>
  <c r="J662" i="1"/>
  <c r="E662" i="1"/>
  <c r="W661" i="1"/>
  <c r="N661" i="1"/>
  <c r="J661" i="1"/>
  <c r="E661" i="1"/>
  <c r="W660" i="1"/>
  <c r="N660" i="1"/>
  <c r="J660" i="1"/>
  <c r="E660" i="1"/>
  <c r="W659" i="1"/>
  <c r="N659" i="1"/>
  <c r="J659" i="1"/>
  <c r="E659" i="1"/>
  <c r="W658" i="1"/>
  <c r="N658" i="1"/>
  <c r="J658" i="1"/>
  <c r="E658" i="1"/>
  <c r="W657" i="1"/>
  <c r="N657" i="1"/>
  <c r="J657" i="1"/>
  <c r="E657" i="1"/>
  <c r="W656" i="1"/>
  <c r="N656" i="1"/>
  <c r="J656" i="1"/>
  <c r="E656" i="1"/>
  <c r="W655" i="1"/>
  <c r="N655" i="1"/>
  <c r="J655" i="1"/>
  <c r="E655" i="1"/>
  <c r="W654" i="1"/>
  <c r="N654" i="1"/>
  <c r="J654" i="1"/>
  <c r="E654" i="1"/>
  <c r="W653" i="1"/>
  <c r="N653" i="1"/>
  <c r="J653" i="1"/>
  <c r="E653" i="1"/>
  <c r="W652" i="1"/>
  <c r="N652" i="1"/>
  <c r="J652" i="1"/>
  <c r="E652" i="1"/>
  <c r="W651" i="1"/>
  <c r="N651" i="1"/>
  <c r="J651" i="1"/>
  <c r="E651" i="1"/>
  <c r="W650" i="1"/>
  <c r="N650" i="1"/>
  <c r="J650" i="1"/>
  <c r="E650" i="1"/>
  <c r="W649" i="1"/>
  <c r="N649" i="1"/>
  <c r="J649" i="1"/>
  <c r="E649" i="1"/>
  <c r="W648" i="1"/>
  <c r="N648" i="1"/>
  <c r="J648" i="1"/>
  <c r="E648" i="1"/>
  <c r="W647" i="1"/>
  <c r="N647" i="1"/>
  <c r="J647" i="1"/>
  <c r="E647" i="1"/>
  <c r="W646" i="1"/>
  <c r="N646" i="1"/>
  <c r="J646" i="1"/>
  <c r="E646" i="1"/>
  <c r="W645" i="1"/>
  <c r="N645" i="1"/>
  <c r="J645" i="1"/>
  <c r="E645" i="1"/>
  <c r="W644" i="1"/>
  <c r="N644" i="1"/>
  <c r="J644" i="1"/>
  <c r="E644" i="1"/>
  <c r="W643" i="1"/>
  <c r="N643" i="1"/>
  <c r="J643" i="1"/>
  <c r="E643" i="1"/>
  <c r="W642" i="1"/>
  <c r="N642" i="1"/>
  <c r="J642" i="1"/>
  <c r="E642" i="1"/>
  <c r="W641" i="1"/>
  <c r="N641" i="1"/>
  <c r="J641" i="1"/>
  <c r="E641" i="1"/>
  <c r="W640" i="1"/>
  <c r="N640" i="1"/>
  <c r="J640" i="1"/>
  <c r="E640" i="1"/>
  <c r="W639" i="1"/>
  <c r="N639" i="1"/>
  <c r="J639" i="1"/>
  <c r="E639" i="1"/>
  <c r="W638" i="1"/>
  <c r="N638" i="1"/>
  <c r="J638" i="1"/>
  <c r="E638" i="1"/>
  <c r="W637" i="1"/>
  <c r="N637" i="1"/>
  <c r="J637" i="1"/>
  <c r="E637" i="1"/>
  <c r="W636" i="1"/>
  <c r="N636" i="1"/>
  <c r="J636" i="1"/>
  <c r="E636" i="1"/>
  <c r="W635" i="1"/>
  <c r="N635" i="1"/>
  <c r="J635" i="1"/>
  <c r="E635" i="1"/>
  <c r="W634" i="1"/>
  <c r="N634" i="1"/>
  <c r="J634" i="1"/>
  <c r="E634" i="1"/>
  <c r="W633" i="1"/>
  <c r="N633" i="1"/>
  <c r="J633" i="1"/>
  <c r="E633" i="1"/>
  <c r="W632" i="1"/>
  <c r="N632" i="1"/>
  <c r="J632" i="1"/>
  <c r="E632" i="1"/>
  <c r="W631" i="1"/>
  <c r="N631" i="1"/>
  <c r="J631" i="1"/>
  <c r="E631" i="1"/>
  <c r="W630" i="1"/>
  <c r="N630" i="1"/>
  <c r="J630" i="1"/>
  <c r="E630" i="1"/>
  <c r="W629" i="1"/>
  <c r="N629" i="1"/>
  <c r="J629" i="1"/>
  <c r="E629" i="1"/>
  <c r="W628" i="1"/>
  <c r="N628" i="1"/>
  <c r="J628" i="1"/>
  <c r="E628" i="1"/>
  <c r="W627" i="1"/>
  <c r="N627" i="1"/>
  <c r="J627" i="1"/>
  <c r="E627" i="1"/>
  <c r="W626" i="1"/>
  <c r="N626" i="1"/>
  <c r="J626" i="1"/>
  <c r="E626" i="1"/>
  <c r="W625" i="1"/>
  <c r="N625" i="1"/>
  <c r="J625" i="1"/>
  <c r="E625" i="1"/>
  <c r="W624" i="1"/>
  <c r="N624" i="1"/>
  <c r="J624" i="1"/>
  <c r="E624" i="1"/>
  <c r="W623" i="1"/>
  <c r="N623" i="1"/>
  <c r="J623" i="1"/>
  <c r="E623" i="1"/>
  <c r="W622" i="1"/>
  <c r="N622" i="1"/>
  <c r="J622" i="1"/>
  <c r="E622" i="1"/>
  <c r="W621" i="1"/>
  <c r="N621" i="1"/>
  <c r="J621" i="1"/>
  <c r="E621" i="1"/>
  <c r="W620" i="1"/>
  <c r="N620" i="1"/>
  <c r="J620" i="1"/>
  <c r="E620" i="1"/>
  <c r="W619" i="1"/>
  <c r="N619" i="1"/>
  <c r="J619" i="1"/>
  <c r="E619" i="1"/>
  <c r="W618" i="1"/>
  <c r="N618" i="1"/>
  <c r="J618" i="1"/>
  <c r="E618" i="1"/>
  <c r="W617" i="1"/>
  <c r="N617" i="1"/>
  <c r="J617" i="1"/>
  <c r="E617" i="1"/>
  <c r="W616" i="1"/>
  <c r="N616" i="1"/>
  <c r="J616" i="1"/>
  <c r="E616" i="1"/>
  <c r="W615" i="1"/>
  <c r="N615" i="1"/>
  <c r="J615" i="1"/>
  <c r="E615" i="1"/>
  <c r="W614" i="1"/>
  <c r="N614" i="1"/>
  <c r="J614" i="1"/>
  <c r="E614" i="1"/>
  <c r="W613" i="1"/>
  <c r="N613" i="1"/>
  <c r="J613" i="1"/>
  <c r="E613" i="1"/>
  <c r="W612" i="1"/>
  <c r="N612" i="1"/>
  <c r="J612" i="1"/>
  <c r="E612" i="1"/>
  <c r="W611" i="1"/>
  <c r="N611" i="1"/>
  <c r="J611" i="1"/>
  <c r="E611" i="1"/>
  <c r="W610" i="1"/>
  <c r="N610" i="1"/>
  <c r="J610" i="1"/>
  <c r="E610" i="1"/>
  <c r="W609" i="1"/>
  <c r="N609" i="1"/>
  <c r="J609" i="1"/>
  <c r="E609" i="1"/>
  <c r="W608" i="1"/>
  <c r="N608" i="1"/>
  <c r="J608" i="1"/>
  <c r="E608" i="1"/>
  <c r="W607" i="1"/>
  <c r="N607" i="1"/>
  <c r="J607" i="1"/>
  <c r="E607" i="1"/>
  <c r="W606" i="1"/>
  <c r="N606" i="1"/>
  <c r="J606" i="1"/>
  <c r="E606" i="1"/>
  <c r="W605" i="1"/>
  <c r="N605" i="1"/>
  <c r="J605" i="1"/>
  <c r="E605" i="1"/>
  <c r="W604" i="1"/>
  <c r="N604" i="1"/>
  <c r="J604" i="1"/>
  <c r="E604" i="1"/>
  <c r="W603" i="1"/>
  <c r="N603" i="1"/>
  <c r="J603" i="1"/>
  <c r="E603" i="1"/>
  <c r="W602" i="1"/>
  <c r="N602" i="1"/>
  <c r="J602" i="1"/>
  <c r="E602" i="1"/>
  <c r="W601" i="1"/>
  <c r="N601" i="1"/>
  <c r="J601" i="1"/>
  <c r="E601" i="1"/>
  <c r="W600" i="1"/>
  <c r="N600" i="1"/>
  <c r="J600" i="1"/>
  <c r="E600" i="1"/>
  <c r="W599" i="1"/>
  <c r="N599" i="1"/>
  <c r="J599" i="1"/>
  <c r="E599" i="1"/>
  <c r="W598" i="1"/>
  <c r="N598" i="1"/>
  <c r="J598" i="1"/>
  <c r="E598" i="1"/>
  <c r="W597" i="1"/>
  <c r="N597" i="1"/>
  <c r="J597" i="1"/>
  <c r="E597" i="1"/>
  <c r="W596" i="1"/>
  <c r="N596" i="1"/>
  <c r="J596" i="1"/>
  <c r="E596" i="1"/>
  <c r="W595" i="1"/>
  <c r="N595" i="1"/>
  <c r="J595" i="1"/>
  <c r="E595" i="1"/>
  <c r="W594" i="1"/>
  <c r="N594" i="1"/>
  <c r="J594" i="1"/>
  <c r="E594" i="1"/>
  <c r="W593" i="1"/>
  <c r="N593" i="1"/>
  <c r="J593" i="1"/>
  <c r="E593" i="1"/>
  <c r="W592" i="1"/>
  <c r="N592" i="1"/>
  <c r="J592" i="1"/>
  <c r="E592" i="1"/>
  <c r="W591" i="1"/>
  <c r="N591" i="1"/>
  <c r="J591" i="1"/>
  <c r="E591" i="1"/>
  <c r="W590" i="1"/>
  <c r="N590" i="1"/>
  <c r="J590" i="1"/>
  <c r="E590" i="1"/>
  <c r="W589" i="1"/>
  <c r="N589" i="1"/>
  <c r="J589" i="1"/>
  <c r="E589" i="1"/>
  <c r="W588" i="1"/>
  <c r="N588" i="1"/>
  <c r="J588" i="1"/>
  <c r="E588" i="1"/>
  <c r="W587" i="1"/>
  <c r="N587" i="1"/>
  <c r="J587" i="1"/>
  <c r="E587" i="1"/>
  <c r="W586" i="1"/>
  <c r="N586" i="1"/>
  <c r="J586" i="1"/>
  <c r="E586" i="1"/>
  <c r="W585" i="1"/>
  <c r="N585" i="1"/>
  <c r="J585" i="1"/>
  <c r="E585" i="1"/>
  <c r="W584" i="1"/>
  <c r="N584" i="1"/>
  <c r="J584" i="1"/>
  <c r="E584" i="1"/>
  <c r="W583" i="1"/>
  <c r="N583" i="1"/>
  <c r="J583" i="1"/>
  <c r="E583" i="1"/>
  <c r="W582" i="1"/>
  <c r="N582" i="1"/>
  <c r="J582" i="1"/>
  <c r="E582" i="1"/>
  <c r="W581" i="1"/>
  <c r="N581" i="1"/>
  <c r="J581" i="1"/>
  <c r="E581" i="1"/>
  <c r="W580" i="1"/>
  <c r="N580" i="1"/>
  <c r="J580" i="1"/>
  <c r="E580" i="1"/>
  <c r="W579" i="1"/>
  <c r="N579" i="1"/>
  <c r="J579" i="1"/>
  <c r="E579" i="1"/>
  <c r="W578" i="1"/>
  <c r="N578" i="1"/>
  <c r="J578" i="1"/>
  <c r="E578" i="1"/>
  <c r="W577" i="1"/>
  <c r="N577" i="1"/>
  <c r="J577" i="1"/>
  <c r="E577" i="1"/>
  <c r="W576" i="1"/>
  <c r="N576" i="1"/>
  <c r="J576" i="1"/>
  <c r="E576" i="1"/>
  <c r="W575" i="1"/>
  <c r="N575" i="1"/>
  <c r="J575" i="1"/>
  <c r="E575" i="1"/>
  <c r="W574" i="1"/>
  <c r="N574" i="1"/>
  <c r="J574" i="1"/>
  <c r="E574" i="1"/>
  <c r="W573" i="1"/>
  <c r="N573" i="1"/>
  <c r="J573" i="1"/>
  <c r="E573" i="1"/>
  <c r="W572" i="1"/>
  <c r="N572" i="1"/>
  <c r="J572" i="1"/>
  <c r="E572" i="1"/>
  <c r="W571" i="1"/>
  <c r="N571" i="1"/>
  <c r="J571" i="1"/>
  <c r="E571" i="1"/>
  <c r="W570" i="1"/>
  <c r="N570" i="1"/>
  <c r="J570" i="1"/>
  <c r="E570" i="1"/>
  <c r="W569" i="1"/>
  <c r="N569" i="1"/>
  <c r="J569" i="1"/>
  <c r="E569" i="1"/>
  <c r="W568" i="1"/>
  <c r="N568" i="1"/>
  <c r="J568" i="1"/>
  <c r="E568" i="1"/>
  <c r="W567" i="1"/>
  <c r="N567" i="1"/>
  <c r="J567" i="1"/>
  <c r="E567" i="1"/>
  <c r="W566" i="1"/>
  <c r="N566" i="1"/>
  <c r="J566" i="1"/>
  <c r="E566" i="1"/>
  <c r="W565" i="1"/>
  <c r="N565" i="1"/>
  <c r="J565" i="1"/>
  <c r="E565" i="1"/>
  <c r="W564" i="1"/>
  <c r="N564" i="1"/>
  <c r="J564" i="1"/>
  <c r="E564" i="1"/>
  <c r="W563" i="1"/>
  <c r="N563" i="1"/>
  <c r="J563" i="1"/>
  <c r="E563" i="1"/>
  <c r="W562" i="1"/>
  <c r="N562" i="1"/>
  <c r="J562" i="1"/>
  <c r="E562" i="1"/>
  <c r="W561" i="1"/>
  <c r="N561" i="1"/>
  <c r="J561" i="1"/>
  <c r="E561" i="1"/>
  <c r="W560" i="1"/>
  <c r="N560" i="1"/>
  <c r="J560" i="1"/>
  <c r="E560" i="1"/>
  <c r="W559" i="1"/>
  <c r="N559" i="1"/>
  <c r="J559" i="1"/>
  <c r="E559" i="1"/>
  <c r="W558" i="1"/>
  <c r="N558" i="1"/>
  <c r="J558" i="1"/>
  <c r="E558" i="1"/>
  <c r="W557" i="1"/>
  <c r="N557" i="1"/>
  <c r="J557" i="1"/>
  <c r="E557" i="1"/>
  <c r="W556" i="1"/>
  <c r="N556" i="1"/>
  <c r="J556" i="1"/>
  <c r="E556" i="1"/>
  <c r="W555" i="1"/>
  <c r="N555" i="1"/>
  <c r="J555" i="1"/>
  <c r="E555" i="1"/>
  <c r="W554" i="1"/>
  <c r="N554" i="1"/>
  <c r="J554" i="1"/>
  <c r="E554" i="1"/>
  <c r="W553" i="1"/>
  <c r="N553" i="1"/>
  <c r="J553" i="1"/>
  <c r="E553" i="1"/>
  <c r="W552" i="1"/>
  <c r="N552" i="1"/>
  <c r="J552" i="1"/>
  <c r="E552" i="1"/>
  <c r="W551" i="1"/>
  <c r="N551" i="1"/>
  <c r="J551" i="1"/>
  <c r="E551" i="1"/>
  <c r="W550" i="1"/>
  <c r="N550" i="1"/>
  <c r="J550" i="1"/>
  <c r="E550" i="1"/>
  <c r="W549" i="1"/>
  <c r="N549" i="1"/>
  <c r="J549" i="1"/>
  <c r="E549" i="1"/>
  <c r="W548" i="1"/>
  <c r="N548" i="1"/>
  <c r="J548" i="1"/>
  <c r="E548" i="1"/>
  <c r="W547" i="1"/>
  <c r="N547" i="1"/>
  <c r="J547" i="1"/>
  <c r="E547" i="1"/>
  <c r="W546" i="1"/>
  <c r="N546" i="1"/>
  <c r="J546" i="1"/>
  <c r="E546" i="1"/>
  <c r="W545" i="1"/>
  <c r="N545" i="1"/>
  <c r="J545" i="1"/>
  <c r="E545" i="1"/>
  <c r="W544" i="1"/>
  <c r="N544" i="1"/>
  <c r="J544" i="1"/>
  <c r="E544" i="1"/>
  <c r="W543" i="1"/>
  <c r="N543" i="1"/>
  <c r="J543" i="1"/>
  <c r="E543" i="1"/>
  <c r="W542" i="1"/>
  <c r="N542" i="1"/>
  <c r="J542" i="1"/>
  <c r="E542" i="1"/>
  <c r="W541" i="1"/>
  <c r="N541" i="1"/>
  <c r="J541" i="1"/>
  <c r="E541" i="1"/>
  <c r="W540" i="1"/>
  <c r="N540" i="1"/>
  <c r="J540" i="1"/>
  <c r="E540" i="1"/>
  <c r="W539" i="1"/>
  <c r="N539" i="1"/>
  <c r="J539" i="1"/>
  <c r="E539" i="1"/>
  <c r="W538" i="1"/>
  <c r="N538" i="1"/>
  <c r="J538" i="1"/>
  <c r="E538" i="1"/>
  <c r="W537" i="1"/>
  <c r="N537" i="1"/>
  <c r="J537" i="1"/>
  <c r="E537" i="1"/>
  <c r="W536" i="1"/>
  <c r="N536" i="1"/>
  <c r="J536" i="1"/>
  <c r="E536" i="1"/>
  <c r="W535" i="1"/>
  <c r="N535" i="1"/>
  <c r="J535" i="1"/>
  <c r="E535" i="1"/>
  <c r="W534" i="1"/>
  <c r="N534" i="1"/>
  <c r="J534" i="1"/>
  <c r="E534" i="1"/>
  <c r="W533" i="1"/>
  <c r="N533" i="1"/>
  <c r="J533" i="1"/>
  <c r="E533" i="1"/>
  <c r="W532" i="1"/>
  <c r="N532" i="1"/>
  <c r="J532" i="1"/>
  <c r="E532" i="1"/>
  <c r="W531" i="1"/>
  <c r="N531" i="1"/>
  <c r="J531" i="1"/>
  <c r="E531" i="1"/>
  <c r="W530" i="1"/>
  <c r="N530" i="1"/>
  <c r="J530" i="1"/>
  <c r="E530" i="1"/>
  <c r="W529" i="1"/>
  <c r="N529" i="1"/>
  <c r="J529" i="1"/>
  <c r="E529" i="1"/>
  <c r="W528" i="1"/>
  <c r="N528" i="1"/>
  <c r="J528" i="1"/>
  <c r="E528" i="1"/>
  <c r="W527" i="1"/>
  <c r="N527" i="1"/>
  <c r="J527" i="1"/>
  <c r="E527" i="1"/>
  <c r="W526" i="1"/>
  <c r="N526" i="1"/>
  <c r="J526" i="1"/>
  <c r="E526" i="1"/>
  <c r="W525" i="1"/>
  <c r="N525" i="1"/>
  <c r="J525" i="1"/>
  <c r="E525" i="1"/>
  <c r="W524" i="1"/>
  <c r="N524" i="1"/>
  <c r="J524" i="1"/>
  <c r="E524" i="1"/>
  <c r="W523" i="1"/>
  <c r="N523" i="1"/>
  <c r="J523" i="1"/>
  <c r="E523" i="1"/>
  <c r="W522" i="1"/>
  <c r="N522" i="1"/>
  <c r="J522" i="1"/>
  <c r="E522" i="1"/>
  <c r="W521" i="1"/>
  <c r="N521" i="1"/>
  <c r="J521" i="1"/>
  <c r="E521" i="1"/>
  <c r="W520" i="1"/>
  <c r="N520" i="1"/>
  <c r="J520" i="1"/>
  <c r="E520" i="1"/>
  <c r="W519" i="1"/>
  <c r="N519" i="1"/>
  <c r="J519" i="1"/>
  <c r="E519" i="1"/>
  <c r="W518" i="1"/>
  <c r="N518" i="1"/>
  <c r="J518" i="1"/>
  <c r="E518" i="1"/>
  <c r="W517" i="1"/>
  <c r="N517" i="1"/>
  <c r="J517" i="1"/>
  <c r="E517" i="1"/>
  <c r="W516" i="1"/>
  <c r="N516" i="1"/>
  <c r="J516" i="1"/>
  <c r="E516" i="1"/>
  <c r="W515" i="1"/>
  <c r="N515" i="1"/>
  <c r="J515" i="1"/>
  <c r="E515" i="1"/>
  <c r="W514" i="1"/>
  <c r="N514" i="1"/>
  <c r="J514" i="1"/>
  <c r="E514" i="1"/>
  <c r="W513" i="1"/>
  <c r="N513" i="1"/>
  <c r="J513" i="1"/>
  <c r="E513" i="1"/>
  <c r="W512" i="1"/>
  <c r="N512" i="1"/>
  <c r="J512" i="1"/>
  <c r="E512" i="1"/>
  <c r="W511" i="1"/>
  <c r="N511" i="1"/>
  <c r="J511" i="1"/>
  <c r="E511" i="1"/>
  <c r="W510" i="1"/>
  <c r="N510" i="1"/>
  <c r="J510" i="1"/>
  <c r="E510" i="1"/>
  <c r="W509" i="1"/>
  <c r="N509" i="1"/>
  <c r="J509" i="1"/>
  <c r="E509" i="1"/>
  <c r="W508" i="1"/>
  <c r="N508" i="1"/>
  <c r="J508" i="1"/>
  <c r="E508" i="1"/>
  <c r="W507" i="1"/>
  <c r="N507" i="1"/>
  <c r="J507" i="1"/>
  <c r="E507" i="1"/>
  <c r="W506" i="1"/>
  <c r="N506" i="1"/>
  <c r="J506" i="1"/>
  <c r="E506" i="1"/>
  <c r="W505" i="1"/>
  <c r="N505" i="1"/>
  <c r="J505" i="1"/>
  <c r="E505" i="1"/>
  <c r="W504" i="1"/>
  <c r="N504" i="1"/>
  <c r="J504" i="1"/>
  <c r="E504" i="1"/>
  <c r="W503" i="1"/>
  <c r="N503" i="1"/>
  <c r="J503" i="1"/>
  <c r="E503" i="1"/>
  <c r="W502" i="1"/>
  <c r="N502" i="1"/>
  <c r="J502" i="1"/>
  <c r="E502" i="1"/>
  <c r="W501" i="1"/>
  <c r="N501" i="1"/>
  <c r="J501" i="1"/>
  <c r="E501" i="1"/>
  <c r="W500" i="1"/>
  <c r="N500" i="1"/>
  <c r="J500" i="1"/>
  <c r="E500" i="1"/>
  <c r="W499" i="1"/>
  <c r="N499" i="1"/>
  <c r="J499" i="1"/>
  <c r="E499" i="1"/>
  <c r="W498" i="1"/>
  <c r="N498" i="1"/>
  <c r="J498" i="1"/>
  <c r="E498" i="1"/>
  <c r="W497" i="1"/>
  <c r="N497" i="1"/>
  <c r="J497" i="1"/>
  <c r="E497" i="1"/>
  <c r="W496" i="1"/>
  <c r="N496" i="1"/>
  <c r="J496" i="1"/>
  <c r="E496" i="1"/>
  <c r="W495" i="1"/>
  <c r="N495" i="1"/>
  <c r="J495" i="1"/>
  <c r="E495" i="1"/>
  <c r="W494" i="1"/>
  <c r="N494" i="1"/>
  <c r="J494" i="1"/>
  <c r="E494" i="1"/>
  <c r="W493" i="1"/>
  <c r="N493" i="1"/>
  <c r="J493" i="1"/>
  <c r="E493" i="1"/>
  <c r="W492" i="1"/>
  <c r="N492" i="1"/>
  <c r="J492" i="1"/>
  <c r="E492" i="1"/>
  <c r="W491" i="1"/>
  <c r="N491" i="1"/>
  <c r="J491" i="1"/>
  <c r="E491" i="1"/>
  <c r="W490" i="1"/>
  <c r="N490" i="1"/>
  <c r="J490" i="1"/>
  <c r="E490" i="1"/>
  <c r="W489" i="1"/>
  <c r="N489" i="1"/>
  <c r="J489" i="1"/>
  <c r="E489" i="1"/>
  <c r="W488" i="1"/>
  <c r="N488" i="1"/>
  <c r="J488" i="1"/>
  <c r="E488" i="1"/>
  <c r="W487" i="1"/>
  <c r="N487" i="1"/>
  <c r="J487" i="1"/>
  <c r="E487" i="1"/>
  <c r="W486" i="1"/>
  <c r="N486" i="1"/>
  <c r="J486" i="1"/>
  <c r="E486" i="1"/>
  <c r="W485" i="1"/>
  <c r="N485" i="1"/>
  <c r="J485" i="1"/>
  <c r="E485" i="1"/>
  <c r="W484" i="1"/>
  <c r="N484" i="1"/>
  <c r="J484" i="1"/>
  <c r="E484" i="1"/>
  <c r="W483" i="1"/>
  <c r="N483" i="1"/>
  <c r="J483" i="1"/>
  <c r="E483" i="1"/>
  <c r="W482" i="1"/>
  <c r="N482" i="1"/>
  <c r="J482" i="1"/>
  <c r="E482" i="1"/>
  <c r="W481" i="1"/>
  <c r="N481" i="1"/>
  <c r="J481" i="1"/>
  <c r="E481" i="1"/>
  <c r="W480" i="1"/>
  <c r="N480" i="1"/>
  <c r="J480" i="1"/>
  <c r="E480" i="1"/>
  <c r="W479" i="1"/>
  <c r="N479" i="1"/>
  <c r="J479" i="1"/>
  <c r="E479" i="1"/>
  <c r="W478" i="1"/>
  <c r="N478" i="1"/>
  <c r="J478" i="1"/>
  <c r="E478" i="1"/>
  <c r="W477" i="1"/>
  <c r="N477" i="1"/>
  <c r="J477" i="1"/>
  <c r="E477" i="1"/>
  <c r="W476" i="1"/>
  <c r="N476" i="1"/>
  <c r="J476" i="1"/>
  <c r="E476" i="1"/>
  <c r="W475" i="1"/>
  <c r="N475" i="1"/>
  <c r="J475" i="1"/>
  <c r="E475" i="1"/>
  <c r="W474" i="1"/>
  <c r="N474" i="1"/>
  <c r="J474" i="1"/>
  <c r="E474" i="1"/>
  <c r="W473" i="1"/>
  <c r="N473" i="1"/>
  <c r="J473" i="1"/>
  <c r="E473" i="1"/>
  <c r="W472" i="1"/>
  <c r="N472" i="1"/>
  <c r="J472" i="1"/>
  <c r="E472" i="1"/>
  <c r="W471" i="1"/>
  <c r="N471" i="1"/>
  <c r="J471" i="1"/>
  <c r="E471" i="1"/>
  <c r="W470" i="1"/>
  <c r="N470" i="1"/>
  <c r="J470" i="1"/>
  <c r="E470" i="1"/>
  <c r="W469" i="1"/>
  <c r="N469" i="1"/>
  <c r="J469" i="1"/>
  <c r="E469" i="1"/>
  <c r="W468" i="1"/>
  <c r="N468" i="1"/>
  <c r="J468" i="1"/>
  <c r="E468" i="1"/>
  <c r="W467" i="1"/>
  <c r="N467" i="1"/>
  <c r="J467" i="1"/>
  <c r="E467" i="1"/>
  <c r="W466" i="1"/>
  <c r="N466" i="1"/>
  <c r="J466" i="1"/>
  <c r="E466" i="1"/>
  <c r="W465" i="1"/>
  <c r="N465" i="1"/>
  <c r="J465" i="1"/>
  <c r="E465" i="1"/>
  <c r="W464" i="1"/>
  <c r="N464" i="1"/>
  <c r="J464" i="1"/>
  <c r="E464" i="1"/>
  <c r="W463" i="1"/>
  <c r="N463" i="1"/>
  <c r="J463" i="1"/>
  <c r="E463" i="1"/>
  <c r="W462" i="1"/>
  <c r="N462" i="1"/>
  <c r="J462" i="1"/>
  <c r="E462" i="1"/>
  <c r="W461" i="1"/>
  <c r="N461" i="1"/>
  <c r="J461" i="1"/>
  <c r="E461" i="1"/>
  <c r="W460" i="1"/>
  <c r="N460" i="1"/>
  <c r="J460" i="1"/>
  <c r="E460" i="1"/>
  <c r="W459" i="1"/>
  <c r="N459" i="1"/>
  <c r="J459" i="1"/>
  <c r="E459" i="1"/>
  <c r="W458" i="1"/>
  <c r="N458" i="1"/>
  <c r="J458" i="1"/>
  <c r="E458" i="1"/>
  <c r="W457" i="1"/>
  <c r="N457" i="1"/>
  <c r="J457" i="1"/>
  <c r="E457" i="1"/>
  <c r="W456" i="1"/>
  <c r="N456" i="1"/>
  <c r="J456" i="1"/>
  <c r="E456" i="1"/>
  <c r="W455" i="1"/>
  <c r="N455" i="1"/>
  <c r="J455" i="1"/>
  <c r="E455" i="1"/>
  <c r="W454" i="1"/>
  <c r="N454" i="1"/>
  <c r="J454" i="1"/>
  <c r="E454" i="1"/>
  <c r="W453" i="1"/>
  <c r="N453" i="1"/>
  <c r="J453" i="1"/>
  <c r="E453" i="1"/>
  <c r="W452" i="1"/>
  <c r="N452" i="1"/>
  <c r="J452" i="1"/>
  <c r="E452" i="1"/>
  <c r="W451" i="1"/>
  <c r="N451" i="1"/>
  <c r="J451" i="1"/>
  <c r="E451" i="1"/>
  <c r="W450" i="1"/>
  <c r="N450" i="1"/>
  <c r="J450" i="1"/>
  <c r="E450" i="1"/>
  <c r="W449" i="1"/>
  <c r="N449" i="1"/>
  <c r="J449" i="1"/>
  <c r="E449" i="1"/>
  <c r="W448" i="1"/>
  <c r="N448" i="1"/>
  <c r="J448" i="1"/>
  <c r="E448" i="1"/>
  <c r="W447" i="1"/>
  <c r="N447" i="1"/>
  <c r="J447" i="1"/>
  <c r="E447" i="1"/>
  <c r="W446" i="1"/>
  <c r="N446" i="1"/>
  <c r="J446" i="1"/>
  <c r="E446" i="1"/>
  <c r="W445" i="1"/>
  <c r="N445" i="1"/>
  <c r="J445" i="1"/>
  <c r="E445" i="1"/>
  <c r="W444" i="1"/>
  <c r="N444" i="1"/>
  <c r="J444" i="1"/>
  <c r="E444" i="1"/>
  <c r="W443" i="1"/>
  <c r="N443" i="1"/>
  <c r="J443" i="1"/>
  <c r="E443" i="1"/>
  <c r="W442" i="1"/>
  <c r="N442" i="1"/>
  <c r="J442" i="1"/>
  <c r="E442" i="1"/>
  <c r="W441" i="1"/>
  <c r="N441" i="1"/>
  <c r="J441" i="1"/>
  <c r="E441" i="1"/>
  <c r="W440" i="1"/>
  <c r="N440" i="1"/>
  <c r="J440" i="1"/>
  <c r="E440" i="1"/>
  <c r="W439" i="1"/>
  <c r="N439" i="1"/>
  <c r="J439" i="1"/>
  <c r="E439" i="1"/>
  <c r="W438" i="1"/>
  <c r="N438" i="1"/>
  <c r="J438" i="1"/>
  <c r="E438" i="1"/>
  <c r="W437" i="1"/>
  <c r="N437" i="1"/>
  <c r="J437" i="1"/>
  <c r="E437" i="1"/>
  <c r="W436" i="1"/>
  <c r="N436" i="1"/>
  <c r="J436" i="1"/>
  <c r="E436" i="1"/>
  <c r="W435" i="1"/>
  <c r="N435" i="1"/>
  <c r="J435" i="1"/>
  <c r="E435" i="1"/>
  <c r="W434" i="1"/>
  <c r="N434" i="1"/>
  <c r="J434" i="1"/>
  <c r="E434" i="1"/>
  <c r="W433" i="1"/>
  <c r="N433" i="1"/>
  <c r="J433" i="1"/>
  <c r="E433" i="1"/>
  <c r="W432" i="1"/>
  <c r="N432" i="1"/>
  <c r="J432" i="1"/>
  <c r="E432" i="1"/>
  <c r="W431" i="1"/>
  <c r="N431" i="1"/>
  <c r="J431" i="1"/>
  <c r="E431" i="1"/>
  <c r="W430" i="1"/>
  <c r="N430" i="1"/>
  <c r="J430" i="1"/>
  <c r="E430" i="1"/>
  <c r="W429" i="1"/>
  <c r="N429" i="1"/>
  <c r="J429" i="1"/>
  <c r="E429" i="1"/>
  <c r="W428" i="1"/>
  <c r="N428" i="1"/>
  <c r="J428" i="1"/>
  <c r="E428" i="1"/>
  <c r="W427" i="1"/>
  <c r="N427" i="1"/>
  <c r="J427" i="1"/>
  <c r="E427" i="1"/>
  <c r="W426" i="1"/>
  <c r="N426" i="1"/>
  <c r="J426" i="1"/>
  <c r="E426" i="1"/>
  <c r="W425" i="1"/>
  <c r="N425" i="1"/>
  <c r="J425" i="1"/>
  <c r="E425" i="1"/>
  <c r="W424" i="1"/>
  <c r="N424" i="1"/>
  <c r="J424" i="1"/>
  <c r="E424" i="1"/>
  <c r="W423" i="1"/>
  <c r="N423" i="1"/>
  <c r="J423" i="1"/>
  <c r="E423" i="1"/>
  <c r="W422" i="1"/>
  <c r="N422" i="1"/>
  <c r="J422" i="1"/>
  <c r="E422" i="1"/>
  <c r="W421" i="1"/>
  <c r="N421" i="1"/>
  <c r="J421" i="1"/>
  <c r="E421" i="1"/>
  <c r="W420" i="1"/>
  <c r="N420" i="1"/>
  <c r="J420" i="1"/>
  <c r="E420" i="1"/>
  <c r="W419" i="1"/>
  <c r="N419" i="1"/>
  <c r="J419" i="1"/>
  <c r="E419" i="1"/>
  <c r="W418" i="1"/>
  <c r="N418" i="1"/>
  <c r="J418" i="1"/>
  <c r="E418" i="1"/>
  <c r="W417" i="1"/>
  <c r="N417" i="1"/>
  <c r="J417" i="1"/>
  <c r="E417" i="1"/>
  <c r="W416" i="1"/>
  <c r="N416" i="1"/>
  <c r="J416" i="1"/>
  <c r="E416" i="1"/>
  <c r="W415" i="1"/>
  <c r="N415" i="1"/>
  <c r="J415" i="1"/>
  <c r="E415" i="1"/>
  <c r="W414" i="1"/>
  <c r="N414" i="1"/>
  <c r="J414" i="1"/>
  <c r="E414" i="1"/>
  <c r="W413" i="1"/>
  <c r="N413" i="1"/>
  <c r="J413" i="1"/>
  <c r="E413" i="1"/>
  <c r="W412" i="1"/>
  <c r="N412" i="1"/>
  <c r="J412" i="1"/>
  <c r="E412" i="1"/>
  <c r="W411" i="1"/>
  <c r="N411" i="1"/>
  <c r="J411" i="1"/>
  <c r="E411" i="1"/>
  <c r="W410" i="1"/>
  <c r="N410" i="1"/>
  <c r="J410" i="1"/>
  <c r="E410" i="1"/>
  <c r="W409" i="1"/>
  <c r="N409" i="1"/>
  <c r="J409" i="1"/>
  <c r="E409" i="1"/>
  <c r="W408" i="1"/>
  <c r="N408" i="1"/>
  <c r="J408" i="1"/>
  <c r="E408" i="1"/>
  <c r="W407" i="1"/>
  <c r="N407" i="1"/>
  <c r="J407" i="1"/>
  <c r="E407" i="1"/>
  <c r="W406" i="1"/>
  <c r="N406" i="1"/>
  <c r="J406" i="1"/>
  <c r="E406" i="1"/>
  <c r="W405" i="1"/>
  <c r="N405" i="1"/>
  <c r="J405" i="1"/>
  <c r="E405" i="1"/>
  <c r="W404" i="1"/>
  <c r="N404" i="1"/>
  <c r="J404" i="1"/>
  <c r="E404" i="1"/>
  <c r="W403" i="1"/>
  <c r="N403" i="1"/>
  <c r="J403" i="1"/>
  <c r="E403" i="1"/>
  <c r="W402" i="1"/>
  <c r="N402" i="1"/>
  <c r="J402" i="1"/>
  <c r="E402" i="1"/>
  <c r="W401" i="1"/>
  <c r="N401" i="1"/>
  <c r="J401" i="1"/>
  <c r="E401" i="1"/>
  <c r="W400" i="1"/>
  <c r="N400" i="1"/>
  <c r="J400" i="1"/>
  <c r="E400" i="1"/>
  <c r="W399" i="1"/>
  <c r="N399" i="1"/>
  <c r="J399" i="1"/>
  <c r="E399" i="1"/>
  <c r="W398" i="1"/>
  <c r="N398" i="1"/>
  <c r="J398" i="1"/>
  <c r="E398" i="1"/>
  <c r="W397" i="1"/>
  <c r="N397" i="1"/>
  <c r="J397" i="1"/>
  <c r="E397" i="1"/>
  <c r="W396" i="1"/>
  <c r="N396" i="1"/>
  <c r="J396" i="1"/>
  <c r="E396" i="1"/>
  <c r="W395" i="1"/>
  <c r="N395" i="1"/>
  <c r="J395" i="1"/>
  <c r="E395" i="1"/>
  <c r="W394" i="1"/>
  <c r="N394" i="1"/>
  <c r="J394" i="1"/>
  <c r="E394" i="1"/>
  <c r="W393" i="1"/>
  <c r="N393" i="1"/>
  <c r="J393" i="1"/>
  <c r="E393" i="1"/>
  <c r="W392" i="1"/>
  <c r="N392" i="1"/>
  <c r="J392" i="1"/>
  <c r="E392" i="1"/>
  <c r="W391" i="1"/>
  <c r="N391" i="1"/>
  <c r="J391" i="1"/>
  <c r="E391" i="1"/>
  <c r="W390" i="1"/>
  <c r="N390" i="1"/>
  <c r="J390" i="1"/>
  <c r="E390" i="1"/>
  <c r="W389" i="1"/>
  <c r="N389" i="1"/>
  <c r="J389" i="1"/>
  <c r="E389" i="1"/>
  <c r="W388" i="1"/>
  <c r="N388" i="1"/>
  <c r="J388" i="1"/>
  <c r="E388" i="1"/>
  <c r="W387" i="1"/>
  <c r="N387" i="1"/>
  <c r="J387" i="1"/>
  <c r="E387" i="1"/>
  <c r="W386" i="1"/>
  <c r="N386" i="1"/>
  <c r="J386" i="1"/>
  <c r="E386" i="1"/>
  <c r="W385" i="1"/>
  <c r="N385" i="1"/>
  <c r="J385" i="1"/>
  <c r="E385" i="1"/>
  <c r="W384" i="1"/>
  <c r="N384" i="1"/>
  <c r="J384" i="1"/>
  <c r="E384" i="1"/>
  <c r="W383" i="1"/>
  <c r="N383" i="1"/>
  <c r="J383" i="1"/>
  <c r="E383" i="1"/>
  <c r="W382" i="1"/>
  <c r="N382" i="1"/>
  <c r="J382" i="1"/>
  <c r="E382" i="1"/>
  <c r="W381" i="1"/>
  <c r="N381" i="1"/>
  <c r="J381" i="1"/>
  <c r="E381" i="1"/>
  <c r="W380" i="1"/>
  <c r="N380" i="1"/>
  <c r="J380" i="1"/>
  <c r="E380" i="1"/>
  <c r="W379" i="1"/>
  <c r="N379" i="1"/>
  <c r="J379" i="1"/>
  <c r="E379" i="1"/>
  <c r="W378" i="1"/>
  <c r="N378" i="1"/>
  <c r="J378" i="1"/>
  <c r="E378" i="1"/>
  <c r="W377" i="1"/>
  <c r="N377" i="1"/>
  <c r="J377" i="1"/>
  <c r="E377" i="1"/>
  <c r="W376" i="1"/>
  <c r="N376" i="1"/>
  <c r="J376" i="1"/>
  <c r="E376" i="1"/>
  <c r="W375" i="1"/>
  <c r="N375" i="1"/>
  <c r="J375" i="1"/>
  <c r="E375" i="1"/>
  <c r="W374" i="1"/>
  <c r="N374" i="1"/>
  <c r="J374" i="1"/>
  <c r="E374" i="1"/>
  <c r="W373" i="1"/>
  <c r="N373" i="1"/>
  <c r="J373" i="1"/>
  <c r="E373" i="1"/>
  <c r="W372" i="1"/>
  <c r="N372" i="1"/>
  <c r="J372" i="1"/>
  <c r="E372" i="1"/>
  <c r="W371" i="1"/>
  <c r="N371" i="1"/>
  <c r="J371" i="1"/>
  <c r="E371" i="1"/>
  <c r="W370" i="1"/>
  <c r="N370" i="1"/>
  <c r="J370" i="1"/>
  <c r="E370" i="1"/>
  <c r="W369" i="1"/>
  <c r="N369" i="1"/>
  <c r="J369" i="1"/>
  <c r="E369" i="1"/>
  <c r="W368" i="1"/>
  <c r="N368" i="1"/>
  <c r="J368" i="1"/>
  <c r="E368" i="1"/>
  <c r="W367" i="1"/>
  <c r="N367" i="1"/>
  <c r="J367" i="1"/>
  <c r="E367" i="1"/>
  <c r="W366" i="1"/>
  <c r="N366" i="1"/>
  <c r="J366" i="1"/>
  <c r="E366" i="1"/>
  <c r="W365" i="1"/>
  <c r="N365" i="1"/>
  <c r="J365" i="1"/>
  <c r="E365" i="1"/>
  <c r="W364" i="1"/>
  <c r="N364" i="1"/>
  <c r="J364" i="1"/>
  <c r="E364" i="1"/>
  <c r="W363" i="1"/>
  <c r="N363" i="1"/>
  <c r="J363" i="1"/>
  <c r="E363" i="1"/>
  <c r="W362" i="1"/>
  <c r="N362" i="1"/>
  <c r="J362" i="1"/>
  <c r="E362" i="1"/>
  <c r="W361" i="1"/>
  <c r="N361" i="1"/>
  <c r="J361" i="1"/>
  <c r="E361" i="1"/>
  <c r="W360" i="1"/>
  <c r="N360" i="1"/>
  <c r="J360" i="1"/>
  <c r="E360" i="1"/>
  <c r="W359" i="1"/>
  <c r="N359" i="1"/>
  <c r="J359" i="1"/>
  <c r="E359" i="1"/>
  <c r="W358" i="1"/>
  <c r="N358" i="1"/>
  <c r="J358" i="1"/>
  <c r="E358" i="1"/>
  <c r="W357" i="1"/>
  <c r="N357" i="1"/>
  <c r="J357" i="1"/>
  <c r="E357" i="1"/>
  <c r="W356" i="1"/>
  <c r="N356" i="1"/>
  <c r="J356" i="1"/>
  <c r="E356" i="1"/>
  <c r="W355" i="1"/>
  <c r="N355" i="1"/>
  <c r="J355" i="1"/>
  <c r="E355" i="1"/>
  <c r="W354" i="1"/>
  <c r="N354" i="1"/>
  <c r="J354" i="1"/>
  <c r="E354" i="1"/>
  <c r="W353" i="1"/>
  <c r="N353" i="1"/>
  <c r="J353" i="1"/>
  <c r="E353" i="1"/>
  <c r="W352" i="1"/>
  <c r="N352" i="1"/>
  <c r="J352" i="1"/>
  <c r="E352" i="1"/>
  <c r="W351" i="1"/>
  <c r="N351" i="1"/>
  <c r="J351" i="1"/>
  <c r="E351" i="1"/>
  <c r="W350" i="1"/>
  <c r="N350" i="1"/>
  <c r="J350" i="1"/>
  <c r="E350" i="1"/>
  <c r="W349" i="1"/>
  <c r="N349" i="1"/>
  <c r="J349" i="1"/>
  <c r="E349" i="1"/>
  <c r="W348" i="1"/>
  <c r="N348" i="1"/>
  <c r="J348" i="1"/>
  <c r="E348" i="1"/>
  <c r="W347" i="1"/>
  <c r="N347" i="1"/>
  <c r="J347" i="1"/>
  <c r="E347" i="1"/>
  <c r="W346" i="1"/>
  <c r="N346" i="1"/>
  <c r="J346" i="1"/>
  <c r="E346" i="1"/>
  <c r="W345" i="1"/>
  <c r="N345" i="1"/>
  <c r="J345" i="1"/>
  <c r="E345" i="1"/>
  <c r="W344" i="1"/>
  <c r="N344" i="1"/>
  <c r="J344" i="1"/>
  <c r="E344" i="1"/>
  <c r="W343" i="1"/>
  <c r="N343" i="1"/>
  <c r="J343" i="1"/>
  <c r="E343" i="1"/>
  <c r="W342" i="1"/>
  <c r="N342" i="1"/>
  <c r="J342" i="1"/>
  <c r="E342" i="1"/>
  <c r="W341" i="1"/>
  <c r="N341" i="1"/>
  <c r="J341" i="1"/>
  <c r="E341" i="1"/>
  <c r="W340" i="1"/>
  <c r="N340" i="1"/>
  <c r="J340" i="1"/>
  <c r="E340" i="1"/>
  <c r="W339" i="1"/>
  <c r="N339" i="1"/>
  <c r="J339" i="1"/>
  <c r="E339" i="1"/>
  <c r="W338" i="1"/>
  <c r="N338" i="1"/>
  <c r="J338" i="1"/>
  <c r="E338" i="1"/>
  <c r="W337" i="1"/>
  <c r="N337" i="1"/>
  <c r="J337" i="1"/>
  <c r="E337" i="1"/>
  <c r="W336" i="1"/>
  <c r="N336" i="1"/>
  <c r="J336" i="1"/>
  <c r="E336" i="1"/>
  <c r="W335" i="1"/>
  <c r="N335" i="1"/>
  <c r="J335" i="1"/>
  <c r="E335" i="1"/>
  <c r="W334" i="1"/>
  <c r="N334" i="1"/>
  <c r="J334" i="1"/>
  <c r="E334" i="1"/>
  <c r="W333" i="1"/>
  <c r="N333" i="1"/>
  <c r="J333" i="1"/>
  <c r="E333" i="1"/>
  <c r="W332" i="1"/>
  <c r="N332" i="1"/>
  <c r="J332" i="1"/>
  <c r="E332" i="1"/>
  <c r="W331" i="1"/>
  <c r="N331" i="1"/>
  <c r="J331" i="1"/>
  <c r="E331" i="1"/>
  <c r="W330" i="1"/>
  <c r="N330" i="1"/>
  <c r="J330" i="1"/>
  <c r="E330" i="1"/>
  <c r="W329" i="1"/>
  <c r="N329" i="1"/>
  <c r="J329" i="1"/>
  <c r="E329" i="1"/>
  <c r="W328" i="1"/>
  <c r="N328" i="1"/>
  <c r="J328" i="1"/>
  <c r="E328" i="1"/>
  <c r="W327" i="1"/>
  <c r="N327" i="1"/>
  <c r="J327" i="1"/>
  <c r="E327" i="1"/>
  <c r="W326" i="1"/>
  <c r="N326" i="1"/>
  <c r="J326" i="1"/>
  <c r="E326" i="1"/>
  <c r="W325" i="1"/>
  <c r="N325" i="1"/>
  <c r="J325" i="1"/>
  <c r="E325" i="1"/>
  <c r="W324" i="1"/>
  <c r="N324" i="1"/>
  <c r="J324" i="1"/>
  <c r="E324" i="1"/>
  <c r="W323" i="1"/>
  <c r="N323" i="1"/>
  <c r="J323" i="1"/>
  <c r="E323" i="1"/>
  <c r="W322" i="1"/>
  <c r="N322" i="1"/>
  <c r="J322" i="1"/>
  <c r="E322" i="1"/>
  <c r="W321" i="1"/>
  <c r="N321" i="1"/>
  <c r="J321" i="1"/>
  <c r="E321" i="1"/>
  <c r="W320" i="1"/>
  <c r="N320" i="1"/>
  <c r="J320" i="1"/>
  <c r="E320" i="1"/>
  <c r="W319" i="1"/>
  <c r="N319" i="1"/>
  <c r="J319" i="1"/>
  <c r="E319" i="1"/>
  <c r="W318" i="1"/>
  <c r="N318" i="1"/>
  <c r="J318" i="1"/>
  <c r="E318" i="1"/>
  <c r="W317" i="1"/>
  <c r="N317" i="1"/>
  <c r="J317" i="1"/>
  <c r="E317" i="1"/>
  <c r="W316" i="1"/>
  <c r="N316" i="1"/>
  <c r="J316" i="1"/>
  <c r="E316" i="1"/>
  <c r="W315" i="1"/>
  <c r="N315" i="1"/>
  <c r="J315" i="1"/>
  <c r="E315" i="1"/>
  <c r="W314" i="1"/>
  <c r="N314" i="1"/>
  <c r="J314" i="1"/>
  <c r="E314" i="1"/>
  <c r="W313" i="1"/>
  <c r="N313" i="1"/>
  <c r="J313" i="1"/>
  <c r="E313" i="1"/>
  <c r="W312" i="1"/>
  <c r="N312" i="1"/>
  <c r="J312" i="1"/>
  <c r="E312" i="1"/>
  <c r="W311" i="1"/>
  <c r="N311" i="1"/>
  <c r="J311" i="1"/>
  <c r="E311" i="1"/>
  <c r="W310" i="1"/>
  <c r="N310" i="1"/>
  <c r="J310" i="1"/>
  <c r="E310" i="1"/>
  <c r="W309" i="1"/>
  <c r="N309" i="1"/>
  <c r="J309" i="1"/>
  <c r="E309" i="1"/>
  <c r="W308" i="1"/>
  <c r="N308" i="1"/>
  <c r="J308" i="1"/>
  <c r="E308" i="1"/>
  <c r="W307" i="1"/>
  <c r="N307" i="1"/>
  <c r="J307" i="1"/>
  <c r="E307" i="1"/>
  <c r="W306" i="1"/>
  <c r="N306" i="1"/>
  <c r="J306" i="1"/>
  <c r="E306" i="1"/>
  <c r="W305" i="1"/>
  <c r="N305" i="1"/>
  <c r="J305" i="1"/>
  <c r="E305" i="1"/>
  <c r="W304" i="1"/>
  <c r="N304" i="1"/>
  <c r="J304" i="1"/>
  <c r="E304" i="1"/>
  <c r="W303" i="1"/>
  <c r="N303" i="1"/>
  <c r="J303" i="1"/>
  <c r="E303" i="1"/>
  <c r="W302" i="1"/>
  <c r="N302" i="1"/>
  <c r="J302" i="1"/>
  <c r="E302" i="1"/>
  <c r="W301" i="1"/>
  <c r="N301" i="1"/>
  <c r="J301" i="1"/>
  <c r="E301" i="1"/>
  <c r="W300" i="1"/>
  <c r="N300" i="1"/>
  <c r="J300" i="1"/>
  <c r="E300" i="1"/>
  <c r="W299" i="1"/>
  <c r="N299" i="1"/>
  <c r="J299" i="1"/>
  <c r="E299" i="1"/>
  <c r="W298" i="1"/>
  <c r="N298" i="1"/>
  <c r="J298" i="1"/>
  <c r="E298" i="1"/>
  <c r="W297" i="1"/>
  <c r="N297" i="1"/>
  <c r="J297" i="1"/>
  <c r="E297" i="1"/>
  <c r="W296" i="1"/>
  <c r="N296" i="1"/>
  <c r="J296" i="1"/>
  <c r="E296" i="1"/>
  <c r="W295" i="1"/>
  <c r="N295" i="1"/>
  <c r="J295" i="1"/>
  <c r="E295" i="1"/>
  <c r="W294" i="1"/>
  <c r="N294" i="1"/>
  <c r="J294" i="1"/>
  <c r="E294" i="1"/>
  <c r="W293" i="1"/>
  <c r="N293" i="1"/>
  <c r="J293" i="1"/>
  <c r="E293" i="1"/>
  <c r="W292" i="1"/>
  <c r="N292" i="1"/>
  <c r="J292" i="1"/>
  <c r="E292" i="1"/>
  <c r="W291" i="1"/>
  <c r="N291" i="1"/>
  <c r="J291" i="1"/>
  <c r="E291" i="1"/>
  <c r="W290" i="1"/>
  <c r="N290" i="1"/>
  <c r="J290" i="1"/>
  <c r="E290" i="1"/>
  <c r="W289" i="1"/>
  <c r="N289" i="1"/>
  <c r="J289" i="1"/>
  <c r="E289" i="1"/>
  <c r="W288" i="1"/>
  <c r="N288" i="1"/>
  <c r="J288" i="1"/>
  <c r="E288" i="1"/>
  <c r="W287" i="1"/>
  <c r="N287" i="1"/>
  <c r="J287" i="1"/>
  <c r="E287" i="1"/>
  <c r="W286" i="1"/>
  <c r="N286" i="1"/>
  <c r="J286" i="1"/>
  <c r="E286" i="1"/>
  <c r="W285" i="1"/>
  <c r="N285" i="1"/>
  <c r="J285" i="1"/>
  <c r="E285" i="1"/>
  <c r="W284" i="1"/>
  <c r="N284" i="1"/>
  <c r="J284" i="1"/>
  <c r="E284" i="1"/>
  <c r="W283" i="1"/>
  <c r="N283" i="1"/>
  <c r="J283" i="1"/>
  <c r="E283" i="1"/>
  <c r="W282" i="1"/>
  <c r="N282" i="1"/>
  <c r="J282" i="1"/>
  <c r="E282" i="1"/>
  <c r="W281" i="1"/>
  <c r="N281" i="1"/>
  <c r="J281" i="1"/>
  <c r="E281" i="1"/>
  <c r="W280" i="1"/>
  <c r="N280" i="1"/>
  <c r="J280" i="1"/>
  <c r="E280" i="1"/>
  <c r="W279" i="1"/>
  <c r="N279" i="1"/>
  <c r="J279" i="1"/>
  <c r="E279" i="1"/>
  <c r="W278" i="1"/>
  <c r="N278" i="1"/>
  <c r="J278" i="1"/>
  <c r="E278" i="1"/>
  <c r="W277" i="1"/>
  <c r="N277" i="1"/>
  <c r="J277" i="1"/>
  <c r="E277" i="1"/>
  <c r="W276" i="1"/>
  <c r="N276" i="1"/>
  <c r="J276" i="1"/>
  <c r="E276" i="1"/>
  <c r="W275" i="1"/>
  <c r="N275" i="1"/>
  <c r="J275" i="1"/>
  <c r="E275" i="1"/>
  <c r="W274" i="1"/>
  <c r="N274" i="1"/>
  <c r="J274" i="1"/>
  <c r="E274" i="1"/>
  <c r="W273" i="1"/>
  <c r="N273" i="1"/>
  <c r="J273" i="1"/>
  <c r="E273" i="1"/>
  <c r="W272" i="1"/>
  <c r="N272" i="1"/>
  <c r="J272" i="1"/>
  <c r="E272" i="1"/>
  <c r="W271" i="1"/>
  <c r="N271" i="1"/>
  <c r="J271" i="1"/>
  <c r="E271" i="1"/>
  <c r="W270" i="1"/>
  <c r="N270" i="1"/>
  <c r="J270" i="1"/>
  <c r="E270" i="1"/>
  <c r="W269" i="1"/>
  <c r="N269" i="1"/>
  <c r="J269" i="1"/>
  <c r="E269" i="1"/>
  <c r="W268" i="1"/>
  <c r="N268" i="1"/>
  <c r="J268" i="1"/>
  <c r="E268" i="1"/>
  <c r="W267" i="1"/>
  <c r="N267" i="1"/>
  <c r="J267" i="1"/>
  <c r="E267" i="1"/>
  <c r="W266" i="1"/>
  <c r="N266" i="1"/>
  <c r="J266" i="1"/>
  <c r="E266" i="1"/>
  <c r="W265" i="1"/>
  <c r="N265" i="1"/>
  <c r="J265" i="1"/>
  <c r="E265" i="1"/>
  <c r="W264" i="1"/>
  <c r="N264" i="1"/>
  <c r="J264" i="1"/>
  <c r="E264" i="1"/>
  <c r="W263" i="1"/>
  <c r="N263" i="1"/>
  <c r="J263" i="1"/>
  <c r="E263" i="1"/>
  <c r="W262" i="1"/>
  <c r="N262" i="1"/>
  <c r="J262" i="1"/>
  <c r="E262" i="1"/>
  <c r="W261" i="1"/>
  <c r="N261" i="1"/>
  <c r="J261" i="1"/>
  <c r="E261" i="1"/>
  <c r="W260" i="1"/>
  <c r="N260" i="1"/>
  <c r="J260" i="1"/>
  <c r="E260" i="1"/>
  <c r="W259" i="1"/>
  <c r="N259" i="1"/>
  <c r="J259" i="1"/>
  <c r="E259" i="1"/>
  <c r="W258" i="1"/>
  <c r="N258" i="1"/>
  <c r="J258" i="1"/>
  <c r="E258" i="1"/>
  <c r="W257" i="1"/>
  <c r="N257" i="1"/>
  <c r="J257" i="1"/>
  <c r="E257" i="1"/>
  <c r="W256" i="1"/>
  <c r="N256" i="1"/>
  <c r="J256" i="1"/>
  <c r="E256" i="1"/>
  <c r="W255" i="1"/>
  <c r="N255" i="1"/>
  <c r="J255" i="1"/>
  <c r="E255" i="1"/>
  <c r="W254" i="1"/>
  <c r="N254" i="1"/>
  <c r="J254" i="1"/>
  <c r="E254" i="1"/>
  <c r="W253" i="1"/>
  <c r="N253" i="1"/>
  <c r="J253" i="1"/>
  <c r="E253" i="1"/>
  <c r="W252" i="1"/>
  <c r="N252" i="1"/>
  <c r="J252" i="1"/>
  <c r="E252" i="1"/>
  <c r="W251" i="1"/>
  <c r="N251" i="1"/>
  <c r="J251" i="1"/>
  <c r="E251" i="1"/>
  <c r="W250" i="1"/>
  <c r="N250" i="1"/>
  <c r="J250" i="1"/>
  <c r="E250" i="1"/>
  <c r="W249" i="1"/>
  <c r="N249" i="1"/>
  <c r="J249" i="1"/>
  <c r="E249" i="1"/>
  <c r="W248" i="1"/>
  <c r="N248" i="1"/>
  <c r="J248" i="1"/>
  <c r="E248" i="1"/>
  <c r="W247" i="1"/>
  <c r="N247" i="1"/>
  <c r="J247" i="1"/>
  <c r="E247" i="1"/>
  <c r="W246" i="1"/>
  <c r="N246" i="1"/>
  <c r="J246" i="1"/>
  <c r="E246" i="1"/>
  <c r="W245" i="1"/>
  <c r="N245" i="1"/>
  <c r="J245" i="1"/>
  <c r="E245" i="1"/>
  <c r="W244" i="1"/>
  <c r="N244" i="1"/>
  <c r="J244" i="1"/>
  <c r="E244" i="1"/>
  <c r="W243" i="1"/>
  <c r="N243" i="1"/>
  <c r="J243" i="1"/>
  <c r="E243" i="1"/>
  <c r="W242" i="1"/>
  <c r="N242" i="1"/>
  <c r="J242" i="1"/>
  <c r="E242" i="1"/>
  <c r="W241" i="1"/>
  <c r="N241" i="1"/>
  <c r="J241" i="1"/>
  <c r="E241" i="1"/>
  <c r="W240" i="1"/>
  <c r="N240" i="1"/>
  <c r="J240" i="1"/>
  <c r="E240" i="1"/>
  <c r="W239" i="1"/>
  <c r="N239" i="1"/>
  <c r="J239" i="1"/>
  <c r="E239" i="1"/>
  <c r="W238" i="1"/>
  <c r="N238" i="1"/>
  <c r="J238" i="1"/>
  <c r="E238" i="1"/>
  <c r="W237" i="1"/>
  <c r="N237" i="1"/>
  <c r="J237" i="1"/>
  <c r="E237" i="1"/>
  <c r="W236" i="1"/>
  <c r="N236" i="1"/>
  <c r="J236" i="1"/>
  <c r="E236" i="1"/>
  <c r="W235" i="1"/>
  <c r="N235" i="1"/>
  <c r="J235" i="1"/>
  <c r="E235" i="1"/>
  <c r="W234" i="1"/>
  <c r="N234" i="1"/>
  <c r="J234" i="1"/>
  <c r="E234" i="1"/>
  <c r="W233" i="1"/>
  <c r="N233" i="1"/>
  <c r="J233" i="1"/>
  <c r="E233" i="1"/>
  <c r="W232" i="1"/>
  <c r="N232" i="1"/>
  <c r="J232" i="1"/>
  <c r="E232" i="1"/>
  <c r="W231" i="1"/>
  <c r="N231" i="1"/>
  <c r="J231" i="1"/>
  <c r="E231" i="1"/>
  <c r="W230" i="1"/>
  <c r="N230" i="1"/>
  <c r="J230" i="1"/>
  <c r="E230" i="1"/>
  <c r="W229" i="1"/>
  <c r="N229" i="1"/>
  <c r="J229" i="1"/>
  <c r="E229" i="1"/>
  <c r="W228" i="1"/>
  <c r="N228" i="1"/>
  <c r="J228" i="1"/>
  <c r="E228" i="1"/>
  <c r="W227" i="1"/>
  <c r="N227" i="1"/>
  <c r="J227" i="1"/>
  <c r="E227" i="1"/>
  <c r="W226" i="1"/>
  <c r="N226" i="1"/>
  <c r="J226" i="1"/>
  <c r="E226" i="1"/>
  <c r="W225" i="1"/>
  <c r="N225" i="1"/>
  <c r="J225" i="1"/>
  <c r="E225" i="1"/>
  <c r="W224" i="1"/>
  <c r="N224" i="1"/>
  <c r="J224" i="1"/>
  <c r="E224" i="1"/>
  <c r="W223" i="1"/>
  <c r="N223" i="1"/>
  <c r="J223" i="1"/>
  <c r="E223" i="1"/>
  <c r="W222" i="1"/>
  <c r="N222" i="1"/>
  <c r="J222" i="1"/>
  <c r="E222" i="1"/>
  <c r="W221" i="1"/>
  <c r="N221" i="1"/>
  <c r="J221" i="1"/>
  <c r="E221" i="1"/>
  <c r="W220" i="1"/>
  <c r="N220" i="1"/>
  <c r="J220" i="1"/>
  <c r="E220" i="1"/>
  <c r="W219" i="1"/>
  <c r="N219" i="1"/>
  <c r="J219" i="1"/>
  <c r="E219" i="1"/>
  <c r="W218" i="1"/>
  <c r="N218" i="1"/>
  <c r="J218" i="1"/>
  <c r="E218" i="1"/>
  <c r="W217" i="1"/>
  <c r="N217" i="1"/>
  <c r="J217" i="1"/>
  <c r="E217" i="1"/>
  <c r="W216" i="1"/>
  <c r="N216" i="1"/>
  <c r="J216" i="1"/>
  <c r="E216" i="1"/>
  <c r="W215" i="1"/>
  <c r="N215" i="1"/>
  <c r="J215" i="1"/>
  <c r="E215" i="1"/>
  <c r="W214" i="1"/>
  <c r="N214" i="1"/>
  <c r="J214" i="1"/>
  <c r="E214" i="1"/>
  <c r="W213" i="1"/>
  <c r="N213" i="1"/>
  <c r="J213" i="1"/>
  <c r="E213" i="1"/>
  <c r="W212" i="1"/>
  <c r="N212" i="1"/>
  <c r="J212" i="1"/>
  <c r="E212" i="1"/>
  <c r="W211" i="1"/>
  <c r="N211" i="1"/>
  <c r="J211" i="1"/>
  <c r="E211" i="1"/>
  <c r="W210" i="1"/>
  <c r="N210" i="1"/>
  <c r="J210" i="1"/>
  <c r="E210" i="1"/>
  <c r="W209" i="1"/>
  <c r="N209" i="1"/>
  <c r="J209" i="1"/>
  <c r="E209" i="1"/>
  <c r="W208" i="1"/>
  <c r="N208" i="1"/>
  <c r="J208" i="1"/>
  <c r="E208" i="1"/>
  <c r="W207" i="1"/>
  <c r="N207" i="1"/>
  <c r="J207" i="1"/>
  <c r="E207" i="1"/>
  <c r="W206" i="1"/>
  <c r="N206" i="1"/>
  <c r="J206" i="1"/>
  <c r="E206" i="1"/>
  <c r="W205" i="1"/>
  <c r="N205" i="1"/>
  <c r="J205" i="1"/>
  <c r="E205" i="1"/>
  <c r="W204" i="1"/>
  <c r="N204" i="1"/>
  <c r="J204" i="1"/>
  <c r="E204" i="1"/>
  <c r="W203" i="1"/>
  <c r="N203" i="1"/>
  <c r="J203" i="1"/>
  <c r="E203" i="1"/>
  <c r="W202" i="1"/>
  <c r="N202" i="1"/>
  <c r="J202" i="1"/>
  <c r="E202" i="1"/>
  <c r="W201" i="1"/>
  <c r="N201" i="1"/>
  <c r="J201" i="1"/>
  <c r="E201" i="1"/>
  <c r="W200" i="1"/>
  <c r="N200" i="1"/>
  <c r="J200" i="1"/>
  <c r="E200" i="1"/>
  <c r="W199" i="1"/>
  <c r="N199" i="1"/>
  <c r="J199" i="1"/>
  <c r="E199" i="1"/>
  <c r="W198" i="1"/>
  <c r="N198" i="1"/>
  <c r="J198" i="1"/>
  <c r="E198" i="1"/>
  <c r="W197" i="1"/>
  <c r="N197" i="1"/>
  <c r="J197" i="1"/>
  <c r="E197" i="1"/>
  <c r="W196" i="1"/>
  <c r="N196" i="1"/>
  <c r="J196" i="1"/>
  <c r="E196" i="1"/>
  <c r="W195" i="1"/>
  <c r="N195" i="1"/>
  <c r="J195" i="1"/>
  <c r="E195" i="1"/>
  <c r="W194" i="1"/>
  <c r="N194" i="1"/>
  <c r="J194" i="1"/>
  <c r="E194" i="1"/>
  <c r="W193" i="1"/>
  <c r="N193" i="1"/>
  <c r="J193" i="1"/>
  <c r="E193" i="1"/>
  <c r="W192" i="1"/>
  <c r="N192" i="1"/>
  <c r="J192" i="1"/>
  <c r="E192" i="1"/>
  <c r="W191" i="1"/>
  <c r="N191" i="1"/>
  <c r="J191" i="1"/>
  <c r="E191" i="1"/>
  <c r="W190" i="1"/>
  <c r="N190" i="1"/>
  <c r="J190" i="1"/>
  <c r="E190" i="1"/>
  <c r="W189" i="1"/>
  <c r="N189" i="1"/>
  <c r="J189" i="1"/>
  <c r="E189" i="1"/>
  <c r="W188" i="1"/>
  <c r="N188" i="1"/>
  <c r="J188" i="1"/>
  <c r="E188" i="1"/>
  <c r="W187" i="1"/>
  <c r="N187" i="1"/>
  <c r="J187" i="1"/>
  <c r="E187" i="1"/>
  <c r="W186" i="1"/>
  <c r="N186" i="1"/>
  <c r="J186" i="1"/>
  <c r="E186" i="1"/>
  <c r="W185" i="1"/>
  <c r="N185" i="1"/>
  <c r="J185" i="1"/>
  <c r="E185" i="1"/>
  <c r="W184" i="1"/>
  <c r="N184" i="1"/>
  <c r="J184" i="1"/>
  <c r="E184" i="1"/>
  <c r="W183" i="1"/>
  <c r="N183" i="1"/>
  <c r="J183" i="1"/>
  <c r="E183" i="1"/>
  <c r="W182" i="1"/>
  <c r="N182" i="1"/>
  <c r="J182" i="1"/>
  <c r="E182" i="1"/>
  <c r="W181" i="1"/>
  <c r="N181" i="1"/>
  <c r="J181" i="1"/>
  <c r="E181" i="1"/>
  <c r="W180" i="1"/>
  <c r="N180" i="1"/>
  <c r="J180" i="1"/>
  <c r="E180" i="1"/>
  <c r="W179" i="1"/>
  <c r="N179" i="1"/>
  <c r="J179" i="1"/>
  <c r="E179" i="1"/>
  <c r="W178" i="1"/>
  <c r="N178" i="1"/>
  <c r="J178" i="1"/>
  <c r="E178" i="1"/>
  <c r="W177" i="1"/>
  <c r="N177" i="1"/>
  <c r="J177" i="1"/>
  <c r="E177" i="1"/>
  <c r="W176" i="1"/>
  <c r="N176" i="1"/>
  <c r="J176" i="1"/>
  <c r="E176" i="1"/>
  <c r="W175" i="1"/>
  <c r="N175" i="1"/>
  <c r="J175" i="1"/>
  <c r="E175" i="1"/>
  <c r="W174" i="1"/>
  <c r="N174" i="1"/>
  <c r="J174" i="1"/>
  <c r="E174" i="1"/>
  <c r="W173" i="1"/>
  <c r="N173" i="1"/>
  <c r="J173" i="1"/>
  <c r="E173" i="1"/>
  <c r="W172" i="1"/>
  <c r="N172" i="1"/>
  <c r="J172" i="1"/>
  <c r="E172" i="1"/>
  <c r="W171" i="1"/>
  <c r="N171" i="1"/>
  <c r="J171" i="1"/>
  <c r="E171" i="1"/>
  <c r="W170" i="1"/>
  <c r="N170" i="1"/>
  <c r="J170" i="1"/>
  <c r="E170" i="1"/>
  <c r="W169" i="1"/>
  <c r="N169" i="1"/>
  <c r="J169" i="1"/>
  <c r="E169" i="1"/>
  <c r="W168" i="1"/>
  <c r="N168" i="1"/>
  <c r="J168" i="1"/>
  <c r="E168" i="1"/>
  <c r="W167" i="1"/>
  <c r="N167" i="1"/>
  <c r="J167" i="1"/>
  <c r="E167" i="1"/>
  <c r="W166" i="1"/>
  <c r="N166" i="1"/>
  <c r="J166" i="1"/>
  <c r="E166" i="1"/>
  <c r="W165" i="1"/>
  <c r="N165" i="1"/>
  <c r="J165" i="1"/>
  <c r="E165" i="1"/>
  <c r="W164" i="1"/>
  <c r="N164" i="1"/>
  <c r="J164" i="1"/>
  <c r="E164" i="1"/>
  <c r="W163" i="1"/>
  <c r="N163" i="1"/>
  <c r="J163" i="1"/>
  <c r="E163" i="1"/>
  <c r="W162" i="1"/>
  <c r="N162" i="1"/>
  <c r="J162" i="1"/>
  <c r="E162" i="1"/>
  <c r="W161" i="1"/>
  <c r="N161" i="1"/>
  <c r="J161" i="1"/>
  <c r="E161" i="1"/>
  <c r="W160" i="1"/>
  <c r="N160" i="1"/>
  <c r="J160" i="1"/>
  <c r="E160" i="1"/>
  <c r="W159" i="1"/>
  <c r="N159" i="1"/>
  <c r="J159" i="1"/>
  <c r="E159" i="1"/>
  <c r="W158" i="1"/>
  <c r="N158" i="1"/>
  <c r="J158" i="1"/>
  <c r="E158" i="1"/>
  <c r="W157" i="1"/>
  <c r="N157" i="1"/>
  <c r="J157" i="1"/>
  <c r="E157" i="1"/>
  <c r="W156" i="1"/>
  <c r="N156" i="1"/>
  <c r="J156" i="1"/>
  <c r="E156" i="1"/>
  <c r="W155" i="1"/>
  <c r="N155" i="1"/>
  <c r="J155" i="1"/>
  <c r="E155" i="1"/>
  <c r="W154" i="1"/>
  <c r="N154" i="1"/>
  <c r="J154" i="1"/>
  <c r="E154" i="1"/>
  <c r="W153" i="1"/>
  <c r="N153" i="1"/>
  <c r="J153" i="1"/>
  <c r="E153" i="1"/>
  <c r="W152" i="1"/>
  <c r="N152" i="1"/>
  <c r="J152" i="1"/>
  <c r="E152" i="1"/>
  <c r="W151" i="1"/>
  <c r="N151" i="1"/>
  <c r="J151" i="1"/>
  <c r="E151" i="1"/>
  <c r="W150" i="1"/>
  <c r="N150" i="1"/>
  <c r="J150" i="1"/>
  <c r="E150" i="1"/>
  <c r="W149" i="1"/>
  <c r="N149" i="1"/>
  <c r="J149" i="1"/>
  <c r="E149" i="1"/>
  <c r="W148" i="1"/>
  <c r="N148" i="1"/>
  <c r="J148" i="1"/>
  <c r="E148" i="1"/>
  <c r="W147" i="1"/>
  <c r="N147" i="1"/>
  <c r="J147" i="1"/>
  <c r="E147" i="1"/>
  <c r="W146" i="1"/>
  <c r="N146" i="1"/>
  <c r="J146" i="1"/>
  <c r="E146" i="1"/>
  <c r="W145" i="1"/>
  <c r="N145" i="1"/>
  <c r="J145" i="1"/>
  <c r="E145" i="1"/>
  <c r="W144" i="1"/>
  <c r="N144" i="1"/>
  <c r="J144" i="1"/>
  <c r="E144" i="1"/>
  <c r="W143" i="1"/>
  <c r="N143" i="1"/>
  <c r="J143" i="1"/>
  <c r="E143" i="1"/>
  <c r="W142" i="1"/>
  <c r="N142" i="1"/>
  <c r="J142" i="1"/>
  <c r="E142" i="1"/>
  <c r="W141" i="1"/>
  <c r="N141" i="1"/>
  <c r="J141" i="1"/>
  <c r="E141" i="1"/>
  <c r="W140" i="1"/>
  <c r="N140" i="1"/>
  <c r="J140" i="1"/>
  <c r="E140" i="1"/>
  <c r="W139" i="1"/>
  <c r="N139" i="1"/>
  <c r="J139" i="1"/>
  <c r="E139" i="1"/>
  <c r="W138" i="1"/>
  <c r="N138" i="1"/>
  <c r="J138" i="1"/>
  <c r="E138" i="1"/>
  <c r="W137" i="1"/>
  <c r="N137" i="1"/>
  <c r="J137" i="1"/>
  <c r="E137" i="1"/>
  <c r="W136" i="1"/>
  <c r="N136" i="1"/>
  <c r="J136" i="1"/>
  <c r="E136" i="1"/>
  <c r="W135" i="1"/>
  <c r="N135" i="1"/>
  <c r="J135" i="1"/>
  <c r="E135" i="1"/>
  <c r="W134" i="1"/>
  <c r="N134" i="1"/>
  <c r="J134" i="1"/>
  <c r="E134" i="1"/>
  <c r="W133" i="1"/>
  <c r="N133" i="1"/>
  <c r="J133" i="1"/>
  <c r="E133" i="1"/>
  <c r="W132" i="1"/>
  <c r="N132" i="1"/>
  <c r="J132" i="1"/>
  <c r="E132" i="1"/>
  <c r="W131" i="1"/>
  <c r="N131" i="1"/>
  <c r="J131" i="1"/>
  <c r="E131" i="1"/>
  <c r="W130" i="1"/>
  <c r="N130" i="1"/>
  <c r="J130" i="1"/>
  <c r="E130" i="1"/>
  <c r="W129" i="1"/>
  <c r="N129" i="1"/>
  <c r="J129" i="1"/>
  <c r="E129" i="1"/>
  <c r="W128" i="1"/>
  <c r="N128" i="1"/>
  <c r="J128" i="1"/>
  <c r="E128" i="1"/>
  <c r="W127" i="1"/>
  <c r="N127" i="1"/>
  <c r="J127" i="1"/>
  <c r="E127" i="1"/>
  <c r="W126" i="1"/>
  <c r="N126" i="1"/>
  <c r="J126" i="1"/>
  <c r="E126" i="1"/>
  <c r="W125" i="1"/>
  <c r="N125" i="1"/>
  <c r="J125" i="1"/>
  <c r="E125" i="1"/>
  <c r="W124" i="1"/>
  <c r="N124" i="1"/>
  <c r="J124" i="1"/>
  <c r="E124" i="1"/>
  <c r="W123" i="1"/>
  <c r="N123" i="1"/>
  <c r="J123" i="1"/>
  <c r="E123" i="1"/>
  <c r="W122" i="1"/>
  <c r="N122" i="1"/>
  <c r="J122" i="1"/>
  <c r="E122" i="1"/>
  <c r="W121" i="1"/>
  <c r="N121" i="1"/>
  <c r="J121" i="1"/>
  <c r="E121" i="1"/>
  <c r="W120" i="1"/>
  <c r="N120" i="1"/>
  <c r="J120" i="1"/>
  <c r="E120" i="1"/>
  <c r="W119" i="1"/>
  <c r="N119" i="1"/>
  <c r="J119" i="1"/>
  <c r="E119" i="1"/>
  <c r="W118" i="1"/>
  <c r="N118" i="1"/>
  <c r="J118" i="1"/>
  <c r="E118" i="1"/>
  <c r="W117" i="1"/>
  <c r="N117" i="1"/>
  <c r="J117" i="1"/>
  <c r="E117" i="1"/>
  <c r="W116" i="1"/>
  <c r="N116" i="1"/>
  <c r="J116" i="1"/>
  <c r="E116" i="1"/>
  <c r="W115" i="1"/>
  <c r="N115" i="1"/>
  <c r="J115" i="1"/>
  <c r="E115" i="1"/>
  <c r="W114" i="1"/>
  <c r="N114" i="1"/>
  <c r="J114" i="1"/>
  <c r="E114" i="1"/>
  <c r="W113" i="1"/>
  <c r="N113" i="1"/>
  <c r="J113" i="1"/>
  <c r="E113" i="1"/>
  <c r="W112" i="1"/>
  <c r="N112" i="1"/>
  <c r="J112" i="1"/>
  <c r="E112" i="1"/>
  <c r="W111" i="1"/>
  <c r="N111" i="1"/>
  <c r="J111" i="1"/>
  <c r="E111" i="1"/>
  <c r="W110" i="1"/>
  <c r="N110" i="1"/>
  <c r="J110" i="1"/>
  <c r="E110" i="1"/>
  <c r="W109" i="1"/>
  <c r="N109" i="1"/>
  <c r="J109" i="1"/>
  <c r="E109" i="1"/>
  <c r="W108" i="1"/>
  <c r="N108" i="1"/>
  <c r="J108" i="1"/>
  <c r="E108" i="1"/>
  <c r="W107" i="1"/>
  <c r="N107" i="1"/>
  <c r="J107" i="1"/>
  <c r="E107" i="1"/>
  <c r="W106" i="1"/>
  <c r="N106" i="1"/>
  <c r="J106" i="1"/>
  <c r="E106" i="1"/>
  <c r="W105" i="1"/>
  <c r="N105" i="1"/>
  <c r="J105" i="1"/>
  <c r="E105" i="1"/>
  <c r="W104" i="1"/>
  <c r="N104" i="1"/>
  <c r="J104" i="1"/>
  <c r="E104" i="1"/>
  <c r="W103" i="1"/>
  <c r="N103" i="1"/>
  <c r="J103" i="1"/>
  <c r="E103" i="1"/>
  <c r="W102" i="1"/>
  <c r="N102" i="1"/>
  <c r="J102" i="1"/>
  <c r="E102" i="1"/>
  <c r="W101" i="1"/>
  <c r="N101" i="1"/>
  <c r="J101" i="1"/>
  <c r="E101" i="1"/>
  <c r="W100" i="1"/>
  <c r="N100" i="1"/>
  <c r="J100" i="1"/>
  <c r="E100" i="1"/>
  <c r="W99" i="1"/>
  <c r="N99" i="1"/>
  <c r="J99" i="1"/>
  <c r="E99" i="1"/>
  <c r="W98" i="1"/>
  <c r="N98" i="1"/>
  <c r="J98" i="1"/>
  <c r="E98" i="1"/>
  <c r="W97" i="1"/>
  <c r="N97" i="1"/>
  <c r="J97" i="1"/>
  <c r="E97" i="1"/>
  <c r="W96" i="1"/>
  <c r="N96" i="1"/>
  <c r="J96" i="1"/>
  <c r="E96" i="1"/>
  <c r="W95" i="1"/>
  <c r="N95" i="1"/>
  <c r="J95" i="1"/>
  <c r="E95" i="1"/>
  <c r="W94" i="1"/>
  <c r="N94" i="1"/>
  <c r="J94" i="1"/>
  <c r="E94" i="1"/>
  <c r="W93" i="1"/>
  <c r="N93" i="1"/>
  <c r="J93" i="1"/>
  <c r="E93" i="1"/>
  <c r="W92" i="1"/>
  <c r="N92" i="1"/>
  <c r="J92" i="1"/>
  <c r="E92" i="1"/>
  <c r="W91" i="1"/>
  <c r="N91" i="1"/>
  <c r="J91" i="1"/>
  <c r="E91" i="1"/>
  <c r="W90" i="1"/>
  <c r="N90" i="1"/>
  <c r="J90" i="1"/>
  <c r="E90" i="1"/>
  <c r="W89" i="1"/>
  <c r="N89" i="1"/>
  <c r="J89" i="1"/>
  <c r="E89" i="1"/>
  <c r="W88" i="1"/>
  <c r="N88" i="1"/>
  <c r="J88" i="1"/>
  <c r="E88" i="1"/>
  <c r="W87" i="1"/>
  <c r="N87" i="1"/>
  <c r="J87" i="1"/>
  <c r="E87" i="1"/>
  <c r="W86" i="1"/>
  <c r="N86" i="1"/>
  <c r="J86" i="1"/>
  <c r="E86" i="1"/>
  <c r="W85" i="1"/>
  <c r="N85" i="1"/>
  <c r="J85" i="1"/>
  <c r="E85" i="1"/>
  <c r="W84" i="1"/>
  <c r="N84" i="1"/>
  <c r="J84" i="1"/>
  <c r="E84" i="1"/>
  <c r="W83" i="1"/>
  <c r="N83" i="1"/>
  <c r="J83" i="1"/>
  <c r="E83" i="1"/>
  <c r="W82" i="1"/>
  <c r="N82" i="1"/>
  <c r="J82" i="1"/>
  <c r="E82" i="1"/>
  <c r="W81" i="1"/>
  <c r="N81" i="1"/>
  <c r="J81" i="1"/>
  <c r="E81" i="1"/>
  <c r="W80" i="1"/>
  <c r="N80" i="1"/>
  <c r="J80" i="1"/>
  <c r="E80" i="1"/>
  <c r="W79" i="1"/>
  <c r="N79" i="1"/>
  <c r="J79" i="1"/>
  <c r="E79" i="1"/>
  <c r="W78" i="1"/>
  <c r="N78" i="1"/>
  <c r="J78" i="1"/>
  <c r="E78" i="1"/>
  <c r="W77" i="1"/>
  <c r="N77" i="1"/>
  <c r="J77" i="1"/>
  <c r="E77" i="1"/>
  <c r="W76" i="1"/>
  <c r="N76" i="1"/>
  <c r="J76" i="1"/>
  <c r="E76" i="1"/>
  <c r="W75" i="1"/>
  <c r="N75" i="1"/>
  <c r="J75" i="1"/>
  <c r="E75" i="1"/>
  <c r="W74" i="1"/>
  <c r="N74" i="1"/>
  <c r="J74" i="1"/>
  <c r="E74" i="1"/>
  <c r="W73" i="1"/>
  <c r="N73" i="1"/>
  <c r="J73" i="1"/>
  <c r="E73" i="1"/>
  <c r="W72" i="1"/>
  <c r="N72" i="1"/>
  <c r="J72" i="1"/>
  <c r="E72" i="1"/>
  <c r="W71" i="1"/>
  <c r="N71" i="1"/>
  <c r="J71" i="1"/>
  <c r="E71" i="1"/>
  <c r="W70" i="1"/>
  <c r="N70" i="1"/>
  <c r="J70" i="1"/>
  <c r="E70" i="1"/>
  <c r="W69" i="1"/>
  <c r="N69" i="1"/>
  <c r="J69" i="1"/>
  <c r="E69" i="1"/>
  <c r="W68" i="1"/>
  <c r="N68" i="1"/>
  <c r="J68" i="1"/>
  <c r="E68" i="1"/>
  <c r="W67" i="1"/>
  <c r="N67" i="1"/>
  <c r="J67" i="1"/>
  <c r="E67" i="1"/>
  <c r="W66" i="1"/>
  <c r="N66" i="1"/>
  <c r="J66" i="1"/>
  <c r="E66" i="1"/>
  <c r="W65" i="1"/>
  <c r="N65" i="1"/>
  <c r="J65" i="1"/>
  <c r="E65" i="1"/>
  <c r="W64" i="1"/>
  <c r="N64" i="1"/>
  <c r="J64" i="1"/>
  <c r="E64" i="1"/>
  <c r="W63" i="1"/>
  <c r="N63" i="1"/>
  <c r="J63" i="1"/>
  <c r="E63" i="1"/>
  <c r="W62" i="1"/>
  <c r="N62" i="1"/>
  <c r="J62" i="1"/>
  <c r="E62" i="1"/>
  <c r="W61" i="1"/>
  <c r="N61" i="1"/>
  <c r="J61" i="1"/>
  <c r="E61" i="1"/>
  <c r="W60" i="1"/>
  <c r="N60" i="1"/>
  <c r="J60" i="1"/>
  <c r="E60" i="1"/>
  <c r="W59" i="1"/>
  <c r="N59" i="1"/>
  <c r="J59" i="1"/>
  <c r="E59" i="1"/>
  <c r="W58" i="1"/>
  <c r="N58" i="1"/>
  <c r="J58" i="1"/>
  <c r="E58" i="1"/>
  <c r="W57" i="1"/>
  <c r="N57" i="1"/>
  <c r="J57" i="1"/>
  <c r="E57" i="1"/>
  <c r="W56" i="1"/>
  <c r="N56" i="1"/>
  <c r="J56" i="1"/>
  <c r="E56" i="1"/>
  <c r="W55" i="1"/>
  <c r="N55" i="1"/>
  <c r="J55" i="1"/>
  <c r="E55" i="1"/>
  <c r="W54" i="1"/>
  <c r="N54" i="1"/>
  <c r="J54" i="1"/>
  <c r="E54" i="1"/>
  <c r="W53" i="1"/>
  <c r="N53" i="1"/>
  <c r="J53" i="1"/>
  <c r="E53" i="1"/>
  <c r="W52" i="1"/>
  <c r="N52" i="1"/>
  <c r="J52" i="1"/>
  <c r="E52" i="1"/>
  <c r="W51" i="1"/>
  <c r="N51" i="1"/>
  <c r="J51" i="1"/>
  <c r="E51" i="1"/>
  <c r="W50" i="1"/>
  <c r="N50" i="1"/>
  <c r="J50" i="1"/>
  <c r="E50" i="1"/>
  <c r="W49" i="1"/>
  <c r="N49" i="1"/>
  <c r="J49" i="1"/>
  <c r="E49" i="1"/>
  <c r="W48" i="1"/>
  <c r="N48" i="1"/>
  <c r="J48" i="1"/>
  <c r="E48" i="1"/>
  <c r="W47" i="1"/>
  <c r="N47" i="1"/>
  <c r="J47" i="1"/>
  <c r="E47" i="1"/>
  <c r="W46" i="1"/>
  <c r="N46" i="1"/>
  <c r="J46" i="1"/>
  <c r="E46" i="1"/>
  <c r="W45" i="1"/>
  <c r="N45" i="1"/>
  <c r="J45" i="1"/>
  <c r="E45" i="1"/>
  <c r="W44" i="1"/>
  <c r="N44" i="1"/>
  <c r="J44" i="1"/>
  <c r="E44" i="1"/>
  <c r="W43" i="1"/>
  <c r="N43" i="1"/>
  <c r="J43" i="1"/>
  <c r="E43" i="1"/>
  <c r="W42" i="1"/>
  <c r="N42" i="1"/>
  <c r="J42" i="1"/>
  <c r="E42" i="1"/>
  <c r="W41" i="1"/>
  <c r="N41" i="1"/>
  <c r="J41" i="1"/>
  <c r="E41" i="1"/>
  <c r="W40" i="1"/>
  <c r="N40" i="1"/>
  <c r="J40" i="1"/>
  <c r="E40" i="1"/>
  <c r="W39" i="1"/>
  <c r="N39" i="1"/>
  <c r="J39" i="1"/>
  <c r="E39" i="1"/>
  <c r="W38" i="1"/>
  <c r="N38" i="1"/>
  <c r="J38" i="1"/>
  <c r="E38" i="1"/>
  <c r="W37" i="1"/>
  <c r="N37" i="1"/>
  <c r="J37" i="1"/>
  <c r="E37" i="1"/>
  <c r="W36" i="1"/>
  <c r="N36" i="1"/>
  <c r="J36" i="1"/>
  <c r="E36" i="1"/>
  <c r="W35" i="1"/>
  <c r="N35" i="1"/>
  <c r="J35" i="1"/>
  <c r="E35" i="1"/>
  <c r="W34" i="1"/>
  <c r="N34" i="1"/>
  <c r="J34" i="1"/>
  <c r="E34" i="1"/>
  <c r="W33" i="1"/>
  <c r="N33" i="1"/>
  <c r="J33" i="1"/>
  <c r="E33" i="1"/>
  <c r="W32" i="1"/>
  <c r="N32" i="1"/>
  <c r="J32" i="1"/>
  <c r="E32" i="1"/>
  <c r="W31" i="1"/>
  <c r="N31" i="1"/>
  <c r="J31" i="1"/>
  <c r="E31" i="1"/>
  <c r="W30" i="1"/>
  <c r="N30" i="1"/>
  <c r="J30" i="1"/>
  <c r="E30" i="1"/>
  <c r="W29" i="1"/>
  <c r="N29" i="1"/>
  <c r="J29" i="1"/>
  <c r="E29" i="1"/>
  <c r="W28" i="1"/>
  <c r="N28" i="1"/>
  <c r="J28" i="1"/>
  <c r="E28" i="1"/>
  <c r="W27" i="1"/>
  <c r="N27" i="1"/>
  <c r="J27" i="1"/>
  <c r="E27" i="1"/>
  <c r="W26" i="1"/>
  <c r="N26" i="1"/>
  <c r="J26" i="1"/>
  <c r="E26" i="1"/>
  <c r="W25" i="1"/>
  <c r="N25" i="1"/>
  <c r="J25" i="1"/>
  <c r="E25" i="1"/>
  <c r="W24" i="1"/>
  <c r="N24" i="1"/>
  <c r="J24" i="1"/>
  <c r="E24" i="1"/>
  <c r="W23" i="1"/>
  <c r="N23" i="1"/>
  <c r="J23" i="1"/>
  <c r="E23" i="1"/>
  <c r="W22" i="1"/>
  <c r="N22" i="1"/>
  <c r="J22" i="1"/>
  <c r="E22" i="1"/>
  <c r="W21" i="1"/>
  <c r="N21" i="1"/>
  <c r="J21" i="1"/>
  <c r="E21" i="1"/>
  <c r="W20" i="1"/>
  <c r="N20" i="1"/>
  <c r="J20" i="1"/>
  <c r="E20" i="1"/>
  <c r="W19" i="1"/>
  <c r="N19" i="1"/>
  <c r="J19" i="1"/>
  <c r="E19" i="1"/>
  <c r="W18" i="1"/>
  <c r="N18" i="1"/>
  <c r="J18" i="1"/>
  <c r="E18" i="1"/>
  <c r="W17" i="1"/>
  <c r="N17" i="1"/>
  <c r="J17" i="1"/>
  <c r="E17" i="1"/>
  <c r="W16" i="1"/>
  <c r="N16" i="1"/>
  <c r="J16" i="1"/>
  <c r="E16" i="1"/>
  <c r="W15" i="1"/>
  <c r="N15" i="1"/>
  <c r="J15" i="1"/>
  <c r="E15" i="1"/>
  <c r="W14" i="1"/>
  <c r="N14" i="1"/>
  <c r="J14" i="1"/>
  <c r="E14" i="1"/>
  <c r="W13" i="1"/>
  <c r="N13" i="1"/>
  <c r="J13" i="1"/>
  <c r="E13" i="1"/>
  <c r="W12" i="1"/>
  <c r="N12" i="1"/>
  <c r="J12" i="1"/>
  <c r="E12" i="1"/>
  <c r="W11" i="1"/>
  <c r="N11" i="1"/>
  <c r="J11" i="1"/>
  <c r="E11" i="1"/>
  <c r="W10" i="1"/>
  <c r="N10" i="1"/>
  <c r="J10" i="1"/>
  <c r="E10" i="1"/>
  <c r="W9" i="1"/>
  <c r="N9" i="1"/>
  <c r="J9" i="1"/>
  <c r="E9" i="1"/>
  <c r="W8" i="1"/>
  <c r="N8" i="1"/>
  <c r="J8" i="1"/>
  <c r="E8" i="1"/>
  <c r="W7" i="1"/>
  <c r="N7" i="1"/>
  <c r="J7" i="1"/>
  <c r="E7" i="1"/>
  <c r="W6" i="1"/>
  <c r="N6" i="1"/>
  <c r="J6" i="1"/>
  <c r="E6" i="1"/>
  <c r="W5" i="1"/>
  <c r="N5" i="1"/>
  <c r="J5" i="1"/>
  <c r="E5" i="1"/>
  <c r="W4" i="1"/>
  <c r="N4" i="1"/>
  <c r="J4" i="1"/>
  <c r="E4" i="1"/>
  <c r="W3" i="1"/>
  <c r="N3" i="1"/>
  <c r="J3" i="1"/>
  <c r="E3" i="1"/>
  <c r="W2" i="1"/>
  <c r="N2" i="1"/>
  <c r="J2" i="1"/>
  <c r="E2" i="1"/>
</calcChain>
</file>

<file path=xl/sharedStrings.xml><?xml version="1.0" encoding="utf-8"?>
<sst xmlns="http://schemas.openxmlformats.org/spreadsheetml/2006/main" count="22950" uniqueCount="3270">
  <si>
    <t>Facility</t>
  </si>
  <si>
    <t>Company</t>
  </si>
  <si>
    <t>LPN Nbr</t>
  </si>
  <si>
    <t>Status</t>
  </si>
  <si>
    <t>Item Code</t>
  </si>
  <si>
    <t>Item Description</t>
  </si>
  <si>
    <t>Current Qty</t>
  </si>
  <si>
    <t>Allocated Qty</t>
  </si>
  <si>
    <t>Location</t>
  </si>
  <si>
    <t>batch_nbr</t>
  </si>
  <si>
    <t>Expiry Date</t>
  </si>
  <si>
    <t>Attribute A</t>
  </si>
  <si>
    <t>Manufacture Date</t>
  </si>
  <si>
    <t>Received Shipment</t>
  </si>
  <si>
    <t>Received Qty</t>
  </si>
  <si>
    <t>Create Timestamp</t>
  </si>
  <si>
    <t>Mod Timestamp</t>
  </si>
  <si>
    <t>Received Timestamp</t>
  </si>
  <si>
    <t>Nbr Locks</t>
  </si>
  <si>
    <t>Receiving User</t>
  </si>
  <si>
    <t>Create User</t>
  </si>
  <si>
    <t>Previous Location</t>
  </si>
  <si>
    <t>Alternate Item Codes</t>
  </si>
  <si>
    <t>Item Catalog</t>
  </si>
  <si>
    <t>Putaway Type</t>
  </si>
  <si>
    <t>Attribute B</t>
  </si>
  <si>
    <t>Attribute C</t>
  </si>
  <si>
    <t>Attribute D</t>
  </si>
  <si>
    <t>Attribute E</t>
  </si>
  <si>
    <t>First Putaway TS</t>
  </si>
  <si>
    <t>3PLJED2</t>
  </si>
  <si>
    <t>ARAMCO</t>
  </si>
  <si>
    <t>ARC00011099</t>
  </si>
  <si>
    <t>Located</t>
  </si>
  <si>
    <t>VAL ALL CLIMATE 20W50 24/1 L KSA</t>
  </si>
  <si>
    <t>A7-AD-17-C-01</t>
  </si>
  <si>
    <t>mhassan</t>
  </si>
  <si>
    <t>BOX</t>
  </si>
  <si>
    <t>ARC00011098</t>
  </si>
  <si>
    <t>ALL CLIMATE 10W30 SP DR 208 L KSA</t>
  </si>
  <si>
    <t>A7-AD-22-C-01</t>
  </si>
  <si>
    <t>PCS</t>
  </si>
  <si>
    <t>ARC00011102</t>
  </si>
  <si>
    <t>A7-AD-21-C-01</t>
  </si>
  <si>
    <t>ARC00011097</t>
  </si>
  <si>
    <t>A7-AD-21-C-03</t>
  </si>
  <si>
    <t>ARC00011096</t>
  </si>
  <si>
    <t>A7-AD-25-C-01</t>
  </si>
  <si>
    <t>ARC00011095</t>
  </si>
  <si>
    <t>A7-AD-25-C-03</t>
  </si>
  <si>
    <t>ARC00011103</t>
  </si>
  <si>
    <t>A7-AD-27-C-03</t>
  </si>
  <si>
    <t>ARC00011086</t>
  </si>
  <si>
    <t>A7-AD-26-C-03</t>
  </si>
  <si>
    <t>ARC00011094</t>
  </si>
  <si>
    <t>A7-AD-26-C-01</t>
  </si>
  <si>
    <t>ARC00011093</t>
  </si>
  <si>
    <t>A7-AD-28-C-03</t>
  </si>
  <si>
    <t>ARC00011087</t>
  </si>
  <si>
    <t>A7-AD-29-C-01</t>
  </si>
  <si>
    <t>ARC00011088</t>
  </si>
  <si>
    <t>A7-AD-29-C-03</t>
  </si>
  <si>
    <t>ARC00011089</t>
  </si>
  <si>
    <t>A7-AD-31-C-01</t>
  </si>
  <si>
    <t>ARC00011056</t>
  </si>
  <si>
    <t>VAL ALL FLEET EXTRA 15W40 DR 208 L KSA</t>
  </si>
  <si>
    <t>A7-AD-30-C-03</t>
  </si>
  <si>
    <t>zeeahmed</t>
  </si>
  <si>
    <t>ARC00011058</t>
  </si>
  <si>
    <t>A7-AD-30-C-01</t>
  </si>
  <si>
    <t>ARC00011060</t>
  </si>
  <si>
    <t>A7-AD-32-C-01</t>
  </si>
  <si>
    <t>ARC00011062</t>
  </si>
  <si>
    <t>A7-AD-34-C-03</t>
  </si>
  <si>
    <t>ARC00011055</t>
  </si>
  <si>
    <t>A7-AD-36-C-01</t>
  </si>
  <si>
    <t>ARC00011057</t>
  </si>
  <si>
    <t>A7-AC-18-C-03</t>
  </si>
  <si>
    <t>ARC00011054</t>
  </si>
  <si>
    <t>A7-AC-18-C-01</t>
  </si>
  <si>
    <t>ARC00011059</t>
  </si>
  <si>
    <t>A7-AC-20-C-01</t>
  </si>
  <si>
    <t>ARC00011061</t>
  </si>
  <si>
    <t>A7-AC-20-C-03</t>
  </si>
  <si>
    <t>ARC00011083</t>
  </si>
  <si>
    <t>A7-AC-22-C-03</t>
  </si>
  <si>
    <t>ARC00011076</t>
  </si>
  <si>
    <t>A7-AC-25-C-01</t>
  </si>
  <si>
    <t>A7-AC-22-C-01</t>
  </si>
  <si>
    <t>ARC00011082</t>
  </si>
  <si>
    <t>A7-AC-25-C-03</t>
  </si>
  <si>
    <t>ARC00011075</t>
  </si>
  <si>
    <t>A7-AC-27-C-03</t>
  </si>
  <si>
    <t>ARC00011081</t>
  </si>
  <si>
    <t>A7-AC-29-C-01</t>
  </si>
  <si>
    <t>ARC00011064</t>
  </si>
  <si>
    <t>A7-AC-29-C-03</t>
  </si>
  <si>
    <t>ARC00011066</t>
  </si>
  <si>
    <t>A7-AC-31-C-01</t>
  </si>
  <si>
    <t>ARC00011063</t>
  </si>
  <si>
    <t>A7-AC-31-C-03</t>
  </si>
  <si>
    <t>ARC00011074</t>
  </si>
  <si>
    <t>A7-AC-35-C-01</t>
  </si>
  <si>
    <t>ARC00011073</t>
  </si>
  <si>
    <t>A7-AC-35-C-03</t>
  </si>
  <si>
    <t>ARC00011068</t>
  </si>
  <si>
    <t>A7-AC-37-C-01</t>
  </si>
  <si>
    <t>ARC00011067</t>
  </si>
  <si>
    <t>A7-AC-37-C-03</t>
  </si>
  <si>
    <t>ARC00011070</t>
  </si>
  <si>
    <t>A7-AE-25-C-01</t>
  </si>
  <si>
    <t>ARC00011080</t>
  </si>
  <si>
    <t>A7-AE-25-C-03</t>
  </si>
  <si>
    <t>ARC00011079</t>
  </si>
  <si>
    <t>A7-AE-27-C-03</t>
  </si>
  <si>
    <t>ARC00011072</t>
  </si>
  <si>
    <t>A7-AD-33-C-01</t>
  </si>
  <si>
    <t>A7-AE-29-C-01</t>
  </si>
  <si>
    <t>ARC00011078</t>
  </si>
  <si>
    <t>A7-AD-33-C-03</t>
  </si>
  <si>
    <t>ARC00011069</t>
  </si>
  <si>
    <t>A7-AD-35-C-01</t>
  </si>
  <si>
    <t>ARC00011071</t>
  </si>
  <si>
    <t>A7-AD-35-C-03</t>
  </si>
  <si>
    <t>ARC00011077</t>
  </si>
  <si>
    <t>A7-AD-37-C-01</t>
  </si>
  <si>
    <t>ARC00011040</t>
  </si>
  <si>
    <t>VAL EPG 220 DR 208 L KSA</t>
  </si>
  <si>
    <t>A7-AB-01-C-01</t>
  </si>
  <si>
    <t>ARC00011042</t>
  </si>
  <si>
    <t>A7-AB-08-A-03</t>
  </si>
  <si>
    <t>ARC00011043</t>
  </si>
  <si>
    <t>A7-AB-08-A-01</t>
  </si>
  <si>
    <t>ARC00011044</t>
  </si>
  <si>
    <t>A7-AB-14-A-03</t>
  </si>
  <si>
    <t>ARC00011045</t>
  </si>
  <si>
    <t>A7-AB-16-A-03</t>
  </si>
  <si>
    <t>ARC00011053</t>
  </si>
  <si>
    <t>A7-AB-16-A-01</t>
  </si>
  <si>
    <t>ARC00011051</t>
  </si>
  <si>
    <t>A7-AB-18-A-01</t>
  </si>
  <si>
    <t>ARC00011049</t>
  </si>
  <si>
    <t>A7-AB-20-A-03</t>
  </si>
  <si>
    <t>ARC00011046</t>
  </si>
  <si>
    <t>A7-AB-20-A-01</t>
  </si>
  <si>
    <t>ARC00011052</t>
  </si>
  <si>
    <t>A7-AB-16-C-03</t>
  </si>
  <si>
    <t>ARC00011050</t>
  </si>
  <si>
    <t>A7-AB-13-C-01</t>
  </si>
  <si>
    <t>ARC00011048</t>
  </si>
  <si>
    <t>A7-AB-13-C-03</t>
  </si>
  <si>
    <t>ARC00011047</t>
  </si>
  <si>
    <t>A7-AB-14-C-03</t>
  </si>
  <si>
    <t>ARC00011038</t>
  </si>
  <si>
    <t>A7-AB-15-C-01</t>
  </si>
  <si>
    <t>ARC00011037</t>
  </si>
  <si>
    <t>A7-AB-15-C-03</t>
  </si>
  <si>
    <t>ARC00011036</t>
  </si>
  <si>
    <t>A7-AB-17-C-01</t>
  </si>
  <si>
    <t>ARC00011035</t>
  </si>
  <si>
    <t>A7-AB-17-C-03</t>
  </si>
  <si>
    <t>ARC00011034</t>
  </si>
  <si>
    <t>A7-AB-19-C-01</t>
  </si>
  <si>
    <t>ARC00011033</t>
  </si>
  <si>
    <t>A7-AB-19-C-03</t>
  </si>
  <si>
    <t>A7-AB-19-D-01</t>
  </si>
  <si>
    <t>ARC00011016</t>
  </si>
  <si>
    <t>VAL LITHIUM GREASE MP2 180 KG</t>
  </si>
  <si>
    <t>A7-AB-35-C-03</t>
  </si>
  <si>
    <t>ARC00011017</t>
  </si>
  <si>
    <t>A7-AB-35-C-01</t>
  </si>
  <si>
    <t>ARC00011018</t>
  </si>
  <si>
    <t>A7-AB-33-C-03</t>
  </si>
  <si>
    <t>ARC00011021</t>
  </si>
  <si>
    <t>VAL LITHIUM GREASE EP2 180 KG</t>
  </si>
  <si>
    <t>A7-AB-33-C-01</t>
  </si>
  <si>
    <t>ARC00011020</t>
  </si>
  <si>
    <t>A7-AB-37-A-03</t>
  </si>
  <si>
    <t>ARC00011027</t>
  </si>
  <si>
    <t>A7-AB-42-C-01</t>
  </si>
  <si>
    <t>ARC00011025</t>
  </si>
  <si>
    <t>A7-AB-21-C-03</t>
  </si>
  <si>
    <t>ARC00011032</t>
  </si>
  <si>
    <t>A7-AB-21-C-01</t>
  </si>
  <si>
    <t>ARC00011026</t>
  </si>
  <si>
    <t>A7-AC-28-B-01</t>
  </si>
  <si>
    <t>ARC00011015</t>
  </si>
  <si>
    <t>A7-AD-04-B-01</t>
  </si>
  <si>
    <t>ARC00011014</t>
  </si>
  <si>
    <t>A7-AF-06-C-03</t>
  </si>
  <si>
    <t>ARC00011012</t>
  </si>
  <si>
    <t>A7-AD-01-B-01</t>
  </si>
  <si>
    <t>buahmed</t>
  </si>
  <si>
    <t>ARC00011011</t>
  </si>
  <si>
    <t>A7-AC-01-A-01</t>
  </si>
  <si>
    <t>ARC00011010</t>
  </si>
  <si>
    <t>ARC00011009</t>
  </si>
  <si>
    <t>A7-AE-04-B-01</t>
  </si>
  <si>
    <t>ARC00011008</t>
  </si>
  <si>
    <t>A7-AE-04-B-03</t>
  </si>
  <si>
    <t>ARC00011007</t>
  </si>
  <si>
    <t>A7-AE-05-B-01</t>
  </si>
  <si>
    <t>ARC00011006</t>
  </si>
  <si>
    <t>A7-AF-10-C-01</t>
  </si>
  <si>
    <t>ARC00011005</t>
  </si>
  <si>
    <t>A7-AC-21-C-03</t>
  </si>
  <si>
    <t>ARC00011004</t>
  </si>
  <si>
    <t>A7-AE-08-B-03</t>
  </si>
  <si>
    <t>ARC00011003</t>
  </si>
  <si>
    <t>A7-AD-28-C-01</t>
  </si>
  <si>
    <t>ARC00011002</t>
  </si>
  <si>
    <t>A7-AE-10-B-03</t>
  </si>
  <si>
    <t>ARC00011001</t>
  </si>
  <si>
    <t>A7-AE-12-B-01</t>
  </si>
  <si>
    <t>ARC00011000</t>
  </si>
  <si>
    <t>A7-AE-12-B-03</t>
  </si>
  <si>
    <t>ARC00010999</t>
  </si>
  <si>
    <t>A7-AE-14-A-01</t>
  </si>
  <si>
    <t>ARC00010998</t>
  </si>
  <si>
    <t>A7-AE-14-C-01</t>
  </si>
  <si>
    <t>ARC00010997</t>
  </si>
  <si>
    <t>A7-AE-25-A-01</t>
  </si>
  <si>
    <t>ARC00010996</t>
  </si>
  <si>
    <t>A7-AE-26-A-03</t>
  </si>
  <si>
    <t>ARC00010995</t>
  </si>
  <si>
    <t>A7-AE-28-C-01</t>
  </si>
  <si>
    <t>ARC00010994</t>
  </si>
  <si>
    <t>A7-AE-27-A-01</t>
  </si>
  <si>
    <t>ARC00010993</t>
  </si>
  <si>
    <t>A7-AE-30-A-01</t>
  </si>
  <si>
    <t>ARC00011013</t>
  </si>
  <si>
    <t>A7-AD-10-B-03</t>
  </si>
  <si>
    <t>ARC00010983</t>
  </si>
  <si>
    <t>A7-AC-05-D-03</t>
  </si>
  <si>
    <t>ARC00010980</t>
  </si>
  <si>
    <t>A7-AC-09-D-01</t>
  </si>
  <si>
    <t>ARC00010965</t>
  </si>
  <si>
    <t>A7-AC-09-D-03</t>
  </si>
  <si>
    <t>ARC00010968</t>
  </si>
  <si>
    <t>A7-AC-11-D-03</t>
  </si>
  <si>
    <t>ARC00010971</t>
  </si>
  <si>
    <t>A7-AC-13-D-01</t>
  </si>
  <si>
    <t>ARC00010973</t>
  </si>
  <si>
    <t>A7-AC-13-D-03</t>
  </si>
  <si>
    <t>ARC00010977</t>
  </si>
  <si>
    <t>A7-AC-15-D-03</t>
  </si>
  <si>
    <t>ARC00010978</t>
  </si>
  <si>
    <t>A7-AC-17-D-01</t>
  </si>
  <si>
    <t>ARC00010967</t>
  </si>
  <si>
    <t>A7-AB-03-D-01</t>
  </si>
  <si>
    <t>ARC00010970</t>
  </si>
  <si>
    <t>A7-AB-05-D-01</t>
  </si>
  <si>
    <t>ARC00010974</t>
  </si>
  <si>
    <t>A7-AB-07-D-03</t>
  </si>
  <si>
    <t>ARC00013052</t>
  </si>
  <si>
    <t>A7-AD-26-A-03</t>
  </si>
  <si>
    <t>ARC00013051</t>
  </si>
  <si>
    <t>A7-AD-31-B-01</t>
  </si>
  <si>
    <t>ARC00013053</t>
  </si>
  <si>
    <t>A7-AD-33-B-03</t>
  </si>
  <si>
    <t>ARC00013054</t>
  </si>
  <si>
    <t>A7-AD-35-B-01</t>
  </si>
  <si>
    <t>ARC00013055</t>
  </si>
  <si>
    <t>A7-AA-16-B-03</t>
  </si>
  <si>
    <t>ARC00013056</t>
  </si>
  <si>
    <t>A7-AA-16-A-01</t>
  </si>
  <si>
    <t>ARC00013057</t>
  </si>
  <si>
    <t>A7-AC-26-C-01</t>
  </si>
  <si>
    <t>ARC00013058</t>
  </si>
  <si>
    <t>A7-AD-27-C-01</t>
  </si>
  <si>
    <t>ARC00013059</t>
  </si>
  <si>
    <t>A7-AD-37-C-03</t>
  </si>
  <si>
    <t>ARC00013066</t>
  </si>
  <si>
    <t>A7-AD-36-C-03</t>
  </si>
  <si>
    <t>ARC00013065</t>
  </si>
  <si>
    <t>A7-AD-38-C-01</t>
  </si>
  <si>
    <t>ARC00013064</t>
  </si>
  <si>
    <t>A7-AA-12-C-03</t>
  </si>
  <si>
    <t>ARC00013022</t>
  </si>
  <si>
    <t>A7-AA-12-C-01</t>
  </si>
  <si>
    <t>ARC00013035</t>
  </si>
  <si>
    <t>A7-AA-14-C-01</t>
  </si>
  <si>
    <t>ARC00013023</t>
  </si>
  <si>
    <t>A7-AA-14-C-03</t>
  </si>
  <si>
    <t>ARC00013034</t>
  </si>
  <si>
    <t>A7-AA-16-C-01</t>
  </si>
  <si>
    <t>ARC00013024</t>
  </si>
  <si>
    <t>A7-AA-16-C-03</t>
  </si>
  <si>
    <t>ARC00013033</t>
  </si>
  <si>
    <t>A7-AA-18-C-03</t>
  </si>
  <si>
    <t>ARC00013032</t>
  </si>
  <si>
    <t>A7-AA-18-C-01</t>
  </si>
  <si>
    <t>ARC00013025</t>
  </si>
  <si>
    <t>A7-AA-20-C-03</t>
  </si>
  <si>
    <t>ARC00013026</t>
  </si>
  <si>
    <t>A7-AA-20-C-01</t>
  </si>
  <si>
    <t>ARC00013031</t>
  </si>
  <si>
    <t>A7-AA-22-C-01</t>
  </si>
  <si>
    <t>ARC00013027</t>
  </si>
  <si>
    <t>A7-AA-22-C-03</t>
  </si>
  <si>
    <t>ARC00013028</t>
  </si>
  <si>
    <t>A7-AB-18-C-01</t>
  </si>
  <si>
    <t>ARC00013030</t>
  </si>
  <si>
    <t>A7-AB-18-C-03</t>
  </si>
  <si>
    <t>ARC00013067</t>
  </si>
  <si>
    <t>A7-AC-26-C-03</t>
  </si>
  <si>
    <t>ARC00013050</t>
  </si>
  <si>
    <t>A7-AC-28-C-01</t>
  </si>
  <si>
    <t>ARC00013029</t>
  </si>
  <si>
    <t>A7-AB-20-C-01</t>
  </si>
  <si>
    <t>ARC00013049</t>
  </si>
  <si>
    <t>A7-AC-28-C-03</t>
  </si>
  <si>
    <t>ARC00013021</t>
  </si>
  <si>
    <t>A7-AB-20-C-03</t>
  </si>
  <si>
    <t>ARC00013036</t>
  </si>
  <si>
    <t>A7-AC-30-C-01</t>
  </si>
  <si>
    <t>ARC00013080</t>
  </si>
  <si>
    <t>A7-AC-30-C-03</t>
  </si>
  <si>
    <t>ARC00013037</t>
  </si>
  <si>
    <t>A7-AC-32-C-01</t>
  </si>
  <si>
    <t>ARC00013038</t>
  </si>
  <si>
    <t>A7-AC-32-C-03</t>
  </si>
  <si>
    <t>ARC00013039</t>
  </si>
  <si>
    <t>A7-AC-34-C-01</t>
  </si>
  <si>
    <t>ARC00013069</t>
  </si>
  <si>
    <t>A7-AD-39-C-03</t>
  </si>
  <si>
    <t>ARC00013040</t>
  </si>
  <si>
    <t>A7-AC-34-C-03</t>
  </si>
  <si>
    <t>ARC00013041</t>
  </si>
  <si>
    <t>A7-AC-36-C-01</t>
  </si>
  <si>
    <t>ARC00013070</t>
  </si>
  <si>
    <t>A7-AD-38-C-03</t>
  </si>
  <si>
    <t>ARC00013044</t>
  </si>
  <si>
    <t>A7-AC-36-C-03</t>
  </si>
  <si>
    <t>ARC00013048</t>
  </si>
  <si>
    <t>A7-AC-38-C-01</t>
  </si>
  <si>
    <t>ARC00013047</t>
  </si>
  <si>
    <t>A7-AC-38-C-03</t>
  </si>
  <si>
    <t>A7-AC-38-D-01</t>
  </si>
  <si>
    <t>ARC00013078</t>
  </si>
  <si>
    <t>A7-AD-41-C-01</t>
  </si>
  <si>
    <t>ARC00013046</t>
  </si>
  <si>
    <t>A7-AC-39-C-01</t>
  </si>
  <si>
    <t>ARC00013077</t>
  </si>
  <si>
    <t>A7-AD-41-C-03</t>
  </si>
  <si>
    <t>ARC00013045</t>
  </si>
  <si>
    <t>A7-AC-40-C-01</t>
  </si>
  <si>
    <t>ARC00013076</t>
  </si>
  <si>
    <t>A7-AC-39-C-03</t>
  </si>
  <si>
    <t>ARC00013063</t>
  </si>
  <si>
    <t>A7-AD-43-C-01</t>
  </si>
  <si>
    <t>ARC00013075</t>
  </si>
  <si>
    <t>A7-AC-40-C-03</t>
  </si>
  <si>
    <t>ARC00013071</t>
  </si>
  <si>
    <t>A7-AD-43-C-03</t>
  </si>
  <si>
    <t>ARC00013074</t>
  </si>
  <si>
    <t>A7-AC-42-C-01</t>
  </si>
  <si>
    <t>ARC00013062</t>
  </si>
  <si>
    <t>A7-AD-45-C-01</t>
  </si>
  <si>
    <t>ARC00013072</t>
  </si>
  <si>
    <t>A7-AC-42-C-03</t>
  </si>
  <si>
    <t>ARC00013073</t>
  </si>
  <si>
    <t>A7-AC-41-C-01</t>
  </si>
  <si>
    <t>ARC00013061</t>
  </si>
  <si>
    <t>A7-AE-31-A-03</t>
  </si>
  <si>
    <t>ARC00013060</t>
  </si>
  <si>
    <t>A7-AC-41-C-03</t>
  </si>
  <si>
    <t>ARC00013043</t>
  </si>
  <si>
    <t>A7-AE-28-A-01</t>
  </si>
  <si>
    <t>ARC00013020</t>
  </si>
  <si>
    <t>A7-AE-34-A-01</t>
  </si>
  <si>
    <t>ARC00013042</t>
  </si>
  <si>
    <t>A7-AB-22-C-01</t>
  </si>
  <si>
    <t>ARC00013019</t>
  </si>
  <si>
    <t>A7-AD-40-C-01</t>
  </si>
  <si>
    <t>ARC00012881</t>
  </si>
  <si>
    <t>ALL CLIMATE 10W30 SP 24/1L KSA</t>
  </si>
  <si>
    <t>A7-AF-08-D-01</t>
  </si>
  <si>
    <t>Case</t>
  </si>
  <si>
    <t>ARC00012882</t>
  </si>
  <si>
    <t>A7-AF-10-D-03</t>
  </si>
  <si>
    <t>ARC00012883</t>
  </si>
  <si>
    <t>A7-AF-05-D-03</t>
  </si>
  <si>
    <t>ARC00012884</t>
  </si>
  <si>
    <t>A7-AF-09-D-03</t>
  </si>
  <si>
    <t>ARC00012885</t>
  </si>
  <si>
    <t>A7-AF-13-D-01</t>
  </si>
  <si>
    <t>ARC00012886</t>
  </si>
  <si>
    <t>A7-AF-13-D-03</t>
  </si>
  <si>
    <t>ARC00012887</t>
  </si>
  <si>
    <t>A7-AF-09-C-03</t>
  </si>
  <si>
    <t>ARC00012888</t>
  </si>
  <si>
    <t>A7-AF-14-D-01</t>
  </si>
  <si>
    <t>ARC00012896</t>
  </si>
  <si>
    <t>A7-AF-14-D-03</t>
  </si>
  <si>
    <t>ARC00012895</t>
  </si>
  <si>
    <t>A7-AF-16-D-01</t>
  </si>
  <si>
    <t>ARC00012894</t>
  </si>
  <si>
    <t>A7-AF-16-D-03</t>
  </si>
  <si>
    <t>ARC00012893</t>
  </si>
  <si>
    <t>A7-AF-17-D-01</t>
  </si>
  <si>
    <t>ARC00012892</t>
  </si>
  <si>
    <t>A7-AF-12-C-03</t>
  </si>
  <si>
    <t>ARC00012891</t>
  </si>
  <si>
    <t>A7-AF-19-D-01</t>
  </si>
  <si>
    <t>ARC00012890</t>
  </si>
  <si>
    <t>A7-AF-21-D-03</t>
  </si>
  <si>
    <t>ARC00012889</t>
  </si>
  <si>
    <t>A7-AF-22-D-01</t>
  </si>
  <si>
    <t>ARC00012897</t>
  </si>
  <si>
    <t>A7-AF-22-D-03</t>
  </si>
  <si>
    <t>ARC00012898</t>
  </si>
  <si>
    <t>A7-AF-22-C-03</t>
  </si>
  <si>
    <t>ARC00012900</t>
  </si>
  <si>
    <t>A7-AF-25-C-01</t>
  </si>
  <si>
    <t>ARC00012901</t>
  </si>
  <si>
    <t>A7-AF-25-C-03</t>
  </si>
  <si>
    <t>ARC00012902</t>
  </si>
  <si>
    <t>A7-AE-10-D-01</t>
  </si>
  <si>
    <t>ARC00012903</t>
  </si>
  <si>
    <t>A7-AE-10-D-03</t>
  </si>
  <si>
    <t>ARC00013068</t>
  </si>
  <si>
    <t>A7-AC-43-C-01</t>
  </si>
  <si>
    <t>ARC00012927</t>
  </si>
  <si>
    <t>VAL ALL FLEET HD 15W40 DR 208 L KSA</t>
  </si>
  <si>
    <t>A7-AA-26-C-03</t>
  </si>
  <si>
    <t>ARC00012934</t>
  </si>
  <si>
    <t>A7-AA-26-C-01</t>
  </si>
  <si>
    <t>ARC00012937</t>
  </si>
  <si>
    <t>VAL ULTRAMAX PRO HLP 68 DR 208 L KSA</t>
  </si>
  <si>
    <t>A7-AA-28-C-03</t>
  </si>
  <si>
    <t>ARC00012936</t>
  </si>
  <si>
    <t>A7-AA-30-C-01</t>
  </si>
  <si>
    <t>ARC00012938</t>
  </si>
  <si>
    <t>A7-AA-30-A-03</t>
  </si>
  <si>
    <t>ARC00012939</t>
  </si>
  <si>
    <t>A7-AD-42-C-01</t>
  </si>
  <si>
    <t>ARC00012940</t>
  </si>
  <si>
    <t>A7-AD-42-C-03</t>
  </si>
  <si>
    <t>ARC00012943</t>
  </si>
  <si>
    <t>A7-AD-44-C-01</t>
  </si>
  <si>
    <t>ARC00012942</t>
  </si>
  <si>
    <t>A7-AD-44-C-03</t>
  </si>
  <si>
    <t>ARC00012941</t>
  </si>
  <si>
    <t>A7-AD-46-C-01</t>
  </si>
  <si>
    <t>ARC00012944</t>
  </si>
  <si>
    <t>A7-AD-46-C-03</t>
  </si>
  <si>
    <t>ARC00012950</t>
  </si>
  <si>
    <t>A7-AE-29-D-03</t>
  </si>
  <si>
    <t>ARC00012948</t>
  </si>
  <si>
    <t>A7-AE-17-C-01</t>
  </si>
  <si>
    <t>ARC00012949</t>
  </si>
  <si>
    <t>A7-AE-20-C-01</t>
  </si>
  <si>
    <t>ARC00012945</t>
  </si>
  <si>
    <t>A7-AE-16-C-01</t>
  </si>
  <si>
    <t>ARC00012951</t>
  </si>
  <si>
    <t>A7-AE-18-C-03</t>
  </si>
  <si>
    <t>ARC00012947</t>
  </si>
  <si>
    <t>A7-AE-28-C-03</t>
  </si>
  <si>
    <t>A7-AE-12-C-03</t>
  </si>
  <si>
    <t>ARC00010990</t>
  </si>
  <si>
    <t>A7-AE-35-A-03</t>
  </si>
  <si>
    <t>ARC00010991</t>
  </si>
  <si>
    <t>A7-AE-31-C-01</t>
  </si>
  <si>
    <t>A7-AE-34-C-03</t>
  </si>
  <si>
    <t>ARC00010992</t>
  </si>
  <si>
    <t>A7-AE-31-C-03</t>
  </si>
  <si>
    <t>A7-AE-34-C-01</t>
  </si>
  <si>
    <t>ARC00012922</t>
  </si>
  <si>
    <t>A7-AB-37-C-03</t>
  </si>
  <si>
    <t>ARC00012921</t>
  </si>
  <si>
    <t>A7-AB-39-C-01</t>
  </si>
  <si>
    <t>ARC00012923</t>
  </si>
  <si>
    <t>A7-AB-39-C-03</t>
  </si>
  <si>
    <t>ARC00012924</t>
  </si>
  <si>
    <t>A7-AB-41-C-01</t>
  </si>
  <si>
    <t>ARC00012920</t>
  </si>
  <si>
    <t>A7-AB-41-C-03</t>
  </si>
  <si>
    <t>ARC00012917</t>
  </si>
  <si>
    <t>A7-AB-43-C-01</t>
  </si>
  <si>
    <t>ARC00012906</t>
  </si>
  <si>
    <t>A7-AB-26-C-01</t>
  </si>
  <si>
    <t>ARC00012907</t>
  </si>
  <si>
    <t>A7-AB-26-C-03</t>
  </si>
  <si>
    <t>ARC00012908</t>
  </si>
  <si>
    <t>A7-AB-28-C-01</t>
  </si>
  <si>
    <t>ARC00012926</t>
  </si>
  <si>
    <t>A7-AB-28-C-03</t>
  </si>
  <si>
    <t>ARC00012915</t>
  </si>
  <si>
    <t>A7-AB-30-C-01</t>
  </si>
  <si>
    <t>ARC00012914</t>
  </si>
  <si>
    <t>A7-AB-30-C-03</t>
  </si>
  <si>
    <t>ARC00012928</t>
  </si>
  <si>
    <t>A7-AB-32-C-01</t>
  </si>
  <si>
    <t>ARC00012912</t>
  </si>
  <si>
    <t>A7-AB-32-C-03</t>
  </si>
  <si>
    <t>ARC00012913</t>
  </si>
  <si>
    <t>A7-AB-34-C-01</t>
  </si>
  <si>
    <t>ARC00012930</t>
  </si>
  <si>
    <t>A7-AB-34-C-03</t>
  </si>
  <si>
    <t>ARC00012929</t>
  </si>
  <si>
    <t>A7-AB-36-C-01</t>
  </si>
  <si>
    <t>ARC00012910</t>
  </si>
  <si>
    <t>A7-AB-36-C-03</t>
  </si>
  <si>
    <t>ARC00012911</t>
  </si>
  <si>
    <t>A7-AB-38-C-01</t>
  </si>
  <si>
    <t>ARC00012932</t>
  </si>
  <si>
    <t>A7-AB-38-C-03</t>
  </si>
  <si>
    <t>ARC00012925</t>
  </si>
  <si>
    <t>A7-AB-40-C-01</t>
  </si>
  <si>
    <t>ARC00012931</t>
  </si>
  <si>
    <t>A7-AB-40-C-03</t>
  </si>
  <si>
    <t>ARC00012909</t>
  </si>
  <si>
    <t>A7-AB-44-C-01</t>
  </si>
  <si>
    <t>ARC00012916</t>
  </si>
  <si>
    <t>A7-AB-44-C-03</t>
  </si>
  <si>
    <t>ARC00012918</t>
  </si>
  <si>
    <t>A7-AB-46-C-03</t>
  </si>
  <si>
    <t>ARC00012955</t>
  </si>
  <si>
    <t>VAL SYNPOWER 5W40 12/1 L SW KSA</t>
  </si>
  <si>
    <t>A7-AF-28-C-03</t>
  </si>
  <si>
    <t>ARC00012954</t>
  </si>
  <si>
    <t>A7-AF-30-C-01</t>
  </si>
  <si>
    <t>ARC00012989</t>
  </si>
  <si>
    <t>A7-AC-43-C-03</t>
  </si>
  <si>
    <t>ARC00012986</t>
  </si>
  <si>
    <t>A7-AC-45-C-01</t>
  </si>
  <si>
    <t>A7-AC-45-C-03</t>
  </si>
  <si>
    <t>ARC00012984</t>
  </si>
  <si>
    <t>ARC00012982</t>
  </si>
  <si>
    <t>A7-AC-44-C-01</t>
  </si>
  <si>
    <t>ARC00012980</t>
  </si>
  <si>
    <t>A7-AC-44-C-03</t>
  </si>
  <si>
    <t>ARC00012979</t>
  </si>
  <si>
    <t>A7-AC-46-C-01</t>
  </si>
  <si>
    <t>ARC00012977</t>
  </si>
  <si>
    <t>A7-AC-46-C-03</t>
  </si>
  <si>
    <t>ARC00012987</t>
  </si>
  <si>
    <t>A7-AB-45-C-01</t>
  </si>
  <si>
    <t>ARC00012985</t>
  </si>
  <si>
    <t>A7-AA-32-C-01</t>
  </si>
  <si>
    <t>ARC00012983</t>
  </si>
  <si>
    <t>A7-AA-32-C-03</t>
  </si>
  <si>
    <t>ARC00012981</t>
  </si>
  <si>
    <t>A7-AA-34-C-01</t>
  </si>
  <si>
    <t>ARC00012978</t>
  </si>
  <si>
    <t>A7-AA-34-C-03</t>
  </si>
  <si>
    <t>ARC00012976</t>
  </si>
  <si>
    <t>A7-AA-36-C-01</t>
  </si>
  <si>
    <t>ARC00012960</t>
  </si>
  <si>
    <t>A7-AA-36-C-03</t>
  </si>
  <si>
    <t>ARC00012961</t>
  </si>
  <si>
    <t>A7-AA-38-C-01</t>
  </si>
  <si>
    <t>ARC00012962</t>
  </si>
  <si>
    <t>A7-AA-38-C-03</t>
  </si>
  <si>
    <t>ARC00012965</t>
  </si>
  <si>
    <t>A7-AA-40-C-01</t>
  </si>
  <si>
    <t>ARC00012967</t>
  </si>
  <si>
    <t>A7-AA-40-C-03</t>
  </si>
  <si>
    <t>ARC00012969</t>
  </si>
  <si>
    <t>A7-AA-42-C-01</t>
  </si>
  <si>
    <t>ARC00012971</t>
  </si>
  <si>
    <t>A7-AA-42-C-03</t>
  </si>
  <si>
    <t>ARC00012973</t>
  </si>
  <si>
    <t>A7-AA-44-C-01</t>
  </si>
  <si>
    <t>ARC00012975</t>
  </si>
  <si>
    <t>A7-AA-44-C-03</t>
  </si>
  <si>
    <t>ARC00012963</t>
  </si>
  <si>
    <t>A7-AA-46-C-01</t>
  </si>
  <si>
    <t>ARC00012964</t>
  </si>
  <si>
    <t>A7-AA-46-C-03</t>
  </si>
  <si>
    <t>ARC00012966</t>
  </si>
  <si>
    <t>A7-AE-33-C-01</t>
  </si>
  <si>
    <t>ARC00012968</t>
  </si>
  <si>
    <t>A7-AE-33-C-03</t>
  </si>
  <si>
    <t>ARC00012970</t>
  </si>
  <si>
    <t>A7-AE-35-C-01</t>
  </si>
  <si>
    <t>ARC00012972</t>
  </si>
  <si>
    <t>A7-AE-35-C-03</t>
  </si>
  <si>
    <t>ARC00012974</t>
  </si>
  <si>
    <t>A7-AE-37-C-01</t>
  </si>
  <si>
    <t>ARC00012956</t>
  </si>
  <si>
    <t>A7-AF-28-C-01</t>
  </si>
  <si>
    <t>ARC00013114</t>
  </si>
  <si>
    <t>A7-AC-03-C-01</t>
  </si>
  <si>
    <t>ARC00013115</t>
  </si>
  <si>
    <t>VAL HLP 37 DR 208 L KSA</t>
  </si>
  <si>
    <t>A7-AC-27-C-01</t>
  </si>
  <si>
    <t>ARC00013117</t>
  </si>
  <si>
    <t>A7-AE-15-C-03</t>
  </si>
  <si>
    <t>ARC00013010</t>
  </si>
  <si>
    <t>A7-AE-19-C-03</t>
  </si>
  <si>
    <t>ARC00013012</t>
  </si>
  <si>
    <t>ARC00013016</t>
  </si>
  <si>
    <t>A7-AE-27-C-01</t>
  </si>
  <si>
    <t>ARC00013014</t>
  </si>
  <si>
    <t>A7-AE-38-C-03</t>
  </si>
  <si>
    <t>ARC00013017</t>
  </si>
  <si>
    <t>ARC00013015</t>
  </si>
  <si>
    <t>A7-AE-38-C-01</t>
  </si>
  <si>
    <t>ARC00013013</t>
  </si>
  <si>
    <t>A7-AE-40-C-01</t>
  </si>
  <si>
    <t>ARC00013011</t>
  </si>
  <si>
    <t>A7-AE-40-C-03</t>
  </si>
  <si>
    <t>ARC00013009</t>
  </si>
  <si>
    <t>A7-AE-42-C-01</t>
  </si>
  <si>
    <t>ARC00012997</t>
  </si>
  <si>
    <t>A7-AF-27-C-01</t>
  </si>
  <si>
    <t>ARC00012991</t>
  </si>
  <si>
    <t>A7-AF-31-C-01</t>
  </si>
  <si>
    <t>ARC00012993</t>
  </si>
  <si>
    <t>A7-AE-39-C-01</t>
  </si>
  <si>
    <t>ARC00013006</t>
  </si>
  <si>
    <t>A7-AE-14-C-03</t>
  </si>
  <si>
    <t>ARC00012999</t>
  </si>
  <si>
    <t>A7-AF-27-C-03</t>
  </si>
  <si>
    <t>ARC00013001</t>
  </si>
  <si>
    <t>A7-AE-39-C-03</t>
  </si>
  <si>
    <t>ARC00012990</t>
  </si>
  <si>
    <t>A7-AF-29-C-01</t>
  </si>
  <si>
    <t>ARC00012995</t>
  </si>
  <si>
    <t>A7-AF-11-C-01</t>
  </si>
  <si>
    <t>ARC00012996</t>
  </si>
  <si>
    <t>A7-AE-41-C-01</t>
  </si>
  <si>
    <t>ARC00013018</t>
  </si>
  <si>
    <t>A7-AF-26-C-03</t>
  </si>
  <si>
    <t>ARC00010961</t>
  </si>
  <si>
    <t>A7-AE-41-C-03</t>
  </si>
  <si>
    <t>ARC00013008</t>
  </si>
  <si>
    <t>A7-AF-29-C-03</t>
  </si>
  <si>
    <t>ARC00012992</t>
  </si>
  <si>
    <t>A7-AE-42-C-03</t>
  </si>
  <si>
    <t>ARC00012994</t>
  </si>
  <si>
    <t>A7-AF-30-C-03</t>
  </si>
  <si>
    <t>ARC00012998</t>
  </si>
  <si>
    <t>A7-AE-43-C-01</t>
  </si>
  <si>
    <t>ARC00013003</t>
  </si>
  <si>
    <t>A7-AF-31-C-03</t>
  </si>
  <si>
    <t>ARC00010962</t>
  </si>
  <si>
    <t>A7-AE-43-C-03</t>
  </si>
  <si>
    <t>ARC00013000</t>
  </si>
  <si>
    <t>A7-AF-33-C-01</t>
  </si>
  <si>
    <t>ARC00013002</t>
  </si>
  <si>
    <t>A7-AE-45-C-01</t>
  </si>
  <si>
    <t>ARC00013004</t>
  </si>
  <si>
    <t>A7-AF-33-C-03</t>
  </si>
  <si>
    <t>ARC00010963</t>
  </si>
  <si>
    <t>A7-AE-45-C-03</t>
  </si>
  <si>
    <t>ARC00013101</t>
  </si>
  <si>
    <t>A7-AF-39-C-01</t>
  </si>
  <si>
    <t>ARC00013102</t>
  </si>
  <si>
    <t>A7-AE-44-C-01</t>
  </si>
  <si>
    <t>ARC00013103</t>
  </si>
  <si>
    <t>A7-AF-36-C-01</t>
  </si>
  <si>
    <t>ARC00013104</t>
  </si>
  <si>
    <t>A7-AE-44-C-03</t>
  </si>
  <si>
    <t>ARC00013105</t>
  </si>
  <si>
    <t>A7-AF-34-C-03</t>
  </si>
  <si>
    <t>ARC00013112</t>
  </si>
  <si>
    <t>A7-AD-40-C-03</t>
  </si>
  <si>
    <t>ARC00013111</t>
  </si>
  <si>
    <t>A7-AF-34-C-01</t>
  </si>
  <si>
    <t>ARC00013128</t>
  </si>
  <si>
    <t>A7-AB-22-C-03</t>
  </si>
  <si>
    <t>ARC00013127</t>
  </si>
  <si>
    <t>A7-AB-37-C-01</t>
  </si>
  <si>
    <t>ARC00013110</t>
  </si>
  <si>
    <t>A7-AF-41-C-03</t>
  </si>
  <si>
    <t>ARC00013109</t>
  </si>
  <si>
    <t>A7-AF-43-C-01</t>
  </si>
  <si>
    <t>ARC00013108</t>
  </si>
  <si>
    <t>A7-AF-43-C-03</t>
  </si>
  <si>
    <t>ARC00013107</t>
  </si>
  <si>
    <t>A7-AF-45-C-01</t>
  </si>
  <si>
    <t>ARC00013106</t>
  </si>
  <si>
    <t>A7-AF-45-C-03</t>
  </si>
  <si>
    <t>ARC00013118</t>
  </si>
  <si>
    <t>A7-AE-46-C-01</t>
  </si>
  <si>
    <t>ARC00013116</t>
  </si>
  <si>
    <t>A7-AD-03-C-01</t>
  </si>
  <si>
    <t>ARC00013120</t>
  </si>
  <si>
    <t>A7-AD-03-C-03</t>
  </si>
  <si>
    <t>ARC00013122</t>
  </si>
  <si>
    <t>A7-AD-05-C-01</t>
  </si>
  <si>
    <t>ARC00013123</t>
  </si>
  <si>
    <t>A7-AD-07-C-01</t>
  </si>
  <si>
    <t>ARC00013119</t>
  </si>
  <si>
    <t>A7-AD-13-C-03</t>
  </si>
  <si>
    <t>ARC00013125</t>
  </si>
  <si>
    <t>A7-AD-07-C-03</t>
  </si>
  <si>
    <t>ARC00013121</t>
  </si>
  <si>
    <t>A7-AD-13-C-01</t>
  </si>
  <si>
    <t>ARC00013126</t>
  </si>
  <si>
    <t>A7-AD-09-C-01</t>
  </si>
  <si>
    <t>ARC00013124</t>
  </si>
  <si>
    <t>A7-AD-11-C-01</t>
  </si>
  <si>
    <t>ARC00013005</t>
  </si>
  <si>
    <t>A7-AD-02-A-03</t>
  </si>
  <si>
    <t>ARC00013384</t>
  </si>
  <si>
    <t>A7-AF-25-D-01</t>
  </si>
  <si>
    <t>ARC00013383</t>
  </si>
  <si>
    <t>A7-AF-25-D-03</t>
  </si>
  <si>
    <t>ARC00013365</t>
  </si>
  <si>
    <t>A7-AD-01-C-01</t>
  </si>
  <si>
    <t>ARC00013375</t>
  </si>
  <si>
    <t>A7-AD-01-C-03</t>
  </si>
  <si>
    <t>ARC00013374</t>
  </si>
  <si>
    <t>A7-AD-05-C-03</t>
  </si>
  <si>
    <t>ARC00013373</t>
  </si>
  <si>
    <t>A7-AD-04-C-03</t>
  </si>
  <si>
    <t>ARC00013372</t>
  </si>
  <si>
    <t>A7-AD-06-C-03</t>
  </si>
  <si>
    <t>ARC00013371</t>
  </si>
  <si>
    <t>A7-AD-08-C-03</t>
  </si>
  <si>
    <t>ARC00013377</t>
  </si>
  <si>
    <t>A7-AD-10-C-01</t>
  </si>
  <si>
    <t>ARC00013378</t>
  </si>
  <si>
    <t>A7-AD-10-C-03</t>
  </si>
  <si>
    <t>ARC00013379</t>
  </si>
  <si>
    <t>A7-AD-12-C-01</t>
  </si>
  <si>
    <t>ARC00013380</t>
  </si>
  <si>
    <t>A7-AD-12-C-03</t>
  </si>
  <si>
    <t>ARC00013381</t>
  </si>
  <si>
    <t>A7-AD-11-C-03</t>
  </si>
  <si>
    <t>ARC00013382</t>
  </si>
  <si>
    <t>A7-AD-16-C-03</t>
  </si>
  <si>
    <t>ARC00013130</t>
  </si>
  <si>
    <t>A7-AC-02-D-03</t>
  </si>
  <si>
    <t>ARC00013131</t>
  </si>
  <si>
    <t>A7-AC-04-D-01</t>
  </si>
  <si>
    <t>ARC00013133</t>
  </si>
  <si>
    <t>A7-AC-06-D-01</t>
  </si>
  <si>
    <t>ARC00013135</t>
  </si>
  <si>
    <t>A7-AC-08-D-01</t>
  </si>
  <si>
    <t>ARC00013137</t>
  </si>
  <si>
    <t>A7-AC-10-D-01</t>
  </si>
  <si>
    <t>ARC00013141</t>
  </si>
  <si>
    <t>A7-AC-12-D-01</t>
  </si>
  <si>
    <t>ARC00013143</t>
  </si>
  <si>
    <t>A7-AC-12-D-03</t>
  </si>
  <si>
    <t>ARC00013138</t>
  </si>
  <si>
    <t>A7-AD-14-D-01</t>
  </si>
  <si>
    <t>ARC00013145</t>
  </si>
  <si>
    <t>A7-AC-14-D-01</t>
  </si>
  <si>
    <t>ARC00013140</t>
  </si>
  <si>
    <t>A7-AD-14-D-03</t>
  </si>
  <si>
    <t>ARC00013147</t>
  </si>
  <si>
    <t>A7-AC-14-D-03</t>
  </si>
  <si>
    <t>ARC00013144</t>
  </si>
  <si>
    <t>A7-AD-18-D-01</t>
  </si>
  <si>
    <t>ARC00013148</t>
  </si>
  <si>
    <t>A7-AD-17-D-01</t>
  </si>
  <si>
    <t>ARC00013151</t>
  </si>
  <si>
    <t>A7-AD-18-D-03</t>
  </si>
  <si>
    <t>ARC00013152</t>
  </si>
  <si>
    <t>A7-AD-19-D-01</t>
  </si>
  <si>
    <t>ARC00013175</t>
  </si>
  <si>
    <t>A7-AC-03-C-03</t>
  </si>
  <si>
    <t>ARC00013176</t>
  </si>
  <si>
    <t>A7-AC-05-C-01</t>
  </si>
  <si>
    <t>ARC00013177</t>
  </si>
  <si>
    <t>A7-AC-05-C-03</t>
  </si>
  <si>
    <t>ARC00013178</t>
  </si>
  <si>
    <t>A7-AC-07-C-01</t>
  </si>
  <si>
    <t>ARC00013179</t>
  </si>
  <si>
    <t>A7-AC-07-C-03</t>
  </si>
  <si>
    <t>ARC00013180</t>
  </si>
  <si>
    <t>A7-AC-09-C-01</t>
  </si>
  <si>
    <t>ARC00013181</t>
  </si>
  <si>
    <t>A7-AC-11-B-03</t>
  </si>
  <si>
    <t>ARC00013174</t>
  </si>
  <si>
    <t>A7-AC-17-C-01</t>
  </si>
  <si>
    <t>ARC00013173</t>
  </si>
  <si>
    <t>A7-AC-15-C-03</t>
  </si>
  <si>
    <t>ARC00013172</t>
  </si>
  <si>
    <t>A7-AC-14-C-01</t>
  </si>
  <si>
    <t>ARC00013171</t>
  </si>
  <si>
    <t>A7-AC-12-C-03</t>
  </si>
  <si>
    <t>ARC00013170</t>
  </si>
  <si>
    <t>A7-AC-06-C-01</t>
  </si>
  <si>
    <t>ARC00013182</t>
  </si>
  <si>
    <t>A7-AC-04-C-03</t>
  </si>
  <si>
    <t>ARC00013169</t>
  </si>
  <si>
    <t>A7-AC-02-C-01</t>
  </si>
  <si>
    <t>ARC00013168</t>
  </si>
  <si>
    <t>A7-AE-16-C-03</t>
  </si>
  <si>
    <t>ARC00013167</t>
  </si>
  <si>
    <t>A7-AE-03-C-03</t>
  </si>
  <si>
    <t>ARC00013166</t>
  </si>
  <si>
    <t>A7-AE-03-C-01</t>
  </si>
  <si>
    <t>ARC00013165</t>
  </si>
  <si>
    <t>A7-AE-05-C-03</t>
  </si>
  <si>
    <t>ARC00013153</t>
  </si>
  <si>
    <t>A7-AE-04-C-01</t>
  </si>
  <si>
    <t>ARC00013154</t>
  </si>
  <si>
    <t>A7-AE-07-C-01</t>
  </si>
  <si>
    <t>ARC00013155</t>
  </si>
  <si>
    <t>A7-AE-04-C-03</t>
  </si>
  <si>
    <t>ARC00013156</t>
  </si>
  <si>
    <t>A7-AE-08-C-01</t>
  </si>
  <si>
    <t>ARC00013157</t>
  </si>
  <si>
    <t>A7-AE-06-C-01</t>
  </si>
  <si>
    <t>ARC00013158</t>
  </si>
  <si>
    <t>A7-AE-01-C-03</t>
  </si>
  <si>
    <t>ARC00013160</t>
  </si>
  <si>
    <t>A7-AE-09-A-01</t>
  </si>
  <si>
    <t>ARC00013162</t>
  </si>
  <si>
    <t>A7-AF-22-C-01</t>
  </si>
  <si>
    <t>ARC00013159</t>
  </si>
  <si>
    <t>A7-AF-07-C-01</t>
  </si>
  <si>
    <t>ARC00013161</t>
  </si>
  <si>
    <t>A7-AF-04-C-03</t>
  </si>
  <si>
    <t>ARC00013163</t>
  </si>
  <si>
    <t>A7-AF-02-C-03</t>
  </si>
  <si>
    <t>ARC00013164</t>
  </si>
  <si>
    <t>A7-AF-20-C-03</t>
  </si>
  <si>
    <t>ARC00013191</t>
  </si>
  <si>
    <t>A7-AC-16-D-01</t>
  </si>
  <si>
    <t>ARC00013192</t>
  </si>
  <si>
    <t>A7-AC-16-D-03</t>
  </si>
  <si>
    <t>ARC00013196</t>
  </si>
  <si>
    <t>A7-AC-18-D-03</t>
  </si>
  <si>
    <t>ARC00013186</t>
  </si>
  <si>
    <t>A7-AC-22-D-03</t>
  </si>
  <si>
    <t>ARC00013198</t>
  </si>
  <si>
    <t>A7-AC-19-D-03</t>
  </si>
  <si>
    <t>ARC00013188</t>
  </si>
  <si>
    <t>A7-AC-21-D-01</t>
  </si>
  <si>
    <t>ARC00013189</t>
  </si>
  <si>
    <t>A7-AC-26-D-01</t>
  </si>
  <si>
    <t>ARC00013190</t>
  </si>
  <si>
    <t>A7-AC-26-D-03</t>
  </si>
  <si>
    <t>ARC00013200</t>
  </si>
  <si>
    <t>ALL FLEET EXTRA 10W40 DR 208 L KSA</t>
  </si>
  <si>
    <t>A7-AC-01-C-01</t>
  </si>
  <si>
    <t>ARC00013202</t>
  </si>
  <si>
    <t>A7-AF-35-C-01</t>
  </si>
  <si>
    <t>ARC00013193</t>
  </si>
  <si>
    <t>A7-AF-42-C-01</t>
  </si>
  <si>
    <t>ARC00013194</t>
  </si>
  <si>
    <t>A7-AF-18-C-03</t>
  </si>
  <si>
    <t>ARC00013197</t>
  </si>
  <si>
    <t>A7-AF-18-C-01</t>
  </si>
  <si>
    <t>ARC00013233</t>
  </si>
  <si>
    <t>A7-AE-22-C-01</t>
  </si>
  <si>
    <t>ARC00013236</t>
  </si>
  <si>
    <t>A7-AE-22-C-03</t>
  </si>
  <si>
    <t>ARC00013227</t>
  </si>
  <si>
    <t>A7-AE-15-C-01</t>
  </si>
  <si>
    <t>ARC00013221</t>
  </si>
  <si>
    <t>A7-AE-18-C-01</t>
  </si>
  <si>
    <t>ARC00013208</t>
  </si>
  <si>
    <t>A7-AE-32-C-01</t>
  </si>
  <si>
    <t>ARC00013218</t>
  </si>
  <si>
    <t>A7-AE-26-C-01</t>
  </si>
  <si>
    <t>ARC00013207</t>
  </si>
  <si>
    <t>A7-AE-26-C-03</t>
  </si>
  <si>
    <t>ARC00013209</t>
  </si>
  <si>
    <t>A7-AE-30-C-01</t>
  </si>
  <si>
    <t>ARC00013219</t>
  </si>
  <si>
    <t>A7-AE-30-C-03</t>
  </si>
  <si>
    <t>ARC00013217</t>
  </si>
  <si>
    <t>A7-AE-32-C-03</t>
  </si>
  <si>
    <t>ARC00013210</t>
  </si>
  <si>
    <t>A7-AE-36-C-01</t>
  </si>
  <si>
    <t>ARC00013216</t>
  </si>
  <si>
    <t>A7-AE-36-C-03</t>
  </si>
  <si>
    <t>ARC00013229</t>
  </si>
  <si>
    <t>A7-AF-26-C-01</t>
  </si>
  <si>
    <t>ARC00012899</t>
  </si>
  <si>
    <t>A7-AF-21-D-01</t>
  </si>
  <si>
    <t>A7-AF-21-C-01</t>
  </si>
  <si>
    <t>ARC00013220</t>
  </si>
  <si>
    <t>ARC00013228</t>
  </si>
  <si>
    <t>A7-AD-14-C-01</t>
  </si>
  <si>
    <t>ARC00013226</t>
  </si>
  <si>
    <t>A7-AD-14-C-03</t>
  </si>
  <si>
    <t>ARC00013224</t>
  </si>
  <si>
    <t>A7-AD-16-C-01</t>
  </si>
  <si>
    <t>ARC00011112</t>
  </si>
  <si>
    <t>A7-AD-20-D-01</t>
  </si>
  <si>
    <t>A7-AD-18-C-01</t>
  </si>
  <si>
    <t>ARC00013222</t>
  </si>
  <si>
    <t>A7-AD-20-D-03</t>
  </si>
  <si>
    <t>ARC00013235</t>
  </si>
  <si>
    <t>A7-AD-18-C-03</t>
  </si>
  <si>
    <t>ARC00011091</t>
  </si>
  <si>
    <t>A7-AD-20-C-01</t>
  </si>
  <si>
    <t>ARC00013238</t>
  </si>
  <si>
    <t>VAL ALL FLEET PLUS 15W40 DR 208 L KSA</t>
  </si>
  <si>
    <t>ARC00013215</t>
  </si>
  <si>
    <t>A7-AD-20-C-03</t>
  </si>
  <si>
    <t>ARC00013234</t>
  </si>
  <si>
    <t>A7-AD-02-C-01</t>
  </si>
  <si>
    <t>ARC00013232</t>
  </si>
  <si>
    <t>A7-AD-22-C-03</t>
  </si>
  <si>
    <t>ARC00011107</t>
  </si>
  <si>
    <t>A7-AD-21-D-01</t>
  </si>
  <si>
    <t>A7-AD-15-C-03</t>
  </si>
  <si>
    <t>ARC00013230</t>
  </si>
  <si>
    <t>ARC00013231</t>
  </si>
  <si>
    <t>A7-AC-10-C-01</t>
  </si>
  <si>
    <t>ARC00013249</t>
  </si>
  <si>
    <t>A7-AC-10-C-03</t>
  </si>
  <si>
    <t>ARC00013250</t>
  </si>
  <si>
    <t>A7-AC-12-C-01</t>
  </si>
  <si>
    <t>ARC00013248</t>
  </si>
  <si>
    <t>A7-AC-11-C-03</t>
  </si>
  <si>
    <t>ARC00013247</t>
  </si>
  <si>
    <t>A7-AC-09-C-03</t>
  </si>
  <si>
    <t>ARC00013237</t>
  </si>
  <si>
    <t>A7-AC-02-C-03</t>
  </si>
  <si>
    <t>ARC00013213</t>
  </si>
  <si>
    <t>A7-AC-04-C-01</t>
  </si>
  <si>
    <t>ARC00013214</t>
  </si>
  <si>
    <t>A7-AC-11-C-01</t>
  </si>
  <si>
    <t>ARC00013246</t>
  </si>
  <si>
    <t>A7-AC-13-C-01</t>
  </si>
  <si>
    <t>ARC00013245</t>
  </si>
  <si>
    <t>A7-AC-13-C-03</t>
  </si>
  <si>
    <t>ARC00013243</t>
  </si>
  <si>
    <t>A7-AC-15-C-01</t>
  </si>
  <si>
    <t>ARC00013242</t>
  </si>
  <si>
    <t>A7-AC-17-C-03</t>
  </si>
  <si>
    <t>ARC00013241</t>
  </si>
  <si>
    <t>A7-AC-19-C-01</t>
  </si>
  <si>
    <t>ARC00013240</t>
  </si>
  <si>
    <t>A7-AC-19-C-03</t>
  </si>
  <si>
    <t>ARC00013239</t>
  </si>
  <si>
    <t>A7-AC-14-C-03</t>
  </si>
  <si>
    <t>ARC00013225</t>
  </si>
  <si>
    <t>A7-AC-16-C-03</t>
  </si>
  <si>
    <t>ARC00013212</t>
  </si>
  <si>
    <t>A7-AC-16-C-01</t>
  </si>
  <si>
    <t>ARC00013223</t>
  </si>
  <si>
    <t>A7-AC-21-C-01</t>
  </si>
  <si>
    <t>ARC00013211</t>
  </si>
  <si>
    <t>A7-AE-20-C-03</t>
  </si>
  <si>
    <t>ARC00013277</t>
  </si>
  <si>
    <t>A7-AD-06-D-03</t>
  </si>
  <si>
    <t>ARC00013278</t>
  </si>
  <si>
    <t>A7-AD-21-D-03</t>
  </si>
  <si>
    <t>ARC00013362</t>
  </si>
  <si>
    <t>A7-AD-25-D-01</t>
  </si>
  <si>
    <t>ARC00013279</t>
  </si>
  <si>
    <t>A7-AD-25-D-03</t>
  </si>
  <si>
    <t>ARC00013280</t>
  </si>
  <si>
    <t>A7-AD-27-D-01</t>
  </si>
  <si>
    <t>ARC00013261</t>
  </si>
  <si>
    <t>A7-AD-27-D-03</t>
  </si>
  <si>
    <t>ARC00013263</t>
  </si>
  <si>
    <t>A7-AD-29-D-01</t>
  </si>
  <si>
    <t>ARC00013265</t>
  </si>
  <si>
    <t>A7-AD-29-D-03</t>
  </si>
  <si>
    <t>ARC00013267</t>
  </si>
  <si>
    <t>A7-AD-31-D-01</t>
  </si>
  <si>
    <t>ARC00013269</t>
  </si>
  <si>
    <t>A7-AD-31-D-03</t>
  </si>
  <si>
    <t>ARC00013271</t>
  </si>
  <si>
    <t>A7-AD-33-D-01</t>
  </si>
  <si>
    <t>ARC00013273</t>
  </si>
  <si>
    <t>A7-AD-33-D-03</t>
  </si>
  <si>
    <t>ARC00013275</t>
  </si>
  <si>
    <t>A7-AD-35-D-03</t>
  </si>
  <si>
    <t>ARC00013363</t>
  </si>
  <si>
    <t>A7-AD-35-D-01</t>
  </si>
  <si>
    <t>ARC00013262</t>
  </si>
  <si>
    <t>A7-AD-37-D-01</t>
  </si>
  <si>
    <t>ARC00013264</t>
  </si>
  <si>
    <t>A7-AD-37-D-03</t>
  </si>
  <si>
    <t>ARC00013266</t>
  </si>
  <si>
    <t>A7-AD-39-D-01</t>
  </si>
  <si>
    <t>ARC00013268</t>
  </si>
  <si>
    <t>A7-AD-39-D-03</t>
  </si>
  <si>
    <t>ARC00013270</t>
  </si>
  <si>
    <t>A7-AD-41-D-01</t>
  </si>
  <si>
    <t>ARC00013272</t>
  </si>
  <si>
    <t>A7-AD-41-D-03</t>
  </si>
  <si>
    <t>ARC00013274</t>
  </si>
  <si>
    <t>A7-AD-43-D-01</t>
  </si>
  <si>
    <t>ARC00013276</t>
  </si>
  <si>
    <t>A7-AD-43-D-03</t>
  </si>
  <si>
    <t>ARC00013281</t>
  </si>
  <si>
    <t>VAL ALL FLEET PLUS 15W40 6/5 L KSA</t>
  </si>
  <si>
    <t>A7-AD-45-D-01</t>
  </si>
  <si>
    <t>ARC00013283</t>
  </si>
  <si>
    <t>A7-AD-45-D-03</t>
  </si>
  <si>
    <t>ARC00013285</t>
  </si>
  <si>
    <t>A7-AC-33-D-01</t>
  </si>
  <si>
    <t>ARC00013287</t>
  </si>
  <si>
    <t>A7-AC-22-D-01</t>
  </si>
  <si>
    <t>ARC00013289</t>
  </si>
  <si>
    <t>A7-AC-20-D-03</t>
  </si>
  <si>
    <t>ARC00013291</t>
  </si>
  <si>
    <t>A7-AC-35-D-01</t>
  </si>
  <si>
    <t>ARC00013293</t>
  </si>
  <si>
    <t>A7-AC-35-D-03</t>
  </si>
  <si>
    <t>ARC00013282</t>
  </si>
  <si>
    <t>A7-AB-09-D-03</t>
  </si>
  <si>
    <t>ARC00013284</t>
  </si>
  <si>
    <t>A7-AB-02-D-03</t>
  </si>
  <si>
    <t>ARC00013302</t>
  </si>
  <si>
    <t>A7-AB-02-D-01</t>
  </si>
  <si>
    <t>ARC00013286</t>
  </si>
  <si>
    <t>A7-AB-10-D-01</t>
  </si>
  <si>
    <t>ARC00013301</t>
  </si>
  <si>
    <t>A7-AB-04-D-01</t>
  </si>
  <si>
    <t>ARC00013300</t>
  </si>
  <si>
    <t>A7-AB-10-D-03</t>
  </si>
  <si>
    <t>ARC00013288</t>
  </si>
  <si>
    <t>A7-AB-04-D-03</t>
  </si>
  <si>
    <t>ARC00013299</t>
  </si>
  <si>
    <t>A7-AB-08-D-03</t>
  </si>
  <si>
    <t>ARC00013290</t>
  </si>
  <si>
    <t>A7-AB-06-D-01</t>
  </si>
  <si>
    <t>ARC00013298</t>
  </si>
  <si>
    <t>A7-AB-12-D-01</t>
  </si>
  <si>
    <t>ARC00013292</t>
  </si>
  <si>
    <t>A7-AB-08-D-01</t>
  </si>
  <si>
    <t>ARC00013297</t>
  </si>
  <si>
    <t>A7-AB-12-D-03</t>
  </si>
  <si>
    <t>ARC00013296</t>
  </si>
  <si>
    <t>A7-AB-06-D-03</t>
  </si>
  <si>
    <t>ARC00013355</t>
  </si>
  <si>
    <t>VAL ALL FLEET EXTRA 15W40 6/5 L KSA</t>
  </si>
  <si>
    <t>A7-AB-21-D-01</t>
  </si>
  <si>
    <t>ARC00013353</t>
  </si>
  <si>
    <t>A7-AB-19-D-03</t>
  </si>
  <si>
    <t>ARC00013344</t>
  </si>
  <si>
    <t>A7-AB-13-D-01</t>
  </si>
  <si>
    <t>ARC00013343</t>
  </si>
  <si>
    <t>A7-AB-11-D-03</t>
  </si>
  <si>
    <t>A7-AB-11-D-01</t>
  </si>
  <si>
    <t>ARC00013294</t>
  </si>
  <si>
    <t>A7-AB-14-D-01</t>
  </si>
  <si>
    <t>ARC00013342</t>
  </si>
  <si>
    <t>ARC00013341</t>
  </si>
  <si>
    <t>A7-AB-14-D-03</t>
  </si>
  <si>
    <t>ARC00013340</t>
  </si>
  <si>
    <t>A7-AB-16-D-01</t>
  </si>
  <si>
    <t>ARC00013339</t>
  </si>
  <si>
    <t>A7-AB-16-D-03</t>
  </si>
  <si>
    <t>ARC00013338</t>
  </si>
  <si>
    <t>A7-AB-18-D-01</t>
  </si>
  <si>
    <t>ARC00013337</t>
  </si>
  <si>
    <t>A7-AB-18-D-03</t>
  </si>
  <si>
    <t>ARC00013336</t>
  </si>
  <si>
    <t>A7-AB-26-D-01</t>
  </si>
  <si>
    <t>ARC00013335</t>
  </si>
  <si>
    <t>A7-AB-26-D-03</t>
  </si>
  <si>
    <t>ARC00013305</t>
  </si>
  <si>
    <t>VAL LIGHT &amp; HD GEAR OIL 90 DR 208 L KSA</t>
  </si>
  <si>
    <t>A7-AA-38-A-01</t>
  </si>
  <si>
    <t>ARC00013306</t>
  </si>
  <si>
    <t>VAL ALL FLEET 20W50 DR 208 L KSA</t>
  </si>
  <si>
    <t>A7-AA-40-A-03</t>
  </si>
  <si>
    <t>ARC00013307</t>
  </si>
  <si>
    <t>A7-AA-44-A-03</t>
  </si>
  <si>
    <t>ARC00013308</t>
  </si>
  <si>
    <t>A7-AB-40-A-03</t>
  </si>
  <si>
    <t>ARC00013309</t>
  </si>
  <si>
    <t>A7-AB-25-A-03</t>
  </si>
  <si>
    <t>ARC00013310</t>
  </si>
  <si>
    <t>A7-AB-42-B-03</t>
  </si>
  <si>
    <t>ARC00013311</t>
  </si>
  <si>
    <t>A7-AB-19-A-03</t>
  </si>
  <si>
    <t>ARC00013312</t>
  </si>
  <si>
    <t>A7-AA-28-A-01</t>
  </si>
  <si>
    <t>ARC00013313</t>
  </si>
  <si>
    <t>A7-AA-34-A-01</t>
  </si>
  <si>
    <t>ARC00013314</t>
  </si>
  <si>
    <t>A7-AA-36-A-01</t>
  </si>
  <si>
    <t>ARC00013315</t>
  </si>
  <si>
    <t>A7-AA-42-A-01</t>
  </si>
  <si>
    <t>ARC00013316</t>
  </si>
  <si>
    <t>A7-AA-46-B-01</t>
  </si>
  <si>
    <t>ARC00013317</t>
  </si>
  <si>
    <t>A7-AB-29-A-01</t>
  </si>
  <si>
    <t>ARC00013318</t>
  </si>
  <si>
    <t>A7-AC-18-B-03</t>
  </si>
  <si>
    <t>ARC00013319</t>
  </si>
  <si>
    <t>A7-AC-38-A-03</t>
  </si>
  <si>
    <t>ARC00013320</t>
  </si>
  <si>
    <t>A7-AC-40-A-01</t>
  </si>
  <si>
    <t>ARC00013321</t>
  </si>
  <si>
    <t>A7-AA-12-A-01</t>
  </si>
  <si>
    <t>ARC00013322</t>
  </si>
  <si>
    <t>A7-AD-19-B-03</t>
  </si>
  <si>
    <t>ARC00013323</t>
  </si>
  <si>
    <t>A7-AD-25-B-01</t>
  </si>
  <si>
    <t>ARC00013324</t>
  </si>
  <si>
    <t>A7-AD-21-B-01</t>
  </si>
  <si>
    <t>ARC00013325</t>
  </si>
  <si>
    <t>A7-AD-21-B-03</t>
  </si>
  <si>
    <t>ARC00013326</t>
  </si>
  <si>
    <t>A7-AD-06-C-01</t>
  </si>
  <si>
    <t>ARC00013327</t>
  </si>
  <si>
    <t>A7-AE-02-C-03</t>
  </si>
  <si>
    <t>ARC00013329</t>
  </si>
  <si>
    <t>A7-AD-09-B-01</t>
  </si>
  <si>
    <t>ARC00013328</t>
  </si>
  <si>
    <t>A7-AD-11-B-03</t>
  </si>
  <si>
    <t>ARC00013330</t>
  </si>
  <si>
    <t>A7-AD-13-B-01</t>
  </si>
  <si>
    <t>ARC00013331</t>
  </si>
  <si>
    <t>A7-AD-14-B-01</t>
  </si>
  <si>
    <t>ARC00013333</t>
  </si>
  <si>
    <t>A7-AE-09-B-03</t>
  </si>
  <si>
    <t>ARC00013332</t>
  </si>
  <si>
    <t>A7-AF-04-A-01</t>
  </si>
  <si>
    <t>ARC00013334</t>
  </si>
  <si>
    <t>A7-AF-06-A-01</t>
  </si>
  <si>
    <t>ARC00013400</t>
  </si>
  <si>
    <t>A7-AC-03-A-03</t>
  </si>
  <si>
    <t>ARC00013399</t>
  </si>
  <si>
    <t>A7-AC-01-B-03</t>
  </si>
  <si>
    <t>ARC00013398</t>
  </si>
  <si>
    <t>A7-AC-03-A-01</t>
  </si>
  <si>
    <t>ARC00013416</t>
  </si>
  <si>
    <t>A7-AA-28-C-01</t>
  </si>
  <si>
    <t>ARC00013417</t>
  </si>
  <si>
    <t>A7-AD-41-B-01</t>
  </si>
  <si>
    <t>ARC00013418</t>
  </si>
  <si>
    <t>A7-AD-45-C-03</t>
  </si>
  <si>
    <t>ARC00013419</t>
  </si>
  <si>
    <t>A7-AE-29-A-03</t>
  </si>
  <si>
    <t>ARC00013390</t>
  </si>
  <si>
    <t>A7-AE-22-B-01</t>
  </si>
  <si>
    <t>ARC00013391</t>
  </si>
  <si>
    <t>A7-AF-38-A-03</t>
  </si>
  <si>
    <t>ARC00013415</t>
  </si>
  <si>
    <t>A7-AC-17-A-03</t>
  </si>
  <si>
    <t>ARC00013401</t>
  </si>
  <si>
    <t>A7-AC-05-A-03</t>
  </si>
  <si>
    <t>ARC00013402</t>
  </si>
  <si>
    <t>A7-AC-07-A-03</t>
  </si>
  <si>
    <t>ARC00013403</t>
  </si>
  <si>
    <t>A7-AC-09-A-01</t>
  </si>
  <si>
    <t>ARC00013392</t>
  </si>
  <si>
    <t>A7-AF-17-C-03</t>
  </si>
  <si>
    <t>ARC00013404</t>
  </si>
  <si>
    <t>A7-AC-11-A-01</t>
  </si>
  <si>
    <t>ARC00013405</t>
  </si>
  <si>
    <t>A7-AC-13-A-03</t>
  </si>
  <si>
    <t>ARC00013414</t>
  </si>
  <si>
    <t>A7-AE-46-C-03</t>
  </si>
  <si>
    <t>ARC00013406</t>
  </si>
  <si>
    <t>A7-AE-13-C-03</t>
  </si>
  <si>
    <t>ARC00013393</t>
  </si>
  <si>
    <t>A7-AF-14-A-01</t>
  </si>
  <si>
    <t>ARC00013407</t>
  </si>
  <si>
    <t>A7-AE-09-A-03</t>
  </si>
  <si>
    <t>ARC00013394</t>
  </si>
  <si>
    <t>A7-AB-07-A-03</t>
  </si>
  <si>
    <t>ARC00013412</t>
  </si>
  <si>
    <t>A7-AA-04-C-01</t>
  </si>
  <si>
    <t>ARC00013395</t>
  </si>
  <si>
    <t>A7-AF-14-A-03</t>
  </si>
  <si>
    <t>ARC00013408</t>
  </si>
  <si>
    <t>A7-AF-12-A-01</t>
  </si>
  <si>
    <t>ARC00013409</t>
  </si>
  <si>
    <t>A7-AA-06-C-01</t>
  </si>
  <si>
    <t>ARC00013396</t>
  </si>
  <si>
    <t>A7-AB-05-B-01</t>
  </si>
  <si>
    <t>ARC00013410</t>
  </si>
  <si>
    <t>A7-AF-41-B-03</t>
  </si>
  <si>
    <t>ARC00011041</t>
  </si>
  <si>
    <t>A7-AB-05-A-03</t>
  </si>
  <si>
    <t>ARC00013397</t>
  </si>
  <si>
    <t>A7-AC-13-A-01</t>
  </si>
  <si>
    <t>ARC00013295</t>
  </si>
  <si>
    <t>A7-AB-01-D-03</t>
  </si>
  <si>
    <t>ARC00010987</t>
  </si>
  <si>
    <t>A7-AC-01-D-03</t>
  </si>
  <si>
    <t>A7-AC-01-D-01</t>
  </si>
  <si>
    <t>ARC00013113</t>
  </si>
  <si>
    <t>A7-AB-45-C-03</t>
  </si>
  <si>
    <t>A7-AB-45-D-03</t>
  </si>
  <si>
    <t>ARC00012946</t>
  </si>
  <si>
    <t>A7-AE-17-C-03</t>
  </si>
  <si>
    <t>A7-AE-17-D-01</t>
  </si>
  <si>
    <t>ARC00013007</t>
  </si>
  <si>
    <t>A7-AE-37-C-03</t>
  </si>
  <si>
    <t>A7-AE-37-D-01</t>
  </si>
  <si>
    <t>ARC00012988</t>
  </si>
  <si>
    <t>A7-AB-31-C-03</t>
  </si>
  <si>
    <t>A7-AB-29-C-03</t>
  </si>
  <si>
    <t>ARC00011019</t>
  </si>
  <si>
    <t>A7-AB-31-C-01</t>
  </si>
  <si>
    <t>A7-AB-29-C-01</t>
  </si>
  <si>
    <t>ARC00011031</t>
  </si>
  <si>
    <t>A7-AB-27-C-03</t>
  </si>
  <si>
    <t>ARC00011030</t>
  </si>
  <si>
    <t>A7-AB-27-C-01</t>
  </si>
  <si>
    <t>ARC00011029</t>
  </si>
  <si>
    <t>A7-AB-25-C-03</t>
  </si>
  <si>
    <t>ARC00011028</t>
  </si>
  <si>
    <t>A7-AB-25-C-01</t>
  </si>
  <si>
    <t>ARC00011065</t>
  </si>
  <si>
    <t>A7-AC-33-C-01</t>
  </si>
  <si>
    <t>A7-AC-33-C-03</t>
  </si>
  <si>
    <t>ARC00013079</t>
  </si>
  <si>
    <t>A7-AD-10-B-01</t>
  </si>
  <si>
    <t>A7-AD-39-C-01</t>
  </si>
  <si>
    <t>ARC00013434</t>
  </si>
  <si>
    <t>VAL ALL FLEET 25W50 6/5 L KSA</t>
  </si>
  <si>
    <t>A7-AF-02-C-01</t>
  </si>
  <si>
    <t>ARC00013436</t>
  </si>
  <si>
    <t>A7-AF-03-C-01</t>
  </si>
  <si>
    <t>ARC00013437</t>
  </si>
  <si>
    <t>A7-AF-04-C-01</t>
  </si>
  <si>
    <t>ARC00013439</t>
  </si>
  <si>
    <t>A7-AF-04-D-01</t>
  </si>
  <si>
    <t>ARC00013441</t>
  </si>
  <si>
    <t>A7-AF-09-D-01</t>
  </si>
  <si>
    <t>ARC00013443</t>
  </si>
  <si>
    <t>A7-AF-17-D-03</t>
  </si>
  <si>
    <t>ARC00013446</t>
  </si>
  <si>
    <t>A7-AF-26-D-03</t>
  </si>
  <si>
    <t>ARC00013447</t>
  </si>
  <si>
    <t>A7-AF-26-D-01</t>
  </si>
  <si>
    <t>ARC00013433</t>
  </si>
  <si>
    <t>A7-AF-28-D-03</t>
  </si>
  <si>
    <t>ARC00013435</t>
  </si>
  <si>
    <t>A7-AF-28-D-01</t>
  </si>
  <si>
    <t>ARC00013438</t>
  </si>
  <si>
    <t>A7-AF-30-D-03</t>
  </si>
  <si>
    <t>ARC00013440</t>
  </si>
  <si>
    <t>A7-AF-27-D-03</t>
  </si>
  <si>
    <t>ARC00013442</t>
  </si>
  <si>
    <t>A7-AE-03-D-01</t>
  </si>
  <si>
    <t>ARC00013451</t>
  </si>
  <si>
    <t>A7-AE-06-D-01</t>
  </si>
  <si>
    <t>ARC00013450</t>
  </si>
  <si>
    <t>A7-AE-06-D-03</t>
  </si>
  <si>
    <t>ARC00013449</t>
  </si>
  <si>
    <t>A7-AE-08-D-01</t>
  </si>
  <si>
    <t>ARC00013444</t>
  </si>
  <si>
    <t>A7-AE-08-D-03</t>
  </si>
  <si>
    <t>ARC00013445</t>
  </si>
  <si>
    <t>A7-AE-16-D-03</t>
  </si>
  <si>
    <t>ARC00013448</t>
  </si>
  <si>
    <t>ARC00013426</t>
  </si>
  <si>
    <t>A7-AF-44-B-03</t>
  </si>
  <si>
    <t>ARC00013431</t>
  </si>
  <si>
    <t>A7-AE-17-D-03</t>
  </si>
  <si>
    <t>ARC00013432</t>
  </si>
  <si>
    <t>A7-AE-19-D-01</t>
  </si>
  <si>
    <t>ARC00015343</t>
  </si>
  <si>
    <t>VAL ALL FLEET PLUS 20W50 4/4 L KSA</t>
  </si>
  <si>
    <t>A7-AB-03-D-03</t>
  </si>
  <si>
    <t>ARC00015346</t>
  </si>
  <si>
    <t>A7-AB-07-D-01</t>
  </si>
  <si>
    <t>ARC00015342</t>
  </si>
  <si>
    <t>A7-AB-09-D-01</t>
  </si>
  <si>
    <t>ARC00015341</t>
  </si>
  <si>
    <t>A7-AB-13-D-03</t>
  </si>
  <si>
    <t>ARC00015340</t>
  </si>
  <si>
    <t>A7-AA-08-D-01</t>
  </si>
  <si>
    <t>ARC00015321</t>
  </si>
  <si>
    <t>A7-AA-08-D-03</t>
  </si>
  <si>
    <t>ARC00015322</t>
  </si>
  <si>
    <t>A7-AA-10-D-01</t>
  </si>
  <si>
    <t>ARC00015333</t>
  </si>
  <si>
    <t>A7-AB-15-D-01</t>
  </si>
  <si>
    <t>ARC00015323</t>
  </si>
  <si>
    <t>A7-AA-10-D-03</t>
  </si>
  <si>
    <t>ARC00015334</t>
  </si>
  <si>
    <t>A7-AB-15-D-03</t>
  </si>
  <si>
    <t>ARC00015324</t>
  </si>
  <si>
    <t>A7-AA-12-D-01</t>
  </si>
  <si>
    <t>ARC00015335</t>
  </si>
  <si>
    <t>A7-AB-17-D-01</t>
  </si>
  <si>
    <t>ARC00015336</t>
  </si>
  <si>
    <t>A7-AB-17-D-03</t>
  </si>
  <si>
    <t>ARC00015339</t>
  </si>
  <si>
    <t>ARC00015325</t>
  </si>
  <si>
    <t>A7-AA-12-D-03</t>
  </si>
  <si>
    <t>ARC00015338</t>
  </si>
  <si>
    <t>A7-AB-21-D-03</t>
  </si>
  <si>
    <t>ARC00015332</t>
  </si>
  <si>
    <t>A7-AB-20-D-03</t>
  </si>
  <si>
    <t>ARC00015326</t>
  </si>
  <si>
    <t>A7-AA-14-D-01</t>
  </si>
  <si>
    <t>ARC00015331</t>
  </si>
  <si>
    <t>A7-AB-20-D-01</t>
  </si>
  <si>
    <t>ARC00015330</t>
  </si>
  <si>
    <t>A7-AA-14-D-03</t>
  </si>
  <si>
    <t>ARC00015329</t>
  </si>
  <si>
    <t>A7-AB-22-D-03</t>
  </si>
  <si>
    <t>ARC00015328</t>
  </si>
  <si>
    <t>A7-AA-16-D-01</t>
  </si>
  <si>
    <t>ARC00015327</t>
  </si>
  <si>
    <t>A7-AB-22-D-01</t>
  </si>
  <si>
    <t>ARC00013458</t>
  </si>
  <si>
    <t>VAL HYDRAULIC HD 10W 4/4 L KSA</t>
  </si>
  <si>
    <t>A7-AF-19-C-01</t>
  </si>
  <si>
    <t>ARC00013471</t>
  </si>
  <si>
    <t>A7-AF-14-C-01</t>
  </si>
  <si>
    <t>ARC00013429</t>
  </si>
  <si>
    <t>A7-AE-05-C-01</t>
  </si>
  <si>
    <t>ARC00013430</t>
  </si>
  <si>
    <t>A7-AE-07-C-03</t>
  </si>
  <si>
    <t>ARC00013468</t>
  </si>
  <si>
    <t>VAL ALL FLEET 20W40 4/4 L KSA</t>
  </si>
  <si>
    <t>A7-AE-06-C-03</t>
  </si>
  <si>
    <t>ARC00013460</t>
  </si>
  <si>
    <t>A7-AE-09-C-01</t>
  </si>
  <si>
    <t>ARC00013457</t>
  </si>
  <si>
    <t>A7-AE-09-C-03</t>
  </si>
  <si>
    <t>ARC00013456</t>
  </si>
  <si>
    <t>A7-AE-11-C-01</t>
  </si>
  <si>
    <t>ARC00013461</t>
  </si>
  <si>
    <t>A7-AE-11-C-03</t>
  </si>
  <si>
    <t>ARC00013470</t>
  </si>
  <si>
    <t>A7-AE-13-C-01</t>
  </si>
  <si>
    <t>ARC00013469</t>
  </si>
  <si>
    <t>A7-AE-10-C-03</t>
  </si>
  <si>
    <t>ARC00013462</t>
  </si>
  <si>
    <t>ARC00013455</t>
  </si>
  <si>
    <t>A7-AD-01-D-01</t>
  </si>
  <si>
    <t>ARC00013454</t>
  </si>
  <si>
    <t>A7-AD-01-D-03</t>
  </si>
  <si>
    <t>ARC00013453</t>
  </si>
  <si>
    <t>A7-AD-10-D-03</t>
  </si>
  <si>
    <t>ARC00013452</t>
  </si>
  <si>
    <t>A7-AD-16-D-01</t>
  </si>
  <si>
    <t>ARC00013463</t>
  </si>
  <si>
    <t>A7-AD-16-D-03</t>
  </si>
  <si>
    <t>ARC00013464</t>
  </si>
  <si>
    <t>A7-AD-15-D-03</t>
  </si>
  <si>
    <t>ARC00013477</t>
  </si>
  <si>
    <t>A7-AD-17-C-03</t>
  </si>
  <si>
    <t>ARC00013474</t>
  </si>
  <si>
    <t>A7-AD-19-C-01</t>
  </si>
  <si>
    <t>ARC00013473</t>
  </si>
  <si>
    <t>A7-AD-17-D-03</t>
  </si>
  <si>
    <t>ARC00013467</t>
  </si>
  <si>
    <t>A7-AD-19-C-03</t>
  </si>
  <si>
    <t>ARC00013466</t>
  </si>
  <si>
    <t>A7-AD-19-D-03</t>
  </si>
  <si>
    <t>ARC00013465</t>
  </si>
  <si>
    <t>A7-AD-22-D-01</t>
  </si>
  <si>
    <t>ARC00013475</t>
  </si>
  <si>
    <t>A7-AD-22-D-03</t>
  </si>
  <si>
    <t>ARC00015395</t>
  </si>
  <si>
    <t>VAL ALL FLEET HD 15W40 4/4 L KSA</t>
  </si>
  <si>
    <t>ARC00015384</t>
  </si>
  <si>
    <t>A7-AC-02-D-01</t>
  </si>
  <si>
    <t>ARC00015385</t>
  </si>
  <si>
    <t>A7-AC-03-D-01</t>
  </si>
  <si>
    <t>ARC00015386</t>
  </si>
  <si>
    <t>A7-AC-03-D-03</t>
  </si>
  <si>
    <t>ARC00015387</t>
  </si>
  <si>
    <t>A7-AC-05-D-01</t>
  </si>
  <si>
    <t>ARC00015388</t>
  </si>
  <si>
    <t>A7-AC-04-D-03</t>
  </si>
  <si>
    <t>ARC00015389</t>
  </si>
  <si>
    <t>A7-AC-06-D-03</t>
  </si>
  <si>
    <t>ARC00015390</t>
  </si>
  <si>
    <t>A7-AC-07-D-01</t>
  </si>
  <si>
    <t>ARC00015393</t>
  </si>
  <si>
    <t>VAL LITHIUM GREASE MP2 15 KG</t>
  </si>
  <si>
    <t>A7-AC-07-D-03</t>
  </si>
  <si>
    <t>A7-AC-08-B-03</t>
  </si>
  <si>
    <t>ARC00015392</t>
  </si>
  <si>
    <t>A7-AC-11-D-01</t>
  </si>
  <si>
    <t>ARC00015391</t>
  </si>
  <si>
    <t>A7-AF-30-D-01</t>
  </si>
  <si>
    <t>ARC00015383</t>
  </si>
  <si>
    <t>A7-AF-32-D-01</t>
  </si>
  <si>
    <t>ARC00015382</t>
  </si>
  <si>
    <t>A7-AF-32-D-03</t>
  </si>
  <si>
    <t>ARC00015381</t>
  </si>
  <si>
    <t>A7-AF-34-D-01</t>
  </si>
  <si>
    <t>ARC00015380</t>
  </si>
  <si>
    <t>A7-AF-34-D-03</t>
  </si>
  <si>
    <t>ARC00015373</t>
  </si>
  <si>
    <t>A7-AF-06-C-01</t>
  </si>
  <si>
    <t>ARC00015374</t>
  </si>
  <si>
    <t>A7-AF-08-C-03</t>
  </si>
  <si>
    <t>ARC00015375</t>
  </si>
  <si>
    <t>A7-AF-08-C-01</t>
  </si>
  <si>
    <t>ARC00015376</t>
  </si>
  <si>
    <t>A7-AF-07-C-03</t>
  </si>
  <si>
    <t>ARC00015377</t>
  </si>
  <si>
    <t>A7-AF-07-D-03</t>
  </si>
  <si>
    <t>ARC00015378</t>
  </si>
  <si>
    <t>A7-AF-36-D-01</t>
  </si>
  <si>
    <t>ARC00015379</t>
  </si>
  <si>
    <t>A7-AF-36-D-03</t>
  </si>
  <si>
    <t>ARC00015367</t>
  </si>
  <si>
    <t>VAL ALL FLEET 15W40 4/5 L KSA</t>
  </si>
  <si>
    <t>A7-AB-01-D-01</t>
  </si>
  <si>
    <t>ARC00015368</t>
  </si>
  <si>
    <t>A7-AC-08-D-03</t>
  </si>
  <si>
    <t>ARC00015369</t>
  </si>
  <si>
    <t>A7-AC-10-D-03</t>
  </si>
  <si>
    <t>ARC00015370</t>
  </si>
  <si>
    <t>A7-AB-28-D-01</t>
  </si>
  <si>
    <t>ARC00015371</t>
  </si>
  <si>
    <t>A7-AB-28-D-03</t>
  </si>
  <si>
    <t>ARC00015372</t>
  </si>
  <si>
    <t>A7-AB-25-D-01</t>
  </si>
  <si>
    <t>ARC00015356</t>
  </si>
  <si>
    <t>A7-AB-25-D-03</t>
  </si>
  <si>
    <t>ARC00015366</t>
  </si>
  <si>
    <t>A7-AB-27-D-01</t>
  </si>
  <si>
    <t>ARC00015357</t>
  </si>
  <si>
    <t>A7-AB-27-D-03</t>
  </si>
  <si>
    <t>ARC00015358</t>
  </si>
  <si>
    <t>A7-AB-29-D-01</t>
  </si>
  <si>
    <t>ARC00015359</t>
  </si>
  <si>
    <t>A7-AB-29-D-03</t>
  </si>
  <si>
    <t>ARC00015365</t>
  </si>
  <si>
    <t>A7-AB-30-D-01</t>
  </si>
  <si>
    <t>ARC00015364</t>
  </si>
  <si>
    <t>A7-AB-30-D-03</t>
  </si>
  <si>
    <t>ARC00015362</t>
  </si>
  <si>
    <t>A7-AB-32-D-01</t>
  </si>
  <si>
    <t>ARC00015363</t>
  </si>
  <si>
    <t>A7-AB-32-D-03</t>
  </si>
  <si>
    <t>ARC00015361</t>
  </si>
  <si>
    <t>A7-AB-34-D-01</t>
  </si>
  <si>
    <t>ARC00015360</t>
  </si>
  <si>
    <t>A7-AB-34-D-03</t>
  </si>
  <si>
    <t>ARC00015348</t>
  </si>
  <si>
    <t>A7-AA-18-D-01</t>
  </si>
  <si>
    <t>ARC00015355</t>
  </si>
  <si>
    <t>A7-AA-18-D-03</t>
  </si>
  <si>
    <t>ARC00015354</t>
  </si>
  <si>
    <t>A7-AA-20-D-01</t>
  </si>
  <si>
    <t>ARC00015350</t>
  </si>
  <si>
    <t>A7-AA-20-D-03</t>
  </si>
  <si>
    <t>ARC00015351</t>
  </si>
  <si>
    <t>A7-AA-22-D-01</t>
  </si>
  <si>
    <t>ARC00015352</t>
  </si>
  <si>
    <t>A7-AA-22-D-03</t>
  </si>
  <si>
    <t>ARC00015349</t>
  </si>
  <si>
    <t>A7-AF-44-A-01</t>
  </si>
  <si>
    <t>ARC00015353</t>
  </si>
  <si>
    <t>A7-AF-44-B-01</t>
  </si>
  <si>
    <t>ARC00015394</t>
  </si>
  <si>
    <t>A7-AF-44-A-03</t>
  </si>
  <si>
    <t>ARC00013425</t>
  </si>
  <si>
    <t>ARC00015345</t>
  </si>
  <si>
    <t>ARC00015344</t>
  </si>
  <si>
    <t>A7-AF-44-C-01</t>
  </si>
  <si>
    <t>ARC00013424</t>
  </si>
  <si>
    <t>A7-AF-44-C-03</t>
  </si>
  <si>
    <t>ARC00013476</t>
  </si>
  <si>
    <t>A7-AF-44-D-01</t>
  </si>
  <si>
    <t>ARC00013478</t>
  </si>
  <si>
    <t>A7-AF-44-D-03</t>
  </si>
  <si>
    <t>ARC00013427</t>
  </si>
  <si>
    <t>A7-AF-46-C-01</t>
  </si>
  <si>
    <t>ARC00013428</t>
  </si>
  <si>
    <t>A7-AF-46-C-03</t>
  </si>
  <si>
    <t>ARC00013487</t>
  </si>
  <si>
    <t>VAL ALL FLEET 20W50 6/4 L KSA</t>
  </si>
  <si>
    <t>A7-AE-32-D-03</t>
  </si>
  <si>
    <t>ARC00013486</t>
  </si>
  <si>
    <t>A7-AE-31-D-03</t>
  </si>
  <si>
    <t>ARC00013485</t>
  </si>
  <si>
    <t>A7-AE-31-D-01</t>
  </si>
  <si>
    <t>ARC00013484</t>
  </si>
  <si>
    <t>ARC00013483</t>
  </si>
  <si>
    <t>A7-AE-29-D-01</t>
  </si>
  <si>
    <t>ARC00013482</t>
  </si>
  <si>
    <t>A7-AE-27-D-03</t>
  </si>
  <si>
    <t>ARC00013481</t>
  </si>
  <si>
    <t>A7-AE-27-D-01</t>
  </si>
  <si>
    <t>ARC00013488</t>
  </si>
  <si>
    <t>A7-AE-25-D-03</t>
  </si>
  <si>
    <t>ARC00013489</t>
  </si>
  <si>
    <t>VAL HLP 37 4/4 L KSA</t>
  </si>
  <si>
    <t>A7-AE-25-D-01</t>
  </si>
  <si>
    <t>ARC00013490</t>
  </si>
  <si>
    <t>A7-AE-33-D-01</t>
  </si>
  <si>
    <t>ARC00013491</t>
  </si>
  <si>
    <t>A7-AE-33-D-03</t>
  </si>
  <si>
    <t>ARC00013492</t>
  </si>
  <si>
    <t>A7-AE-35-D-01</t>
  </si>
  <si>
    <t>ARC00013493</t>
  </si>
  <si>
    <t>A7-AE-35-D-03</t>
  </si>
  <si>
    <t>ARC00013494</t>
  </si>
  <si>
    <t>ARC00013495</t>
  </si>
  <si>
    <t>A7-AE-37-D-03</t>
  </si>
  <si>
    <t>ARC00013496</t>
  </si>
  <si>
    <t>A7-AE-39-D-01</t>
  </si>
  <si>
    <t>ARC00013506</t>
  </si>
  <si>
    <t>A7-AD-26-D-01</t>
  </si>
  <si>
    <t>ARC00013508</t>
  </si>
  <si>
    <t>A7-AD-26-D-03</t>
  </si>
  <si>
    <t>ARC00013509</t>
  </si>
  <si>
    <t>A7-AD-28-D-01</t>
  </si>
  <si>
    <t>ARC00013510</t>
  </si>
  <si>
    <t>A7-AD-28-D-03</t>
  </si>
  <si>
    <t>ARC00013511</t>
  </si>
  <si>
    <t>A7-AD-30-D-01</t>
  </si>
  <si>
    <t>ARC00013512</t>
  </si>
  <si>
    <t>A7-AD-30-D-03</t>
  </si>
  <si>
    <t>ARC00013513</t>
  </si>
  <si>
    <t>A7-AD-32-D-01</t>
  </si>
  <si>
    <t>ARC00013514</t>
  </si>
  <si>
    <t>A7-AE-22-D-03</t>
  </si>
  <si>
    <t>ARC00013358</t>
  </si>
  <si>
    <t>VAL BRAKE&amp;CLUTCH FLUID DOT4 24/250ML KSA</t>
  </si>
  <si>
    <t>A7-AD-04-D-01</t>
  </si>
  <si>
    <t>ARC00013413</t>
  </si>
  <si>
    <t>A7-AB-02-B-01</t>
  </si>
  <si>
    <t>A7-AB-02-C-01</t>
  </si>
  <si>
    <t>ARC00013507</t>
  </si>
  <si>
    <t>ARC00013385</t>
  </si>
  <si>
    <t>A7-AF-20-D-03</t>
  </si>
  <si>
    <t>ARC00013187</t>
  </si>
  <si>
    <t>A7-AC-19-D-01</t>
  </si>
  <si>
    <t>ARC00015396</t>
  </si>
  <si>
    <t>VAL HD AXLE OIL 85W140 DR 208 L KSA</t>
  </si>
  <si>
    <t>A7-AB-17-A-03</t>
  </si>
  <si>
    <t>SHARAMCO3PLJED200000122</t>
  </si>
  <si>
    <t>ARC00013516</t>
  </si>
  <si>
    <t>A7-AF-19-C-03</t>
  </si>
  <si>
    <t>Facility Code</t>
  </si>
  <si>
    <t>Company Code</t>
  </si>
  <si>
    <t>Order Nbr</t>
  </si>
  <si>
    <t>LPN Status</t>
  </si>
  <si>
    <t>Pick Location</t>
  </si>
  <si>
    <t>Packed Qty</t>
  </si>
  <si>
    <t>Customer Nbr</t>
  </si>
  <si>
    <t>Customer City</t>
  </si>
  <si>
    <t>Customer Name</t>
  </si>
  <si>
    <t>Detail Picked Time</t>
  </si>
  <si>
    <t>Packed Timestamp</t>
  </si>
  <si>
    <t>Allocation Mod Timestamp</t>
  </si>
  <si>
    <t>TSARAMCO3PLJED200008942</t>
  </si>
  <si>
    <t>Shipped</t>
  </si>
  <si>
    <t>VAL ALL CLIMATE 10W30 DR 208 L KSA</t>
  </si>
  <si>
    <t>A7-AE-02-A-01</t>
  </si>
  <si>
    <t>Najran 6S</t>
  </si>
  <si>
    <t>Mohamed Yousuf Naghi Motor Company</t>
  </si>
  <si>
    <t>TSARAMCO3PLJED200008922</t>
  </si>
  <si>
    <t>Madinah</t>
  </si>
  <si>
    <t>Al Zughaibi Company for Trading</t>
  </si>
  <si>
    <t>A7-AC-18-D-01</t>
  </si>
  <si>
    <t>VAL ALL CLIMATE 10W30 24/1 L KSA</t>
  </si>
  <si>
    <t>A7-AF-12-D-01</t>
  </si>
  <si>
    <t>A7-AE-19-C-01</t>
  </si>
  <si>
    <t>TSARAMCO3PLJED200008902</t>
  </si>
  <si>
    <t>A7-AE-11-B-01</t>
  </si>
  <si>
    <t>PDC 6Z Jeddah Khumra</t>
  </si>
  <si>
    <t>A7-AE-07-B-03</t>
  </si>
  <si>
    <t>VAL HD GEAR OIL 80W90 DR 208 L KSA</t>
  </si>
  <si>
    <t>A7-AD-28-A-01</t>
  </si>
  <si>
    <t>TSARAMCO3PLJED200008882</t>
  </si>
  <si>
    <t>BR-81 Jizan</t>
  </si>
  <si>
    <t>Wallan Trading Co</t>
  </si>
  <si>
    <t>A7-AE-10-C-01</t>
  </si>
  <si>
    <t>TSARAMCO3PLJED200008701</t>
  </si>
  <si>
    <t>Jeddah</t>
  </si>
  <si>
    <t>Afaq Qtech General Treading</t>
  </si>
  <si>
    <t>TSARAMCO3PLJED200008741</t>
  </si>
  <si>
    <t>VAL ALL CLIMATE 5W30 DR 208 L KSA</t>
  </si>
  <si>
    <t>A7-AD-31-B-03</t>
  </si>
  <si>
    <t>Jeddah Sahafa 4Y</t>
  </si>
  <si>
    <t>A7-AD-16-B-01</t>
  </si>
  <si>
    <t>TSARAMCO3PLJED200008781</t>
  </si>
  <si>
    <t>A7-AE-26-A-01</t>
  </si>
  <si>
    <t>MARSA AL BANAREK LIMITED Co.</t>
  </si>
  <si>
    <t>A7-AD-14-B-03</t>
  </si>
  <si>
    <t>TSARAMCO3PLJED200008861</t>
  </si>
  <si>
    <t>A7-AF-10-C-03</t>
  </si>
  <si>
    <t>A7-AF-09-C-01</t>
  </si>
  <si>
    <t>A7-AF-08-D-03</t>
  </si>
  <si>
    <t>A7-AF-06-D-01</t>
  </si>
  <si>
    <t>TSARAMCO3PLJED200008841</t>
  </si>
  <si>
    <t>VAL ALL CLIMATE 5W30 12/1 L SW KSA</t>
  </si>
  <si>
    <t>A7-AE-12-C-01</t>
  </si>
  <si>
    <t>A7-AD-12-D-03</t>
  </si>
  <si>
    <t>A7-AD-12-D-01</t>
  </si>
  <si>
    <t>TSARAMCO3PLJED200008821</t>
  </si>
  <si>
    <t>A7-AC-02-B-01</t>
  </si>
  <si>
    <t>Redsea</t>
  </si>
  <si>
    <t>NESMA United Industries Limited</t>
  </si>
  <si>
    <t>TSARAMCO3PLJED200008801</t>
  </si>
  <si>
    <t>A7-AE-46-B-03</t>
  </si>
  <si>
    <t>Riyadh</t>
  </si>
  <si>
    <t>A7-AE-46-B-01</t>
  </si>
  <si>
    <t>A7-AE-45-B-03</t>
  </si>
  <si>
    <t>A7-AE-44-B-03</t>
  </si>
  <si>
    <t>A7-AE-44-B-01</t>
  </si>
  <si>
    <t>A7-AE-43-B-01</t>
  </si>
  <si>
    <t>A7-AE-42-B-03</t>
  </si>
  <si>
    <t>A7-AE-42-B-01</t>
  </si>
  <si>
    <t>A7-AE-11-B-03</t>
  </si>
  <si>
    <t>A7-AD-19-B-01</t>
  </si>
  <si>
    <t>A7-AD-18-B-01</t>
  </si>
  <si>
    <t>TSARAMCO3PLJED200008761</t>
  </si>
  <si>
    <t>'Yanbu</t>
  </si>
  <si>
    <t>A7-AE-43-B-03</t>
  </si>
  <si>
    <t>A7-AF-04-B-01</t>
  </si>
  <si>
    <t>A7-AD-17-B-03</t>
  </si>
  <si>
    <t>TSARAMCO3PLJED200008721</t>
  </si>
  <si>
    <t>VAL SYNPOWER DX1 5W20 12/1 L SW KSA</t>
  </si>
  <si>
    <t>A7-AE-21-C-03</t>
  </si>
  <si>
    <t>Noon E Commerce Solutions One Person</t>
  </si>
  <si>
    <t>A7-AF-19-D-03</t>
  </si>
  <si>
    <t>A7-AE-16-D-01</t>
  </si>
  <si>
    <t>A7-AF-41-D-03</t>
  </si>
  <si>
    <t>A7-AF-41-D-01</t>
  </si>
  <si>
    <t>A7-AF-39-D-03</t>
  </si>
  <si>
    <t>A7-AF-39-D-01</t>
  </si>
  <si>
    <t>A7-AF-37-D-01</t>
  </si>
  <si>
    <t>A7-AF-27-D-01</t>
  </si>
  <si>
    <t>A7-AF-15-C-01</t>
  </si>
  <si>
    <t>TSARAMCO3PLJED200008681</t>
  </si>
  <si>
    <t>A7-AA-04-C-03</t>
  </si>
  <si>
    <t>Duba</t>
  </si>
  <si>
    <t>TSARAMCO3PLJED200008661</t>
  </si>
  <si>
    <t>Taif 5Z</t>
  </si>
  <si>
    <t>A7-AE-41-B-01</t>
  </si>
  <si>
    <t>A7-AE-07-A-03</t>
  </si>
  <si>
    <t>TSARAMCO3PLJED200008641</t>
  </si>
  <si>
    <t>Yanbu 6H</t>
  </si>
  <si>
    <t>A7-AD-43-B-01</t>
  </si>
  <si>
    <t>A7-AD-41-B-03</t>
  </si>
  <si>
    <t>TSARAMCO3PLJED200008621</t>
  </si>
  <si>
    <t>VAL UNICOOL C-50 DR 6/4 L</t>
  </si>
  <si>
    <t>A7-AF-17-C-01</t>
  </si>
  <si>
    <t>Lubricant &amp; Oil for Vehicle car services</t>
  </si>
  <si>
    <t>TSARAMCO3PLJED200008601</t>
  </si>
  <si>
    <t>Abha</t>
  </si>
  <si>
    <t>TSARAMCO3PLJED200008581</t>
  </si>
  <si>
    <t>khamis musheet</t>
  </si>
  <si>
    <t>Petro Artik Est.</t>
  </si>
  <si>
    <t>A7-AC-17-D-03</t>
  </si>
  <si>
    <t>A7-AC-15-D-01</t>
  </si>
  <si>
    <t>TSARAMCO3PLJED200008561</t>
  </si>
  <si>
    <t>Jeddah ( BR-83 )</t>
  </si>
  <si>
    <t>A7-AE-12-D-01</t>
  </si>
  <si>
    <t>TSARAMCO3PLJED200008541</t>
  </si>
  <si>
    <t>A7-AB-21-B-01</t>
  </si>
  <si>
    <t xml:space="preserve">JED-YARD-AL KUMRA (1209) </t>
  </si>
  <si>
    <t>Universal Motors Agencies CO. LTD.</t>
  </si>
  <si>
    <t>TSARAMCO3PLJED200008521</t>
  </si>
  <si>
    <t>Makkah</t>
  </si>
  <si>
    <t>Al Mustaqbal Lubricants Company</t>
  </si>
  <si>
    <t>TSARAMCO3PLJED200008501</t>
  </si>
  <si>
    <t>TSARAMCO3PLJED200008461</t>
  </si>
  <si>
    <t>Taif 5X</t>
  </si>
  <si>
    <t>TSARAMCO3PLJED200008481</t>
  </si>
  <si>
    <t>BR-92 Asir</t>
  </si>
  <si>
    <t>Wallan Maintenance  CO</t>
  </si>
  <si>
    <t>A7-AD-39-B-01</t>
  </si>
  <si>
    <t>A7-AD-37-B-03</t>
  </si>
  <si>
    <t>TSARAMCO3PLJED200008441</t>
  </si>
  <si>
    <t>A7-AD-33-B-01</t>
  </si>
  <si>
    <t>A7-AC-33-B-01</t>
  </si>
  <si>
    <t>A7-AC-33-B-03</t>
  </si>
  <si>
    <t>A7-AE-45-B-01</t>
  </si>
  <si>
    <t>TSARAMCO3PLJED200008421</t>
  </si>
  <si>
    <t>VAL SYNPOWER 10W40 12/1 L SW KSA</t>
  </si>
  <si>
    <t>A7-AC-37-D-01</t>
  </si>
  <si>
    <t>BR-96 Riyadh</t>
  </si>
  <si>
    <t>TSARAMCO3PLJED200008401</t>
  </si>
  <si>
    <t>VAL SYNPOWER MST C3 5W30 12/1 L SW KSA</t>
  </si>
  <si>
    <t>A7-AE-18-D-03</t>
  </si>
  <si>
    <t>Jeddah Haramain 4H</t>
  </si>
  <si>
    <t>TSARAMCO3PLJED200008381</t>
  </si>
  <si>
    <t>VAL ALL FLEET PLUS 20W50 DR 208 L KSA</t>
  </si>
  <si>
    <t>A7-AD-40-A-03</t>
  </si>
  <si>
    <t>ASABCO Company</t>
  </si>
  <si>
    <t>A7-AD-40-A-01</t>
  </si>
  <si>
    <t>A7-AD-38-A-03</t>
  </si>
  <si>
    <t>TSARAMCO3PLJED200008361</t>
  </si>
  <si>
    <t>VAL ALL CLIMATE 5W40 DR 208 L KSA</t>
  </si>
  <si>
    <t>A7-AE-21-A-01</t>
  </si>
  <si>
    <t>Dammam</t>
  </si>
  <si>
    <t>Alsharq Oils Trading Company  ط´ط±ظƒط© ط²ظٹظˆطھ</t>
  </si>
  <si>
    <t>TSARAMCO3PLJED200008341</t>
  </si>
  <si>
    <t>jeddah</t>
  </si>
  <si>
    <t>High Lightning Trading Company ('HLCO')</t>
  </si>
  <si>
    <t>TSARAMCO3PLJED200008321</t>
  </si>
  <si>
    <t>A7-AF-15-D-03</t>
  </si>
  <si>
    <t>TSARAMCO3PLJED200008301</t>
  </si>
  <si>
    <t>A7-AC-34-D-01</t>
  </si>
  <si>
    <t>A7-AC-32-D-03</t>
  </si>
  <si>
    <t>A7-AC-31-D-03</t>
  </si>
  <si>
    <t>A7-AC-31-D-01</t>
  </si>
  <si>
    <t>VAL ATF DEX/MERC 12/1 L SW KSA</t>
  </si>
  <si>
    <t>TSARAMCO3PLJED200008281</t>
  </si>
  <si>
    <t>A7-AC-16-A-01</t>
  </si>
  <si>
    <t>Cleaning Makkah Area3</t>
  </si>
  <si>
    <t>Alyamama company for trading and contrac</t>
  </si>
  <si>
    <t>A7-AA-06-A-01</t>
  </si>
  <si>
    <t>A7-AC-21-A-01</t>
  </si>
  <si>
    <t>A7-AC-20-A-01</t>
  </si>
  <si>
    <t>A7-AC-18-A-03</t>
  </si>
  <si>
    <t>A7-AC-18-A-01</t>
  </si>
  <si>
    <t>TSARAMCO3PLJED200008261</t>
  </si>
  <si>
    <t>TSARAMCO3PLJED200008241</t>
  </si>
  <si>
    <t>UMA - Express Care</t>
  </si>
  <si>
    <t>VAL UNICOOL C-40 6/4 L</t>
  </si>
  <si>
    <t>A7-AF-21-C-03</t>
  </si>
  <si>
    <t>VAL ALL CLIMATE 20W50 DR 208 L KSA</t>
  </si>
  <si>
    <t>A7-AA-32-A-01</t>
  </si>
  <si>
    <t>VAL SYNPOWER DX1 0W20 12/1 L SW KSA</t>
  </si>
  <si>
    <t>A7-AC-21-D-03</t>
  </si>
  <si>
    <t>A7-AC-09-B-01</t>
  </si>
  <si>
    <t>TSARAMCO3PLJED200008221</t>
  </si>
  <si>
    <t>Masdar Alzuyut Trading Company</t>
  </si>
  <si>
    <t>TSARAMCO3PLJED200008201</t>
  </si>
  <si>
    <t>VAL UNICOOL C-50 DR 208 L</t>
  </si>
  <si>
    <t>A7-AE-05-A-03</t>
  </si>
  <si>
    <t>Yanbu</t>
  </si>
  <si>
    <t>Aldrees Petroleum &amp; Transport Services C</t>
  </si>
  <si>
    <t>A7-AB-37-A-01</t>
  </si>
  <si>
    <t>TSARAMCO3PLJED200008181</t>
  </si>
  <si>
    <t>65-1-JED-LEA-AlManar-1282</t>
  </si>
  <si>
    <t>Universal Motors Agencies CO. LTD.  Univ</t>
  </si>
  <si>
    <t>A7-AE-25-B-01</t>
  </si>
  <si>
    <t>TSARAMCO3PLJED200008161</t>
  </si>
  <si>
    <t>Golden Liquid Trading Est.</t>
  </si>
  <si>
    <t>A7-AC-20-D-01</t>
  </si>
  <si>
    <t>A7-AE-21-C-01</t>
  </si>
  <si>
    <t>TSARAMCO3PLJED200008141</t>
  </si>
  <si>
    <t>VAL SYNPOWER DX1 0W20 DR 208 L KSA</t>
  </si>
  <si>
    <t>A7-AA-34-B-03</t>
  </si>
  <si>
    <t>Sevens Trading Copmany</t>
  </si>
  <si>
    <t>TSARAMCO3PLJED200008121</t>
  </si>
  <si>
    <t>VAL HLP 68 DR 208 L KSA</t>
  </si>
  <si>
    <t>A7-AA-30-A-01</t>
  </si>
  <si>
    <t>Qemat Al-Khaleej Al-Arabi company for tr</t>
  </si>
  <si>
    <t>A7-AA-26-A-03</t>
  </si>
  <si>
    <t>A7-AF-14-B-01</t>
  </si>
  <si>
    <t>A7-AF-10-A-03</t>
  </si>
  <si>
    <t>A7-AD-46-B-03</t>
  </si>
  <si>
    <t>TSARAMCO3PLJED200008101</t>
  </si>
  <si>
    <t>Jazan -آ  Al-sharia Dist. 87511</t>
  </si>
  <si>
    <t>A7-AA-22-B-03</t>
  </si>
  <si>
    <t>A7-AD-45-B-01</t>
  </si>
  <si>
    <t>TSARAMCO3PLJED200008081</t>
  </si>
  <si>
    <t>VAL SYNPOWER DX1 5W30 DR 208 L KSA</t>
  </si>
  <si>
    <t>A7-AB-46-C-01</t>
  </si>
  <si>
    <t>Anas Bin Malik Branch  RIYADH</t>
  </si>
  <si>
    <t>Najeeb Auto Company</t>
  </si>
  <si>
    <t>TSARAMCO3PLJED200008061</t>
  </si>
  <si>
    <t>BR-AAB Jeddah</t>
  </si>
  <si>
    <t>TSARAMCO3PLJED200008041</t>
  </si>
  <si>
    <t>BR-AAH Jeddah</t>
  </si>
  <si>
    <t>VAL SYNPOWER DX1 5W30 12/1 L SW KSA</t>
  </si>
  <si>
    <t>A7-AC-41-D-01</t>
  </si>
  <si>
    <t>TSARAMCO3PLJED200008021</t>
  </si>
  <si>
    <t>BR-0124 Riyadh</t>
  </si>
  <si>
    <t>TSARAMCO3PLJED200008001</t>
  </si>
  <si>
    <t>A7-AA-32-B-03</t>
  </si>
  <si>
    <t>61-1-KHB-LEA-Akrabiya-1380</t>
  </si>
  <si>
    <t>TSARAMCO3PLJED200007981</t>
  </si>
  <si>
    <t>A7-AF-43-B-03</t>
  </si>
  <si>
    <t>63-1-ABQ-LEA-Ind.City-1384</t>
  </si>
  <si>
    <t>TSARAMCO3PLJED200007961</t>
  </si>
  <si>
    <t>63-7-HAS-LEA-Ind.City-1383</t>
  </si>
  <si>
    <t>A7-AF-43-B-01</t>
  </si>
  <si>
    <t>A7-AF-42-A-01</t>
  </si>
  <si>
    <t>TSARAMCO3PLJED200007941</t>
  </si>
  <si>
    <t>A7-AE-12-A-03</t>
  </si>
  <si>
    <t>A7-AA-30-C-03</t>
  </si>
  <si>
    <t>TSARAMCO3PLJED200007921</t>
  </si>
  <si>
    <t>70-1-ABH-LEA-Abha-1712</t>
  </si>
  <si>
    <t>A7-AE-29-C-03</t>
  </si>
  <si>
    <t>TSARAMCO3PLJED200007901</t>
  </si>
  <si>
    <t>70-4-JIZ-LEA-Ind.Area-1713</t>
  </si>
  <si>
    <t>A7-AC-26-B-03</t>
  </si>
  <si>
    <t>TSARAMCO3PLJED200007881</t>
  </si>
  <si>
    <t>Ras ظگAlsheikh Hamid</t>
  </si>
  <si>
    <t>A7-AE-12-A-01</t>
  </si>
  <si>
    <t>TSARAMCO3PLJED200007861</t>
  </si>
  <si>
    <t>A7-AC-19-B-01</t>
  </si>
  <si>
    <t>TSARAMCO3PLJED200007841</t>
  </si>
  <si>
    <t>BR-83 Jeddah</t>
  </si>
  <si>
    <t>TSARAMCO3PLJED200007821</t>
  </si>
  <si>
    <t>VAL DT TRANSMISSION 50 DR 208 L KSA</t>
  </si>
  <si>
    <t>A7-AE-41-B-03</t>
  </si>
  <si>
    <t>Jeddah Central Warehouse</t>
  </si>
  <si>
    <t>A7-AD-39-B-03</t>
  </si>
  <si>
    <t>A7-AC-10-B-03</t>
  </si>
  <si>
    <t>ALL FLEET SUPERIOR LE 15W40 DR 208 L KSA</t>
  </si>
  <si>
    <t>TSARAMCO3PLJED200007801</t>
  </si>
  <si>
    <t>A7-AD-02-D-03</t>
  </si>
  <si>
    <t>A7-AD-02-D-01</t>
  </si>
  <si>
    <t>TSARAMCO3PLJED200007781</t>
  </si>
  <si>
    <t>Tabuk HCV</t>
  </si>
  <si>
    <t>TSARAMCO3PLJED200007761</t>
  </si>
  <si>
    <t>Jeddah Samer 4B</t>
  </si>
  <si>
    <t>TSARAMCO3PLJED200007741</t>
  </si>
  <si>
    <t>Jeddah HCV</t>
  </si>
  <si>
    <t>TSARAMCO3PLJED200007721</t>
  </si>
  <si>
    <t>Jubail</t>
  </si>
  <si>
    <t>Ali Abdullah Saleh Alayed and sons Compa</t>
  </si>
  <si>
    <t>TSARAMCO3PLJED200007701</t>
  </si>
  <si>
    <t>TSARAMCO3PLJED200007681</t>
  </si>
  <si>
    <t>Location Madinah Manwrah</t>
  </si>
  <si>
    <t>Brent Kham Trading.Co</t>
  </si>
  <si>
    <t>TSARAMCO3PLJED200007621</t>
  </si>
  <si>
    <t>A7-AC-37-D-03</t>
  </si>
  <si>
    <t>JED4-Jeddah</t>
  </si>
  <si>
    <t>TSARAMCO3PLJED200007661</t>
  </si>
  <si>
    <t>Tabuk</t>
  </si>
  <si>
    <t>A7-AC-39-D-03</t>
  </si>
  <si>
    <t>TSARAMCO3PLJED200007641</t>
  </si>
  <si>
    <t>A7-AC-39-D-01</t>
  </si>
  <si>
    <t>CPD Jeddah</t>
  </si>
  <si>
    <t>A7-AC-41-D-03</t>
  </si>
  <si>
    <t>TSARAMCO3PLJED200007601</t>
  </si>
  <si>
    <t>TSARAMCO3PLJED200007581</t>
  </si>
  <si>
    <t>TSARAMCO3PLJED200007561</t>
  </si>
  <si>
    <t>Taif</t>
  </si>
  <si>
    <t>TSARAMCO3PLJED200007541</t>
  </si>
  <si>
    <t>A7-AC-33-D-03</t>
  </si>
  <si>
    <t>TSARAMCO3PLJED200007521</t>
  </si>
  <si>
    <t>AL MANAR DAMMAM</t>
  </si>
  <si>
    <t>TSARAMCO3PLJED200007481</t>
  </si>
  <si>
    <t>Jeddah - Hongqi 1213</t>
  </si>
  <si>
    <t>A7-AB-43-C-03</t>
  </si>
  <si>
    <t>TSARAMCO3PLJED200007441</t>
  </si>
  <si>
    <t>TSARAMCO3PLJED200007241</t>
  </si>
  <si>
    <t>A7-AF-18-D-03</t>
  </si>
  <si>
    <t>TSARAMCO3PLJED200007301</t>
  </si>
  <si>
    <t>TSARAMCO3PLJED200007421</t>
  </si>
  <si>
    <t>VAL ALL FLEET EXTRA 15W40 6/4 L KSA</t>
  </si>
  <si>
    <t>A7-AE-28-D-03</t>
  </si>
  <si>
    <t>TSARAMCO3PLJED200007401</t>
  </si>
  <si>
    <t>Ali Ahmed Saadi Al-Ghamdi Est</t>
  </si>
  <si>
    <t>TSARAMCO3PLJED200007381</t>
  </si>
  <si>
    <t>TSARAMCO3PLJED200007361</t>
  </si>
  <si>
    <t>Jizan</t>
  </si>
  <si>
    <t>Nour Energy company</t>
  </si>
  <si>
    <t>TSARAMCO3PLJED200007341</t>
  </si>
  <si>
    <t>Sharma</t>
  </si>
  <si>
    <t>TSARAMCO3PLJED200007321</t>
  </si>
  <si>
    <t>Red Sea Turaif</t>
  </si>
  <si>
    <t>TSARAMCO3PLJED200007281</t>
  </si>
  <si>
    <t>VAL LIGHT &amp; HD ATF / CVT 12/1 L SW KSA</t>
  </si>
  <si>
    <t>A7-AD-10-D-01</t>
  </si>
  <si>
    <t>A7-AD-08-D-03</t>
  </si>
  <si>
    <t>A7-AE-04-D-03</t>
  </si>
  <si>
    <t>A7-AE-02-D-03</t>
  </si>
  <si>
    <t>A7-AF-20-D-01</t>
  </si>
  <si>
    <t>A7-AF-18-D-01</t>
  </si>
  <si>
    <t>TSARAMCO3PLJED200007201</t>
  </si>
  <si>
    <t>VAL PROFLEET LS PLUS 10W40 208L</t>
  </si>
  <si>
    <t>A7-AA-40-B-01</t>
  </si>
  <si>
    <t>Aljabr Trading Company</t>
  </si>
  <si>
    <t>TSARAMCO3PLJED200007181</t>
  </si>
  <si>
    <t>Jeddah Haraj</t>
  </si>
  <si>
    <t>TSARAMCO3PLJED200007161</t>
  </si>
  <si>
    <t>MOHRKEY - Express Care</t>
  </si>
  <si>
    <t>TSARAMCO3PLJED200007121</t>
  </si>
  <si>
    <t>TSARAMCO3PLJED200007101</t>
  </si>
  <si>
    <t>khamis mushyet</t>
  </si>
  <si>
    <t>TSARAMCO3PLJED200007081</t>
  </si>
  <si>
    <t>BR-85 Hail</t>
  </si>
  <si>
    <t>TSARAMCO3PLJED200007061</t>
  </si>
  <si>
    <t>JAZAN</t>
  </si>
  <si>
    <t>ALTHALATHAH MUHARIKAT COMMERCIAL</t>
  </si>
  <si>
    <t>A7-AE-28-D-01</t>
  </si>
  <si>
    <t>VAL HD GEAR OIL 140 6/4 L KSA</t>
  </si>
  <si>
    <t>A7-AD-06-D-01</t>
  </si>
  <si>
    <t>VAL LIGHT &amp; HD GEAR OIL 90 6/4 L KSA</t>
  </si>
  <si>
    <t>A7-AE-18-D-01</t>
  </si>
  <si>
    <t>TSARAMCO3PLJED200007041</t>
  </si>
  <si>
    <t>BR-84 Taif</t>
  </si>
  <si>
    <t>TSARAMCO3PLJED200007021</t>
  </si>
  <si>
    <t>BR-AAF Jeddah</t>
  </si>
  <si>
    <t>TSARAMCO3PLJED200007001</t>
  </si>
  <si>
    <t>XCMG Trading Company (one Person Company</t>
  </si>
  <si>
    <t>TSARAMCO3PLJED200006981</t>
  </si>
  <si>
    <t>BR-63 Jeddah</t>
  </si>
  <si>
    <t>TSARAMCO3PLJED200006961</t>
  </si>
  <si>
    <t>JEDDAH SOUTH WORKSHOP</t>
  </si>
  <si>
    <t>TSARAMCO3PLJED200006941</t>
  </si>
  <si>
    <t>VAL ALL FLEET PLUS 15W40 6/4 L KS</t>
  </si>
  <si>
    <t>A7-AD-05-D-03</t>
  </si>
  <si>
    <t>HLCO-East</t>
  </si>
  <si>
    <t>TSARAMCO3PLJED200006901</t>
  </si>
  <si>
    <t>Abha 6E</t>
  </si>
  <si>
    <t>TSARAMCO3PLJED200006881</t>
  </si>
  <si>
    <t>Ard Al- Mawarrideen Trading Co.</t>
  </si>
  <si>
    <t>VAL ALL CLIMATE 5W40 12/1 L SW KSA</t>
  </si>
  <si>
    <t>A7-AE-26-D-03</t>
  </si>
  <si>
    <t>TSARAMCO3PLJED200006861</t>
  </si>
  <si>
    <t>A7-AD-35-B-03</t>
  </si>
  <si>
    <t>TSARAMCO3PLJED200006841</t>
  </si>
  <si>
    <t>Tanomah</t>
  </si>
  <si>
    <t>TSARAMCO3PLJED200006821</t>
  </si>
  <si>
    <t>TSARAMCO3PLJED200006781</t>
  </si>
  <si>
    <t>Toruq Al-Jazera</t>
  </si>
  <si>
    <t>TSARAMCO3PLJED200006761</t>
  </si>
  <si>
    <t>TSARAMCO3PLJED200006741</t>
  </si>
  <si>
    <t>BR-92 Khamis Mushait</t>
  </si>
  <si>
    <t>TSARAMCO3PLJED200006721</t>
  </si>
  <si>
    <t>TSARAMCO3PLJED200006701</t>
  </si>
  <si>
    <t>Qassim- Buradah</t>
  </si>
  <si>
    <t>Alamat Aljazeera Trading Company</t>
  </si>
  <si>
    <t>TSARAMCO3PLJED200006681</t>
  </si>
  <si>
    <t>WAREHOUSE   SULAI  RIYADH</t>
  </si>
  <si>
    <t>TSARAMCO3PLJED200006661</t>
  </si>
  <si>
    <t>TSARAMCO3PLJED200006641</t>
  </si>
  <si>
    <t>TSARAMCO3PLJED200006621</t>
  </si>
  <si>
    <t>BR-68 Jeddah</t>
  </si>
  <si>
    <t>TSARAMCO3PLJED200006601</t>
  </si>
  <si>
    <t>BR-20 Qassim</t>
  </si>
  <si>
    <t>A7-AE-22-D-01</t>
  </si>
  <si>
    <t>TSARAMCO3PLJED200006581</t>
  </si>
  <si>
    <t>TSARAMCO3PLJED200006561</t>
  </si>
  <si>
    <t>Shipment Nbr</t>
  </si>
  <si>
    <t>Shipment Type</t>
  </si>
  <si>
    <t>Nbr LPNs</t>
  </si>
  <si>
    <t>Shipped Qty</t>
  </si>
  <si>
    <t>Received Percent</t>
  </si>
  <si>
    <t>Nbr Items</t>
  </si>
  <si>
    <t>Arrival Date</t>
  </si>
  <si>
    <t>Offloading Date</t>
  </si>
  <si>
    <t>First LPN Rcv TS</t>
  </si>
  <si>
    <t>Last LPN Rcv TS</t>
  </si>
  <si>
    <t>Manifest Nbr</t>
  </si>
  <si>
    <t>Ref Nbr</t>
  </si>
  <si>
    <t>Cases Repalletized</t>
  </si>
  <si>
    <t>Extra Wooden Pallets</t>
  </si>
  <si>
    <t>Mod User</t>
  </si>
  <si>
    <t>Custom Date 3</t>
  </si>
  <si>
    <t>RETURN</t>
  </si>
  <si>
    <t>Receiving Complete</t>
  </si>
  <si>
    <t>amahmud</t>
  </si>
  <si>
    <t>STANDARD</t>
  </si>
  <si>
    <t>Verified</t>
  </si>
  <si>
    <t>'-</t>
  </si>
  <si>
    <t>Aug0004</t>
  </si>
  <si>
    <t>Aug0002</t>
  </si>
  <si>
    <t>Aug0001</t>
  </si>
  <si>
    <t>SHARAMCO3PLJED200000101</t>
  </si>
  <si>
    <t>SH1327013</t>
  </si>
  <si>
    <t>SH1326755</t>
  </si>
  <si>
    <t>SH1326648</t>
  </si>
  <si>
    <t>SHARAMCO3PLJED200000081</t>
  </si>
  <si>
    <t>SH1326177</t>
  </si>
  <si>
    <t>SH1326169</t>
  </si>
  <si>
    <t>SH1325633</t>
  </si>
  <si>
    <t>SH1325953</t>
  </si>
  <si>
    <t>SH1325671</t>
  </si>
  <si>
    <t>SH1325617</t>
  </si>
  <si>
    <t>SH1325101</t>
  </si>
  <si>
    <t>SH1324891</t>
  </si>
  <si>
    <t>SH1324862</t>
  </si>
  <si>
    <t>SH1324544</t>
  </si>
  <si>
    <t>SH1324337</t>
  </si>
  <si>
    <t>SH1324298</t>
  </si>
  <si>
    <t>SH1324202</t>
  </si>
  <si>
    <t>SH1324046</t>
  </si>
  <si>
    <t>SH1323976</t>
  </si>
  <si>
    <t>SH1323968</t>
  </si>
  <si>
    <t>SH1323520</t>
  </si>
  <si>
    <t>SH1323446</t>
  </si>
  <si>
    <t>SH1323423</t>
  </si>
  <si>
    <t>SH1323059</t>
  </si>
  <si>
    <t>SH1322631</t>
  </si>
  <si>
    <t>Orig SKU Count</t>
  </si>
  <si>
    <t>Total Orig Ord Qty</t>
  </si>
  <si>
    <t>Ship Date</t>
  </si>
  <si>
    <t>Number Of Cartons</t>
  </si>
  <si>
    <t>Order Type</t>
  </si>
  <si>
    <t>Order Date</t>
  </si>
  <si>
    <t>Customer Email</t>
  </si>
  <si>
    <t>Ship to Name</t>
  </si>
  <si>
    <t>Ship to Address</t>
  </si>
  <si>
    <t>Pallet QTY</t>
  </si>
  <si>
    <t>EA QTY</t>
  </si>
  <si>
    <t>Repalletized</t>
  </si>
  <si>
    <t>Order Shipped Timestamp</t>
  </si>
  <si>
    <t>Customer Address</t>
  </si>
  <si>
    <t>Ship via Ref Code</t>
  </si>
  <si>
    <t>Sales Order Nbr</t>
  </si>
  <si>
    <t>Order Hdr - Custom Field 1</t>
  </si>
  <si>
    <t>Ship to City</t>
  </si>
  <si>
    <t>Ship to ZIP</t>
  </si>
  <si>
    <t>Receiving Date_Time</t>
  </si>
  <si>
    <t>ERP Source Header Reference</t>
  </si>
  <si>
    <t xml:space="preserve">Customer Phone </t>
  </si>
  <si>
    <t>Customer Contact</t>
  </si>
  <si>
    <t>966 503653265</t>
  </si>
  <si>
    <t>fnazar1</t>
  </si>
  <si>
    <t>WTC-GY0054</t>
  </si>
  <si>
    <t>LWTS00221</t>
  </si>
  <si>
    <t>3S3A01195</t>
  </si>
  <si>
    <t>H75059067SA</t>
  </si>
  <si>
    <t>8ET9RAOH</t>
  </si>
  <si>
    <t>5APP02917</t>
  </si>
  <si>
    <t>MLB0802202602</t>
  </si>
  <si>
    <t>MLB0802202603</t>
  </si>
  <si>
    <t>WTC-GY0051</t>
  </si>
  <si>
    <t>LP - 252882</t>
  </si>
  <si>
    <t>055 8794606</t>
  </si>
  <si>
    <t>6XEGO5PA</t>
  </si>
  <si>
    <t>GYWMC-VL009</t>
  </si>
  <si>
    <t>M + 966552848873</t>
  </si>
  <si>
    <t>GYWMC-VL008</t>
  </si>
  <si>
    <t>0531449672 /0562142990</t>
  </si>
  <si>
    <t>1IMOMY5P</t>
  </si>
  <si>
    <t>RW/26/2662</t>
  </si>
  <si>
    <t>PO LP-252531</t>
  </si>
  <si>
    <t>LP - 252762</t>
  </si>
  <si>
    <t>050 7205655</t>
  </si>
  <si>
    <t>ORD64</t>
  </si>
  <si>
    <t>'+966 56 145 4770</t>
  </si>
  <si>
    <t>055 378 1220 - 056 114 6134</t>
  </si>
  <si>
    <t>55 875 7515</t>
  </si>
  <si>
    <t>WTC-RN-VA-049</t>
  </si>
  <si>
    <t>WTC-RN-VA-048</t>
  </si>
  <si>
    <t>053-1292695 057/3189380</t>
  </si>
  <si>
    <t>WTC-RN-VA-047</t>
  </si>
  <si>
    <t>056-1509709</t>
  </si>
  <si>
    <t>LP - 252718</t>
  </si>
  <si>
    <t>054 1875136</t>
  </si>
  <si>
    <t>LP - 252720</t>
  </si>
  <si>
    <t>059 2317652</t>
  </si>
  <si>
    <t>LP - 252721</t>
  </si>
  <si>
    <t>055 0836590</t>
  </si>
  <si>
    <t>LP - 252724</t>
  </si>
  <si>
    <t>LP - 252726</t>
  </si>
  <si>
    <t>050 0364591</t>
  </si>
  <si>
    <t>LP - 252727</t>
  </si>
  <si>
    <t>053 2614593</t>
  </si>
  <si>
    <t>2KOM00115</t>
  </si>
  <si>
    <t>LP - 252641</t>
  </si>
  <si>
    <t>WTC-GY0038</t>
  </si>
  <si>
    <t>8F4DJB2K</t>
  </si>
  <si>
    <t>Mrehman</t>
  </si>
  <si>
    <t>024541-2</t>
  </si>
  <si>
    <t>July 2026/07</t>
  </si>
  <si>
    <t>M 966573135166</t>
  </si>
  <si>
    <t>54 0893725</t>
  </si>
  <si>
    <t>RW/26/2514</t>
  </si>
  <si>
    <t>BKT10375</t>
  </si>
  <si>
    <t>BRQ-2026/PO-100027</t>
  </si>
  <si>
    <t>LP - 252603</t>
  </si>
  <si>
    <t>LP - 252597</t>
  </si>
  <si>
    <t>74QLA6SR</t>
  </si>
  <si>
    <t>43E3BVGA</t>
  </si>
  <si>
    <t>Free off Charge</t>
  </si>
  <si>
    <t>. 0535231125</t>
  </si>
  <si>
    <t>045498/07-2026</t>
  </si>
  <si>
    <t>045497/07-2026</t>
  </si>
  <si>
    <t>045496/07-2026</t>
  </si>
  <si>
    <t>BRQ-2026/PO-100022</t>
  </si>
  <si>
    <t>Mnadeem</t>
  </si>
  <si>
    <t>LP-150726-5819</t>
  </si>
  <si>
    <t>WTC-GY0033</t>
  </si>
  <si>
    <t>WTC-GY0024</t>
  </si>
  <si>
    <t>WTC-GY0028</t>
  </si>
  <si>
    <t>WTC-GY0018</t>
  </si>
  <si>
    <t>BRQ-2026/PO-100023</t>
  </si>
  <si>
    <t>55 174 0997</t>
  </si>
  <si>
    <t>592342322 - 0569879402</t>
  </si>
  <si>
    <t>GYWMC-VL003</t>
  </si>
  <si>
    <t>BRQ-2026/PO-100021</t>
  </si>
  <si>
    <t>JEDAH14062026</t>
  </si>
  <si>
    <t>QPO-127</t>
  </si>
  <si>
    <t>055-204-4115</t>
  </si>
  <si>
    <t>JEDAH18062026</t>
  </si>
  <si>
    <t>WTC-GY0015</t>
  </si>
  <si>
    <t>WTC-GY0016</t>
  </si>
  <si>
    <t>LP - 252447</t>
  </si>
  <si>
    <t>Alyamama company for trading and contract</t>
  </si>
  <si>
    <t>Allocated</t>
  </si>
  <si>
    <t>aaltaf</t>
  </si>
  <si>
    <t>Commercial Specialized Technical Product</t>
  </si>
  <si>
    <t>Q1 Secondary_FOC</t>
  </si>
  <si>
    <t>Khafji</t>
  </si>
  <si>
    <t>Cancelled</t>
  </si>
  <si>
    <t>ydawan</t>
  </si>
  <si>
    <t>055 062 9565</t>
  </si>
  <si>
    <t>Abdulrahman Zayid Al-Muhtib</t>
  </si>
  <si>
    <t>AL-WOOL FOR TRADING EST.</t>
  </si>
  <si>
    <t>Hota Bani Tamim</t>
  </si>
  <si>
    <t>053-305-1586</t>
  </si>
  <si>
    <t>WTC-GY0055</t>
  </si>
  <si>
    <t>BR-80 Riyadh</t>
  </si>
  <si>
    <t>LNRJ00716</t>
  </si>
  <si>
    <t>WTC-GY0053</t>
  </si>
  <si>
    <t>Riyadh ( BR-AAC )</t>
  </si>
  <si>
    <t>ORD  69</t>
  </si>
  <si>
    <t>56 145 4770</t>
  </si>
  <si>
    <t>24839-2</t>
  </si>
  <si>
    <t>WTC-RN-VA-61</t>
  </si>
  <si>
    <t>BR-AAG Khobar</t>
  </si>
  <si>
    <t>057-2534199</t>
  </si>
  <si>
    <t>LP-090826-5891</t>
  </si>
  <si>
    <t>WTC-GY0052</t>
  </si>
  <si>
    <t>BR-536 - Dammam</t>
  </si>
  <si>
    <t>0580670708 - 0530855637</t>
  </si>
  <si>
    <t>3SWH00238</t>
  </si>
  <si>
    <t>0598556306   0542975090</t>
  </si>
  <si>
    <t>MLB0802202601</t>
  </si>
  <si>
    <t>LTCL00192</t>
  </si>
  <si>
    <t>0536911373/ 0501384073</t>
  </si>
  <si>
    <t>DAR ALAKTAEB COMPANY for Trading</t>
  </si>
  <si>
    <t>12_2026</t>
  </si>
  <si>
    <t>2KAU16397</t>
  </si>
  <si>
    <t>Dahran</t>
  </si>
  <si>
    <t>2KOM00160</t>
  </si>
  <si>
    <t>Golden Ambition Auto Service Workshop</t>
  </si>
  <si>
    <t>Hail</t>
  </si>
  <si>
    <t>WTC-GY0049</t>
  </si>
  <si>
    <t>BR-69 Riyadh</t>
  </si>
  <si>
    <t>WTC-GY0047</t>
  </si>
  <si>
    <t>BR-AAA Riyadh</t>
  </si>
  <si>
    <t>0595363716  -0534149172</t>
  </si>
  <si>
    <t>LP-040826-5875</t>
  </si>
  <si>
    <t>11_2026</t>
  </si>
  <si>
    <t>050 437 5088</t>
  </si>
  <si>
    <t>WTC-GY0045</t>
  </si>
  <si>
    <t>BR-67 Riyadh</t>
  </si>
  <si>
    <t>WTC-GY0046</t>
  </si>
  <si>
    <t>RW/26/3227</t>
  </si>
  <si>
    <t>2KAU16360</t>
  </si>
  <si>
    <t>Aldahran</t>
  </si>
  <si>
    <t>Amien 0558746059   Shahid 0578505987</t>
  </si>
  <si>
    <t>Dammam  New CENTRAL WAREHOUSE</t>
  </si>
  <si>
    <t>1628QKCG</t>
  </si>
  <si>
    <t>LP - 252745</t>
  </si>
  <si>
    <t>G-20727</t>
  </si>
  <si>
    <t>LP - 252744</t>
  </si>
  <si>
    <t>CPD Dammam</t>
  </si>
  <si>
    <t>054 9643476</t>
  </si>
  <si>
    <t>Almotwakil Motors Co Limited</t>
  </si>
  <si>
    <t>M-PO-002732</t>
  </si>
  <si>
    <t>Qassim Workshop</t>
  </si>
  <si>
    <t>PMV-02794</t>
  </si>
  <si>
    <t>Qatif - Saihat</t>
  </si>
  <si>
    <t>Sanabel Modern Motors Company</t>
  </si>
  <si>
    <t>Madinah O9</t>
  </si>
  <si>
    <t>WTC-RN-VA-050</t>
  </si>
  <si>
    <t>534066918 - 057-2534199</t>
  </si>
  <si>
    <t>LP - 252722</t>
  </si>
  <si>
    <t>LNRJ00715</t>
  </si>
  <si>
    <t>053 417 5012</t>
  </si>
  <si>
    <t>CSW-00317</t>
  </si>
  <si>
    <t>Dharan</t>
  </si>
  <si>
    <t>2NSR00381</t>
  </si>
  <si>
    <t>BRQ-2026/PO-100029</t>
  </si>
  <si>
    <t>'+966 55 174 0997</t>
  </si>
  <si>
    <t>ARK Contracting Company</t>
  </si>
  <si>
    <t>GECAT LIMITED COMPANY</t>
  </si>
  <si>
    <t>LMCO OIL CHANGE EST.</t>
  </si>
  <si>
    <t>26/07/009424</t>
  </si>
  <si>
    <t>Alhassa/Hufuf</t>
  </si>
  <si>
    <t>Gulf Great Sands Trading Company</t>
  </si>
  <si>
    <t>Nasser Hussain Al- Masaud Trading Est</t>
  </si>
  <si>
    <t>ORD32</t>
  </si>
  <si>
    <t>Almusanadah transportation Co</t>
  </si>
  <si>
    <t>WTC-GY0037</t>
  </si>
  <si>
    <t>BR-33 Riyadh</t>
  </si>
  <si>
    <t>Mohammed Bin Ahmed Bin Abdulrahman Al-Su</t>
  </si>
  <si>
    <t>Al-Zulfi</t>
  </si>
  <si>
    <t>Branch of Kalpataru Projects Internation</t>
  </si>
  <si>
    <t>LP - 252448</t>
  </si>
  <si>
    <t>540797171 - 054 9643476</t>
  </si>
  <si>
    <t>WTC-GY0031</t>
  </si>
  <si>
    <t>BR-69 Khobar</t>
  </si>
  <si>
    <t>WTC-GY0017</t>
  </si>
  <si>
    <t>BRQ-2026/PO-100020</t>
  </si>
  <si>
    <t>Alhassa</t>
  </si>
  <si>
    <t>MASTOURA CONTRACTING CO.LTD</t>
  </si>
  <si>
    <t>Ras Tanoura</t>
  </si>
  <si>
    <t>Golden Oil Trading Company</t>
  </si>
  <si>
    <t>GENERAL RESOURCES TRADING EST</t>
  </si>
  <si>
    <t>G-PO26-27</t>
  </si>
  <si>
    <t>GYWMC-VL004</t>
  </si>
  <si>
    <t>WTC-GY0020</t>
  </si>
  <si>
    <t>WTC-GY0019</t>
  </si>
  <si>
    <t>BR-AAC Riyadh</t>
  </si>
  <si>
    <t>WTC-GY0014</t>
  </si>
  <si>
    <t>3PLKHB</t>
  </si>
  <si>
    <t>1329002019-1</t>
  </si>
  <si>
    <t>SH1326857</t>
  </si>
  <si>
    <t>SH1326629</t>
  </si>
  <si>
    <t>SH1326389</t>
  </si>
  <si>
    <t>SH1326356</t>
  </si>
  <si>
    <t>SH1326932</t>
  </si>
  <si>
    <t>SH1326809</t>
  </si>
  <si>
    <t>SH1326246</t>
  </si>
  <si>
    <t>SH1325945</t>
  </si>
  <si>
    <t>SH1326237</t>
  </si>
  <si>
    <t>SH1325693</t>
  </si>
  <si>
    <t>SH1325589</t>
  </si>
  <si>
    <t>SH1325634</t>
  </si>
  <si>
    <t>SH1325125</t>
  </si>
  <si>
    <t>SH1324893</t>
  </si>
  <si>
    <t>SH1324619</t>
  </si>
  <si>
    <t>SH1324371</t>
  </si>
  <si>
    <t>SH1324373</t>
  </si>
  <si>
    <t>SH1324003</t>
  </si>
  <si>
    <t>SH1323022</t>
  </si>
  <si>
    <t>SH1322270</t>
  </si>
  <si>
    <t>OKMC0000001169</t>
  </si>
  <si>
    <t>VAL LITHIUM GREASE EP3 180 KG</t>
  </si>
  <si>
    <t>FC-PB-16-A-01</t>
  </si>
  <si>
    <t>FA-02-24-B-02</t>
  </si>
  <si>
    <t>FA-02-22-A-02</t>
  </si>
  <si>
    <t>FA-02-03-D-01</t>
  </si>
  <si>
    <t>OKMC0000001168</t>
  </si>
  <si>
    <t>FC-PB-05-D-01</t>
  </si>
  <si>
    <t>TSARAMCO3PLKHB00003302</t>
  </si>
  <si>
    <t>FA-02-02-E-01</t>
  </si>
  <si>
    <t>FA-02-02-D-02</t>
  </si>
  <si>
    <t>FA-01-34-E-02</t>
  </si>
  <si>
    <t>FA-01-34-D-02</t>
  </si>
  <si>
    <t>FA-02-34-F-01</t>
  </si>
  <si>
    <t>FA-02-33-E-01</t>
  </si>
  <si>
    <t>FA-02-32-E-01</t>
  </si>
  <si>
    <t>FA-02-28-E-01</t>
  </si>
  <si>
    <t>FA-02-28-D-02</t>
  </si>
  <si>
    <t>FA-02-26-F-02</t>
  </si>
  <si>
    <t>FA-02-11-F-02</t>
  </si>
  <si>
    <t>FA-02-24-E-01</t>
  </si>
  <si>
    <t>FA-02-22-F-02</t>
  </si>
  <si>
    <t>FA-02-04-G-01</t>
  </si>
  <si>
    <t>FA-02-02-G-01</t>
  </si>
  <si>
    <t>FA-02-02-D-01</t>
  </si>
  <si>
    <t>FA-02-01-E-02</t>
  </si>
  <si>
    <t>FA-01-20-E-01</t>
  </si>
  <si>
    <t>FA-01-19-E-01</t>
  </si>
  <si>
    <t>FA-01-18-D-01</t>
  </si>
  <si>
    <t>FA-01-12-E-02</t>
  </si>
  <si>
    <t>FA-01-07-E-02</t>
  </si>
  <si>
    <t>OKMC0000001183</t>
  </si>
  <si>
    <t>FA-01-04-A-01</t>
  </si>
  <si>
    <t>FA-01-02-C-01</t>
  </si>
  <si>
    <t>FA-01-02-B-02</t>
  </si>
  <si>
    <t>FC-PB-14-A-01</t>
  </si>
  <si>
    <t>FC-PB-04-D-01</t>
  </si>
  <si>
    <t>FA-02-04-A-02</t>
  </si>
  <si>
    <t>FA-02-02-A-01</t>
  </si>
  <si>
    <t>FA-01-15-A-02</t>
  </si>
  <si>
    <t>FA-01-02-A-01</t>
  </si>
  <si>
    <t>FC-PB-13-B-01</t>
  </si>
  <si>
    <t>TSARAMCO3PLKHB00003262</t>
  </si>
  <si>
    <t>FC-PB-23-B-01</t>
  </si>
  <si>
    <t>FC-PB-15-A-01</t>
  </si>
  <si>
    <t>FC-PB-11-A-01</t>
  </si>
  <si>
    <t>FC-PB-08-B-01</t>
  </si>
  <si>
    <t>FC-PB-08-A-01</t>
  </si>
  <si>
    <t>FC-PB-07-B-01</t>
  </si>
  <si>
    <t>OKMC0000001182</t>
  </si>
  <si>
    <t>FA-02-22-F-01</t>
  </si>
  <si>
    <t>FA-02-22-E-01</t>
  </si>
  <si>
    <t>FA-02-19-E-01</t>
  </si>
  <si>
    <t>TSARAMCO3PLKHB00003222</t>
  </si>
  <si>
    <t>FC-PB-12-E-01</t>
  </si>
  <si>
    <t>FC-PB-12-B-01</t>
  </si>
  <si>
    <t>FC-PB-12-A-01</t>
  </si>
  <si>
    <t>FA-02-17-C-01</t>
  </si>
  <si>
    <t>FA-02-01-A-02</t>
  </si>
  <si>
    <t>FA-01-20-C-01</t>
  </si>
  <si>
    <t>TSARAMCO3PLKHB00003162</t>
  </si>
  <si>
    <t>FA-02-34-G-02</t>
  </si>
  <si>
    <t>FA-02-34-G-01</t>
  </si>
  <si>
    <t>FA-02-28-G-02</t>
  </si>
  <si>
    <t>FA-02-04-E-02</t>
  </si>
  <si>
    <t>FA-02-04-E-01</t>
  </si>
  <si>
    <t>FA-02-32-G-02</t>
  </si>
  <si>
    <t>FA-02-30-G-02</t>
  </si>
  <si>
    <t>FA-02-30-G-01</t>
  </si>
  <si>
    <t>TSARAMCO3PLKHB00003124</t>
  </si>
  <si>
    <t>FA-01-33-C-01</t>
  </si>
  <si>
    <t>TSARAMCO3PLKHB00003123</t>
  </si>
  <si>
    <t>FA-02-17-E-02</t>
  </si>
  <si>
    <t>TSARAMCO3PLKHB00003122</t>
  </si>
  <si>
    <t>FC-PB-10-B-01</t>
  </si>
  <si>
    <t>TSARAMCO3PLKHB00003121</t>
  </si>
  <si>
    <t>VAL ALL FLEET 15W40 6/4 L KSA</t>
  </si>
  <si>
    <t>FA-02-12-E-02</t>
  </si>
  <si>
    <t>FA-01-30-F-02</t>
  </si>
  <si>
    <t>FA-01-10-F-01</t>
  </si>
  <si>
    <t>OKMC0000001126</t>
  </si>
  <si>
    <t>VAL RESTORE &amp; PROT FS 5W30 12/1 L KSA</t>
  </si>
  <si>
    <t>FA-02-06-F-01</t>
  </si>
  <si>
    <t>OKMC0000001163</t>
  </si>
  <si>
    <t>FA-02-03-F-02</t>
  </si>
  <si>
    <t>FA-02-03-E-02</t>
  </si>
  <si>
    <t>FA-02-01-F-02</t>
  </si>
  <si>
    <t>FA-02-01-E-01</t>
  </si>
  <si>
    <t>FA-01-06-G-01</t>
  </si>
  <si>
    <t>FA-01-02-F-01</t>
  </si>
  <si>
    <t>OKMC0000001162</t>
  </si>
  <si>
    <t>OKMC0000001161</t>
  </si>
  <si>
    <t>OKMC0000001142</t>
  </si>
  <si>
    <t>VAL SYNPOWER MST C3 5W30 DR 208 L KSA</t>
  </si>
  <si>
    <t>FA-02-32-A-02</t>
  </si>
  <si>
    <t>OKMC0000001141</t>
  </si>
  <si>
    <t>FC-PB-20-A-01</t>
  </si>
  <si>
    <t>OKMC0000001143</t>
  </si>
  <si>
    <t>FC-PB-13-A-01</t>
  </si>
  <si>
    <t>FA-02-20-C-01</t>
  </si>
  <si>
    <t>LIGHT &amp; HD AXLE OIL 80W90 DR 208 L KSA</t>
  </si>
  <si>
    <t>FA-02-01-B-01</t>
  </si>
  <si>
    <t>FA-01-01-C-01</t>
  </si>
  <si>
    <t>OKMC0000001124</t>
  </si>
  <si>
    <t>FC-PB-06-C-01</t>
  </si>
  <si>
    <t>OKMC0000001122</t>
  </si>
  <si>
    <t>FA-02-03-A-02</t>
  </si>
  <si>
    <t>FA-02-08-B-01</t>
  </si>
  <si>
    <t>OKMC0000001123</t>
  </si>
  <si>
    <t>VAL EPG 220 PL 20 L KSA</t>
  </si>
  <si>
    <t>FA-01-18-C-01</t>
  </si>
  <si>
    <t>OKMC0000001121</t>
  </si>
  <si>
    <t>OKMC0000001128</t>
  </si>
  <si>
    <t>FA-02-06-G-02</t>
  </si>
  <si>
    <t>FA-02-04-G-02</t>
  </si>
  <si>
    <t>FA-02-04-F-02</t>
  </si>
  <si>
    <t>OKMC0000001130</t>
  </si>
  <si>
    <t>OKMC0000001129</t>
  </si>
  <si>
    <t>FA-02-32-D-02</t>
  </si>
  <si>
    <t>FA-02-22-D-01</t>
  </si>
  <si>
    <t>OKMC0000001088</t>
  </si>
  <si>
    <t>OKMC0000001127</t>
  </si>
  <si>
    <t>FC-PB-06-B-01</t>
  </si>
  <si>
    <t>FC-PB-05-A-01</t>
  </si>
  <si>
    <t>OKMC0000001089</t>
  </si>
  <si>
    <t>OKMC0000001090</t>
  </si>
  <si>
    <t>OKMC0000001091</t>
  </si>
  <si>
    <t>FA-01-21-A-01</t>
  </si>
  <si>
    <t>OKMC0000001101</t>
  </si>
  <si>
    <t>FA-01-31-A-01</t>
  </si>
  <si>
    <t>FA-01-25-A-02</t>
  </si>
  <si>
    <t>FA-01-25-A-01</t>
  </si>
  <si>
    <t>OKMC0000001102</t>
  </si>
  <si>
    <t>FA-02-20-D-02</t>
  </si>
  <si>
    <t>OKMC0000001087</t>
  </si>
  <si>
    <t>FA-01-14-B-01</t>
  </si>
  <si>
    <t>VAL HLP 32 DR 208 L KSA</t>
  </si>
  <si>
    <t>FA-02-19-B-02</t>
  </si>
  <si>
    <t>FA-01-07-A-02</t>
  </si>
  <si>
    <t>OKMC0000001103</t>
  </si>
  <si>
    <t>FA-02-11-C-01</t>
  </si>
  <si>
    <t>FA-02-22-B-02</t>
  </si>
  <si>
    <t>FA-02-19-A-02</t>
  </si>
  <si>
    <t>FA-01-21-C-01</t>
  </si>
  <si>
    <t>FA-01-06-A-01</t>
  </si>
  <si>
    <t>FA-01-06-F-01</t>
  </si>
  <si>
    <t>FA-01-25-E-01</t>
  </si>
  <si>
    <t>FA-01-05-E-01</t>
  </si>
  <si>
    <t>FA-01-04-F-02</t>
  </si>
  <si>
    <t>FA-01-02-F-02</t>
  </si>
  <si>
    <t>FA-02-34-F-02</t>
  </si>
  <si>
    <t>FA-02-34-D-01</t>
  </si>
  <si>
    <t>FA-02-32-E-02</t>
  </si>
  <si>
    <t>OKMC0000001104</t>
  </si>
  <si>
    <t>FC-PB-03-B-01</t>
  </si>
  <si>
    <t>FC-PB-02-B-01</t>
  </si>
  <si>
    <t>VAL ULTRAMAX PRO HLP 46 DR 208 L KSA</t>
  </si>
  <si>
    <t>FC-PB-09-B-01</t>
  </si>
  <si>
    <t>FA-02-34-A-01</t>
  </si>
  <si>
    <t>FA-02-28-A-02</t>
  </si>
  <si>
    <t>FA-02-22-B-01</t>
  </si>
  <si>
    <t>FA-01-31-B-01</t>
  </si>
  <si>
    <t>FA-01-22-B-02</t>
  </si>
  <si>
    <t>FA-01-13-A-01</t>
  </si>
  <si>
    <t>FA-01-10-B-02</t>
  </si>
  <si>
    <t>FC-PB-08-C-01</t>
  </si>
  <si>
    <t>FA-02-33-A-01</t>
  </si>
  <si>
    <t>FA-02-31-A-02</t>
  </si>
  <si>
    <t>FA-02-31-A-01</t>
  </si>
  <si>
    <t>FA-02-29-A-01</t>
  </si>
  <si>
    <t>FA-02-27-A-02</t>
  </si>
  <si>
    <t>FA-02-27-A-01</t>
  </si>
  <si>
    <t>FA-02-25-A-01</t>
  </si>
  <si>
    <t>FA-02-03-A-01</t>
  </si>
  <si>
    <t>FA-01-28-B-01</t>
  </si>
  <si>
    <t>OKMC0000001086</t>
  </si>
  <si>
    <t>FA-02-05-F-01</t>
  </si>
  <si>
    <t>OKMC0000001081</t>
  </si>
  <si>
    <t>OKMC0000001082</t>
  </si>
  <si>
    <t>FA-01-06-E-01</t>
  </si>
  <si>
    <t>OKMC0000001083</t>
  </si>
  <si>
    <t>FA-01-04-B-02</t>
  </si>
  <si>
    <t>OKMC0000001084</t>
  </si>
  <si>
    <t>FA-02-18-F-01</t>
  </si>
  <si>
    <t>FA-02-16-F-01</t>
  </si>
  <si>
    <t>FA-02-06-D-02</t>
  </si>
  <si>
    <t>FA-02-05-D-02</t>
  </si>
  <si>
    <t>FA-02-04-D-02</t>
  </si>
  <si>
    <t>FA-02-04-D-01</t>
  </si>
  <si>
    <t>FA-02-03-E-01</t>
  </si>
  <si>
    <t>FA-02-01-D-01</t>
  </si>
  <si>
    <t>FA-01-34-E-01</t>
  </si>
  <si>
    <t>FA-01-34-D-01</t>
  </si>
  <si>
    <t>FA-01-32-E-02</t>
  </si>
  <si>
    <t>FA-01-32-E-01</t>
  </si>
  <si>
    <t>FA-01-32-D-02</t>
  </si>
  <si>
    <t>FA-01-32-D-01</t>
  </si>
  <si>
    <t>FA-01-30-E-02</t>
  </si>
  <si>
    <t>FA-01-30-E-01</t>
  </si>
  <si>
    <t>FA-01-30-D-02</t>
  </si>
  <si>
    <t>FA-01-30-D-01</t>
  </si>
  <si>
    <t>OKMC0000001085</t>
  </si>
  <si>
    <t>FA-02-30-F-01</t>
  </si>
  <si>
    <t>FA-02-20-E-01</t>
  </si>
  <si>
    <t>FA-02-32-F-02</t>
  </si>
  <si>
    <t>FA-02-32-F-01</t>
  </si>
  <si>
    <t>FA-02-28-F-01</t>
  </si>
  <si>
    <t>FA-02-26-F-01</t>
  </si>
  <si>
    <t>FA-02-26-E-01</t>
  </si>
  <si>
    <t>FA-02-24-F-01</t>
  </si>
  <si>
    <t>FA-02-18-E-01</t>
  </si>
  <si>
    <t>FA-02-12-F-02</t>
  </si>
  <si>
    <t>FA-02-10-F-02</t>
  </si>
  <si>
    <t>FA-02-03-F-01</t>
  </si>
  <si>
    <t>FA-02-01-F-01</t>
  </si>
  <si>
    <t>FA-01-27-E-01</t>
  </si>
  <si>
    <t>FA-01-25-E-02</t>
  </si>
  <si>
    <t>FA-02-20-E-02</t>
  </si>
  <si>
    <t>FA-02-18-E-02</t>
  </si>
  <si>
    <t>FA-02-16-F-02</t>
  </si>
  <si>
    <t>FA-02-16-E-02</t>
  </si>
  <si>
    <t>FA-02-16-E-01</t>
  </si>
  <si>
    <t>FA-02-14-F-02</t>
  </si>
  <si>
    <t>FA-02-10-G-02</t>
  </si>
  <si>
    <t>OKMC0000001061</t>
  </si>
  <si>
    <t>VAL HD AXLE OIL 85W90 DR 208 L KSA</t>
  </si>
  <si>
    <t>FC-PB-22-C-01</t>
  </si>
  <si>
    <t>OKMC0000001062</t>
  </si>
  <si>
    <t>OKMC0000001063</t>
  </si>
  <si>
    <t>FA-01-20-A-02</t>
  </si>
  <si>
    <t>FA-01-14-A-02</t>
  </si>
  <si>
    <t>FA-02-27-C-01</t>
  </si>
  <si>
    <t>OKMC0000001064</t>
  </si>
  <si>
    <t>OKMC0000001065</t>
  </si>
  <si>
    <t>FA-01-10-B-01</t>
  </si>
  <si>
    <t>OKMC0000001066</t>
  </si>
  <si>
    <t>OKMC0000001067</t>
  </si>
  <si>
    <t>OKMC0000001068</t>
  </si>
  <si>
    <t>FC-PB-11-B-01</t>
  </si>
  <si>
    <t>OKMC0000001069</t>
  </si>
  <si>
    <t>FA-02-08-F-02</t>
  </si>
  <si>
    <t>FA-02-06-E-02</t>
  </si>
  <si>
    <t>FA-02-05-E-02</t>
  </si>
  <si>
    <t>FA-02-05-E-01</t>
  </si>
  <si>
    <t>FA-01-28-E-02</t>
  </si>
  <si>
    <t>FA-01-16-F-02</t>
  </si>
  <si>
    <t>FA-01-15-E-02</t>
  </si>
  <si>
    <t>FA-01-05-E-02</t>
  </si>
  <si>
    <t>FA-01-01-E-02</t>
  </si>
  <si>
    <t>FA-02-08-E-02</t>
  </si>
  <si>
    <t>FA-01-20-F-01</t>
  </si>
  <si>
    <t>FA-01-18-F-02</t>
  </si>
  <si>
    <t>FA-02-28-G-01</t>
  </si>
  <si>
    <t>OKMC0000001070</t>
  </si>
  <si>
    <t>FC-PB-02-C-01</t>
  </si>
  <si>
    <t>OKMC0000001041</t>
  </si>
  <si>
    <t>FA-01-12-C-02</t>
  </si>
  <si>
    <t>FC-PB-23-C-01</t>
  </si>
  <si>
    <t>FC-PB-06-A-01</t>
  </si>
  <si>
    <t>FC-PB-05-C-01</t>
  </si>
  <si>
    <t>OKMC0000001021</t>
  </si>
  <si>
    <t>OKMC0000001022</t>
  </si>
  <si>
    <t>FA-01-01-E-01</t>
  </si>
  <si>
    <t>OKMC0000001023</t>
  </si>
  <si>
    <t>OKMC0000000825</t>
  </si>
  <si>
    <t>FA-01-26-A-01</t>
  </si>
  <si>
    <t>FA-01-24-A-02</t>
  </si>
  <si>
    <t>FA-01-24-A-01</t>
  </si>
  <si>
    <t>FA-01-22-A-02</t>
  </si>
  <si>
    <t>FA-01-22-A-01</t>
  </si>
  <si>
    <t>FA-01-20-A-01</t>
  </si>
  <si>
    <t>FA-01-19-A-02</t>
  </si>
  <si>
    <t>FA-01-19-A-01</t>
  </si>
  <si>
    <t>FA-01-18-A-02</t>
  </si>
  <si>
    <t>FA-01-16-A-02</t>
  </si>
  <si>
    <t>FA-01-15-C-02</t>
  </si>
  <si>
    <t>FA-01-14-A-01</t>
  </si>
  <si>
    <t>FA-01-13-C-02</t>
  </si>
  <si>
    <t>FA-01-12-A-02</t>
  </si>
  <si>
    <t>FA-01-12-A-01</t>
  </si>
  <si>
    <t>FA-01-10-A-02</t>
  </si>
  <si>
    <t>FA-01-10-A-01</t>
  </si>
  <si>
    <t>FC-PB-03-A-01</t>
  </si>
  <si>
    <t>FA-02-30-C-02</t>
  </si>
  <si>
    <t>OKMC0000000826</t>
  </si>
  <si>
    <t>OKMC0000001001</t>
  </si>
  <si>
    <t>FA-01-12-C-01</t>
  </si>
  <si>
    <t>FA-01-10-C-01</t>
  </si>
  <si>
    <t>FA-01-07-B-02</t>
  </si>
  <si>
    <t>FA-01-07-B-01</t>
  </si>
  <si>
    <t>FA-01-05-B-02</t>
  </si>
  <si>
    <t>FA-02-19-A-01</t>
  </si>
  <si>
    <t>FA-02-14-B-02</t>
  </si>
  <si>
    <t>FA-02-11-B-01</t>
  </si>
  <si>
    <t>FA-02-06-B-02</t>
  </si>
  <si>
    <t>FA-01-30-C-01</t>
  </si>
  <si>
    <t>FA-01-26-C-02</t>
  </si>
  <si>
    <t>FA-01-21-C-02</t>
  </si>
  <si>
    <t>FA-01-18-C-02</t>
  </si>
  <si>
    <t>OKMC0000000828</t>
  </si>
  <si>
    <t>FC-PB-13-C-01</t>
  </si>
  <si>
    <t>FA-02-01-G-02</t>
  </si>
  <si>
    <t>OKMC0000000981</t>
  </si>
  <si>
    <t>FA-01-16-B-01</t>
  </si>
  <si>
    <t>FA-01-14-C-02</t>
  </si>
  <si>
    <t>FA-01-13-B-02</t>
  </si>
  <si>
    <t>FA-01-12-B-01</t>
  </si>
  <si>
    <t>FA-01-10-C-02</t>
  </si>
  <si>
    <t>FC-PB-04-C-01</t>
  </si>
  <si>
    <t>FC-PB-03-C-01</t>
  </si>
  <si>
    <t>OKMC0000000962</t>
  </si>
  <si>
    <t>FA-02-16-G-01</t>
  </si>
  <si>
    <t>OKMC0000000961</t>
  </si>
  <si>
    <t>OKMC0000000944</t>
  </si>
  <si>
    <t>FA-01-02-A-02</t>
  </si>
  <si>
    <t>OKMC0000000946</t>
  </si>
  <si>
    <t>FA-02-34-A-02</t>
  </si>
  <si>
    <t>FC-PB-14-C-01</t>
  </si>
  <si>
    <t>FA-02-33-A-02</t>
  </si>
  <si>
    <t>OKMC0000000947</t>
  </si>
  <si>
    <t>FA-02-05-A-02</t>
  </si>
  <si>
    <t>FA-02-05-A-01</t>
  </si>
  <si>
    <t>FA-02-01-D-02</t>
  </si>
  <si>
    <t>OKMC0000000948</t>
  </si>
  <si>
    <t>OKMC0000000943</t>
  </si>
  <si>
    <t>FA-02-01-A-01</t>
  </si>
  <si>
    <t>OKMC0000000949</t>
  </si>
  <si>
    <t>OKMC0000000942</t>
  </si>
  <si>
    <t>FA-02-05-D-01</t>
  </si>
  <si>
    <t>FA-01-28-E-01</t>
  </si>
  <si>
    <t>FA-01-28-D-02</t>
  </si>
  <si>
    <t>FA-01-28-D-01</t>
  </si>
  <si>
    <t>FA-01-26-E-02</t>
  </si>
  <si>
    <t>FA-01-03-D-02</t>
  </si>
  <si>
    <t>OKMC0000000941</t>
  </si>
  <si>
    <t>OKMC0000000950</t>
  </si>
  <si>
    <t>FA-02-29-A-02</t>
  </si>
  <si>
    <t>FA-02-25-A-02</t>
  </si>
  <si>
    <t>FA-02-23-A-02</t>
  </si>
  <si>
    <t>FA-02-22-C-02</t>
  </si>
  <si>
    <t>FA-01-22-B-01</t>
  </si>
  <si>
    <t>FA-01-18-B-02</t>
  </si>
  <si>
    <t>FA-01-17-A-02</t>
  </si>
  <si>
    <t>FA-01-16-C-01</t>
  </si>
  <si>
    <t>FA-02-24-C-01</t>
  </si>
  <si>
    <t>FA-01-06-D-01</t>
  </si>
  <si>
    <t>FA-01-06-A-02</t>
  </si>
  <si>
    <t>FA-01-04-C-01</t>
  </si>
  <si>
    <t>FA-01-04-A-02</t>
  </si>
  <si>
    <t>FC-PB-01-B-01</t>
  </si>
  <si>
    <t>FA-02-34-C-01</t>
  </si>
  <si>
    <t>FC-PB-22-B-01</t>
  </si>
  <si>
    <t>OKMC0000000922</t>
  </si>
  <si>
    <t>FA-02-12-G-01</t>
  </si>
  <si>
    <t>FA-02-02-F-01</t>
  </si>
  <si>
    <t>OKMC0000000923</t>
  </si>
  <si>
    <t>FA-01-06-F-02</t>
  </si>
  <si>
    <t>OKMC0000000904</t>
  </si>
  <si>
    <t>FA-02-32-D-01</t>
  </si>
  <si>
    <t>FA-01-04-E-01</t>
  </si>
  <si>
    <t>OKMC0000000903</t>
  </si>
  <si>
    <t>FA-02-30-E-01</t>
  </si>
  <si>
    <t>FA-02-26-D-02</t>
  </si>
  <si>
    <t>OKMC0000000902</t>
  </si>
  <si>
    <t>VAL TURBINE OIL PRO 46 EP DR 208L KS</t>
  </si>
  <si>
    <t>FA-01-15-C-01</t>
  </si>
  <si>
    <t>FC-PB-10-A-01</t>
  </si>
  <si>
    <t>FC-PB-09-A-01</t>
  </si>
  <si>
    <t>OKMC0000000901</t>
  </si>
  <si>
    <t>VAL ALL FLEET PLUS 20W50 6/5 L KSA</t>
  </si>
  <si>
    <t>FA-02-21-E-01</t>
  </si>
  <si>
    <t>FA-02-17-E-01</t>
  </si>
  <si>
    <t>FA-02-03-D-02</t>
  </si>
  <si>
    <t>FA-02-02-E-02</t>
  </si>
  <si>
    <t>FA-01-26-E-01</t>
  </si>
  <si>
    <t>FA-01-24-E-02</t>
  </si>
  <si>
    <t>FA-01-24-E-01</t>
  </si>
  <si>
    <t>FA-01-22-E-02</t>
  </si>
  <si>
    <t>FA-01-32-F-01</t>
  </si>
  <si>
    <t>OKMC0000000885</t>
  </si>
  <si>
    <t>FA-01-04-F-01</t>
  </si>
  <si>
    <t>FA-02-30-F-02</t>
  </si>
  <si>
    <t>FA-02-28-F-02</t>
  </si>
  <si>
    <t>FA-02-28-E-02</t>
  </si>
  <si>
    <t>FA-02-26-E-02</t>
  </si>
  <si>
    <t>FA-02-24-F-02</t>
  </si>
  <si>
    <t>FA-02-24-E-02</t>
  </si>
  <si>
    <t>FA-01-29-E-02</t>
  </si>
  <si>
    <t>FA-01-27-E-02</t>
  </si>
  <si>
    <t>FA-01-12-D-01</t>
  </si>
  <si>
    <t>FA-01-06-E-02</t>
  </si>
  <si>
    <t>FA-02-33-D-01</t>
  </si>
  <si>
    <t>FA-02-31-E-02</t>
  </si>
  <si>
    <t>FA-02-31-E-01</t>
  </si>
  <si>
    <t>FA-02-31-D-02</t>
  </si>
  <si>
    <t>OKMC0000000881</t>
  </si>
  <si>
    <t>FA-02-17-D-02</t>
  </si>
  <si>
    <t>FA-02-17-D-01</t>
  </si>
  <si>
    <t>VAL ALL FLEET PLUS 20W50 6/4 L KSA</t>
  </si>
  <si>
    <t>FA-02-24-G-02</t>
  </si>
  <si>
    <t>FA-02-22-G-02</t>
  </si>
  <si>
    <t>FA-02-25-E-02</t>
  </si>
  <si>
    <t>OKMC0000000882</t>
  </si>
  <si>
    <t>FA-02-26-D-01</t>
  </si>
  <si>
    <t>OKMC0000000883</t>
  </si>
  <si>
    <t>FA-02-24-D-02</t>
  </si>
  <si>
    <t>OKMC0000000884</t>
  </si>
  <si>
    <t>FA-02-24-D-01</t>
  </si>
  <si>
    <t>OKMC0000000747</t>
  </si>
  <si>
    <t>FA-02-22-E-02</t>
  </si>
  <si>
    <t>OKMC0000000746</t>
  </si>
  <si>
    <t>OKMC0000000745</t>
  </si>
  <si>
    <t>FA-01-20-D-02</t>
  </si>
  <si>
    <t>FA-01-11-D-02</t>
  </si>
  <si>
    <t>KRMC00008787</t>
  </si>
  <si>
    <t>KRMC00008788</t>
  </si>
  <si>
    <t>KRMC00008799</t>
  </si>
  <si>
    <t>KRMC00008797</t>
  </si>
  <si>
    <t>KRMC00008800</t>
  </si>
  <si>
    <t>KRMC00008801</t>
  </si>
  <si>
    <t>KRMC00008796</t>
  </si>
  <si>
    <t>KRMC00008786</t>
  </si>
  <si>
    <t>KRMC00008794</t>
  </si>
  <si>
    <t>KRMC00008798</t>
  </si>
  <si>
    <t>KRMC00008795</t>
  </si>
  <si>
    <t>KRMC00008784</t>
  </si>
  <si>
    <t>KRMC00008783</t>
  </si>
  <si>
    <t>KRMC00008792</t>
  </si>
  <si>
    <t>KRMC00008791</t>
  </si>
  <si>
    <t>KRMC00008780</t>
  </si>
  <si>
    <t>KRMC00008778</t>
  </si>
  <si>
    <t>KRMC00008790</t>
  </si>
  <si>
    <t>KRMC00008789</t>
  </si>
  <si>
    <t>KRMC00008782</t>
  </si>
  <si>
    <t>KRMC00008785</t>
  </si>
  <si>
    <t>KRMC00008793</t>
  </si>
  <si>
    <t>KRMC00008781</t>
  </si>
  <si>
    <t>KRMC00008779</t>
  </si>
  <si>
    <t>KRMC00008541</t>
  </si>
  <si>
    <t>KRMC00008542</t>
  </si>
  <si>
    <t>KRMC00008543</t>
  </si>
  <si>
    <t>KRMC00008544</t>
  </si>
  <si>
    <t>KRMC00008545</t>
  </si>
  <si>
    <t>KRMC00008546</t>
  </si>
  <si>
    <t>FA-01-04-E-02</t>
  </si>
  <si>
    <t>KRMC00008547</t>
  </si>
  <si>
    <t>KRMC00008548</t>
  </si>
  <si>
    <t>FA-01-02-E-01</t>
  </si>
  <si>
    <t>KRMC00008549</t>
  </si>
  <si>
    <t>FA-01-02-E-02</t>
  </si>
  <si>
    <t>KRMC00008550</t>
  </si>
  <si>
    <t>KRMC00008551</t>
  </si>
  <si>
    <t>FA-02-30-D-01</t>
  </si>
  <si>
    <t>KRMC00008552</t>
  </si>
  <si>
    <t>KRMC00008553</t>
  </si>
  <si>
    <t>FA-02-30-D-02</t>
  </si>
  <si>
    <t>KRMC00008554</t>
  </si>
  <si>
    <t>KRMC00008556</t>
  </si>
  <si>
    <t>FA-02-34-D-02</t>
  </si>
  <si>
    <t>KRMC00007162</t>
  </si>
  <si>
    <t>FA-01-03-E-01</t>
  </si>
  <si>
    <t>FA-01-03-D-01</t>
  </si>
  <si>
    <t>KRMC00007161</t>
  </si>
  <si>
    <t>KRMC00007163</t>
  </si>
  <si>
    <t>KRMC00007164</t>
  </si>
  <si>
    <t>FA-01-07-D-01</t>
  </si>
  <si>
    <t>KRMC00007165</t>
  </si>
  <si>
    <t>FA-01-01-D-02</t>
  </si>
  <si>
    <t>KRMC00007166</t>
  </si>
  <si>
    <t>FA-01-01-D-01</t>
  </si>
  <si>
    <t>KRMC00007167</t>
  </si>
  <si>
    <t>KRMC00009018</t>
  </si>
  <si>
    <t>KRMC00009019</t>
  </si>
  <si>
    <t>KRMC00009020</t>
  </si>
  <si>
    <t>KRMC00007176</t>
  </si>
  <si>
    <t>KRMC00007178</t>
  </si>
  <si>
    <t>KRMC00009199</t>
  </si>
  <si>
    <t>FA-02-34-E-02</t>
  </si>
  <si>
    <t>KRMC00009225</t>
  </si>
  <si>
    <t>FA-02-33-E-02</t>
  </si>
  <si>
    <t>KRMC00009224</t>
  </si>
  <si>
    <t>KRMC00009223</t>
  </si>
  <si>
    <t>KRMC00009222</t>
  </si>
  <si>
    <t>FA-02-29-E-01</t>
  </si>
  <si>
    <t>KRMC00009220</t>
  </si>
  <si>
    <t>FA-02-27-E-01</t>
  </si>
  <si>
    <t>KRMC00009219</t>
  </si>
  <si>
    <t>FA-02-27-E-02</t>
  </si>
  <si>
    <t>KRMC00009218</t>
  </si>
  <si>
    <t>FA-02-25-E-01</t>
  </si>
  <si>
    <t>KRMC00009217</t>
  </si>
  <si>
    <t>KRMC00009216</t>
  </si>
  <si>
    <t>FA-02-23-E-01</t>
  </si>
  <si>
    <t>FA-02-23-F-01</t>
  </si>
  <si>
    <t>KRMC00009214</t>
  </si>
  <si>
    <t>KRMC00009213</t>
  </si>
  <si>
    <t>KRMC00009212</t>
  </si>
  <si>
    <t>KRMC00009211</t>
  </si>
  <si>
    <t>KRMC00009210</t>
  </si>
  <si>
    <t>KRMC00009209</t>
  </si>
  <si>
    <t>KRMC00009231</t>
  </si>
  <si>
    <t>KRMC00009230</t>
  </si>
  <si>
    <t>KRMC00009229</t>
  </si>
  <si>
    <t>FA-02-20-B-02</t>
  </si>
  <si>
    <t>KRMC00009228</t>
  </si>
  <si>
    <t>FA-02-21-A-01</t>
  </si>
  <si>
    <t>KRMC00009227</t>
  </si>
  <si>
    <t>FA-02-19-C-01</t>
  </si>
  <si>
    <t>KRMC00009226</t>
  </si>
  <si>
    <t>KRMC00009402</t>
  </si>
  <si>
    <t>FA-01-36-B-01</t>
  </si>
  <si>
    <t>KRMC00009418</t>
  </si>
  <si>
    <t>FA-02-15-E-02</t>
  </si>
  <si>
    <t>KRMC00009417</t>
  </si>
  <si>
    <t>KRMC00009413</t>
  </si>
  <si>
    <t>FA-02-19-E-02</t>
  </si>
  <si>
    <t>KRMC00009412</t>
  </si>
  <si>
    <t>KRMC00009410</t>
  </si>
  <si>
    <t>KRMC00009407</t>
  </si>
  <si>
    <t>KRMC00009405</t>
  </si>
  <si>
    <t>KRMC00009404</t>
  </si>
  <si>
    <t>FA-02-32-G-01</t>
  </si>
  <si>
    <t>KRMC00009010</t>
  </si>
  <si>
    <t>KRMC00009006</t>
  </si>
  <si>
    <t>KRMC00009008</t>
  </si>
  <si>
    <t>FC-PB-06-D-01</t>
  </si>
  <si>
    <t>KRMC00009012</t>
  </si>
  <si>
    <t>KRMC00009014</t>
  </si>
  <si>
    <t>KRMC00009015</t>
  </si>
  <si>
    <t>KRMC00009001</t>
  </si>
  <si>
    <t>FC-PB-10-D-01</t>
  </si>
  <si>
    <t>KRMC00009003</t>
  </si>
  <si>
    <t>KRMC00009005</t>
  </si>
  <si>
    <t>KRMC00009007</t>
  </si>
  <si>
    <t>KRMC00009009</t>
  </si>
  <si>
    <t>FC-PB-11-D-01</t>
  </si>
  <si>
    <t>KRMC00009011</t>
  </si>
  <si>
    <t>KRMC00009013</t>
  </si>
  <si>
    <t>KRMC00009016</t>
  </si>
  <si>
    <t>KRMC00007175</t>
  </si>
  <si>
    <t>FA-02-04-A-01</t>
  </si>
  <si>
    <t>KRMC00007172</t>
  </si>
  <si>
    <t>FA-02-02-A-02</t>
  </si>
  <si>
    <t>KRMC00009670</t>
  </si>
  <si>
    <t>FC-PB-12-D-01</t>
  </si>
  <si>
    <t>KRMC00009669</t>
  </si>
  <si>
    <t>KRMC00009667</t>
  </si>
  <si>
    <t>KRMC00009668</t>
  </si>
  <si>
    <t>KRMC00009666</t>
  </si>
  <si>
    <t>FC-PB-15-D-01</t>
  </si>
  <si>
    <t>KRMC00009665</t>
  </si>
  <si>
    <t>KRMC00009664</t>
  </si>
  <si>
    <t>KRMC00009663</t>
  </si>
  <si>
    <t>KRMC00009662</t>
  </si>
  <si>
    <t>FC-PB-14-D-01</t>
  </si>
  <si>
    <t>KRMC00009661</t>
  </si>
  <si>
    <t>KRMC00009660</t>
  </si>
  <si>
    <t>KRMC00009659</t>
  </si>
  <si>
    <t>KRMC00009658</t>
  </si>
  <si>
    <t>FC-PB-16-D-01</t>
  </si>
  <si>
    <t>KRMC00009657</t>
  </si>
  <si>
    <t>KRMC00009656</t>
  </si>
  <si>
    <t>KRMC00009655</t>
  </si>
  <si>
    <t>KRMC00009654</t>
  </si>
  <si>
    <t>FC-PB-17-D-01</t>
  </si>
  <si>
    <t>KRMC00009653</t>
  </si>
  <si>
    <t>KRMC00009652</t>
  </si>
  <si>
    <t>KRMC00009651</t>
  </si>
  <si>
    <t>KRMC00009650</t>
  </si>
  <si>
    <t>FC-PB-18-D-01</t>
  </si>
  <si>
    <t>KRMC00009649</t>
  </si>
  <si>
    <t>KRMC00009648</t>
  </si>
  <si>
    <t>KRMC00009647</t>
  </si>
  <si>
    <t>KRMC00009628</t>
  </si>
  <si>
    <t>KRMC00009622</t>
  </si>
  <si>
    <t>KRMC00009623</t>
  </si>
  <si>
    <t>KRMC00009626</t>
  </si>
  <si>
    <t>KRMC00009625</t>
  </si>
  <si>
    <t>KRMC00009877</t>
  </si>
  <si>
    <t>KRMC00009876</t>
  </si>
  <si>
    <t>KRMC00009874</t>
  </si>
  <si>
    <t>KRMC00009875</t>
  </si>
  <si>
    <t>KRMC00009873</t>
  </si>
  <si>
    <t>KRMC00009872</t>
  </si>
  <si>
    <t>KRMC00009871</t>
  </si>
  <si>
    <t>KRMC00009870</t>
  </si>
  <si>
    <t>KRMC00009869</t>
  </si>
  <si>
    <t>KRMC00009868</t>
  </si>
  <si>
    <t>KRMC00009867</t>
  </si>
  <si>
    <t>FC-PB-19-D-01</t>
  </si>
  <si>
    <t>KRMC00009866</t>
  </si>
  <si>
    <t>KRMC00009864</t>
  </si>
  <si>
    <t>KRMC00009863</t>
  </si>
  <si>
    <t>KRMC00010062</t>
  </si>
  <si>
    <t>FA-01-09-D-01</t>
  </si>
  <si>
    <t>KRMC00010061</t>
  </si>
  <si>
    <t>FA-01-11-E-01</t>
  </si>
  <si>
    <t>KRMC00010083</t>
  </si>
  <si>
    <t>FA-01-11-D-01</t>
  </si>
  <si>
    <t>KRMC00010082</t>
  </si>
  <si>
    <t>KRMC00010081</t>
  </si>
  <si>
    <t>FA-01-13-E-01</t>
  </si>
  <si>
    <t>KRMC00010080</t>
  </si>
  <si>
    <t>FA-01-13-D-01</t>
  </si>
  <si>
    <t>KRMC00010079</t>
  </si>
  <si>
    <t>FA-01-13-D-02</t>
  </si>
  <si>
    <t>KRMC00010078</t>
  </si>
  <si>
    <t>FA-01-16-D-02</t>
  </si>
  <si>
    <t>KRMC00010077</t>
  </si>
  <si>
    <t>FA-01-14-D-01</t>
  </si>
  <si>
    <t>KRMC00010076</t>
  </si>
  <si>
    <t>FA-01-14-D-02</t>
  </si>
  <si>
    <t>KRMC00010075</t>
  </si>
  <si>
    <t>FA-01-10-D-02</t>
  </si>
  <si>
    <t>KRMC00010070</t>
  </si>
  <si>
    <t>FA-02-07-D-02</t>
  </si>
  <si>
    <t>KRMC00010071</t>
  </si>
  <si>
    <t>FA-02-09-D-01</t>
  </si>
  <si>
    <t>KRMC00010072</t>
  </si>
  <si>
    <t>FA-02-09-D-02</t>
  </si>
  <si>
    <t>KRMC00010073</t>
  </si>
  <si>
    <t>FA-02-11-D-01</t>
  </si>
  <si>
    <t>KRMC00009627</t>
  </si>
  <si>
    <t>KRMC00009624</t>
  </si>
  <si>
    <t>KRMC00009629</t>
  </si>
  <si>
    <t>KRMC00009630</t>
  </si>
  <si>
    <t>KRMC00009631</t>
  </si>
  <si>
    <t>KRMC00010074</t>
  </si>
  <si>
    <t>KRMC00010069</t>
  </si>
  <si>
    <t>KRMC00010068</t>
  </si>
  <si>
    <t>KRMC00010067</t>
  </si>
  <si>
    <t>KRMC00010066</t>
  </si>
  <si>
    <t>KRMC00010065</t>
  </si>
  <si>
    <t>KRMC00010064</t>
  </si>
  <si>
    <t>KRMC00010120</t>
  </si>
  <si>
    <t>KRMC00010119</t>
  </si>
  <si>
    <t>KRMC00010118</t>
  </si>
  <si>
    <t>KRMC00010117</t>
  </si>
  <si>
    <t>KRMC00010116</t>
  </si>
  <si>
    <t>KRMC00010115</t>
  </si>
  <si>
    <t>KRMC00010108</t>
  </si>
  <si>
    <t>KRMC00010114</t>
  </si>
  <si>
    <t>KRMC00010109</t>
  </si>
  <si>
    <t>KRMC00010110</t>
  </si>
  <si>
    <t>KRMC00010111</t>
  </si>
  <si>
    <t>KRMC00010112</t>
  </si>
  <si>
    <t>KRMC00010113</t>
  </si>
  <si>
    <t>KRMC00009641</t>
  </si>
  <si>
    <t>KRMC00009642</t>
  </si>
  <si>
    <t>KRMC00009635</t>
  </si>
  <si>
    <t>KRMC00009645</t>
  </si>
  <si>
    <t>KRMC00009634</t>
  </si>
  <si>
    <t>KRMC00009640</t>
  </si>
  <si>
    <t>KRMC00009638</t>
  </si>
  <si>
    <t>KRMC00009632</t>
  </si>
  <si>
    <t>KRMC00009633</t>
  </si>
  <si>
    <t>KRMC00009636</t>
  </si>
  <si>
    <t>KRMC00009637</t>
  </si>
  <si>
    <t>KRMC00009644</t>
  </si>
  <si>
    <t>KRMC00010123</t>
  </si>
  <si>
    <t>KRMC00009856</t>
  </si>
  <si>
    <t>KRMC00009857</t>
  </si>
  <si>
    <t>KRMC00009855</t>
  </si>
  <si>
    <t>KRMC00009860</t>
  </si>
  <si>
    <t>KRMC00009862</t>
  </si>
  <si>
    <t>KRMC00009854</t>
  </si>
  <si>
    <t>KRMC00009865</t>
  </si>
  <si>
    <t>KRMC00010121</t>
  </si>
  <si>
    <t>KRMC00010122</t>
  </si>
  <si>
    <t>KRMC00009858</t>
  </si>
  <si>
    <t>KRMC00010107</t>
  </si>
  <si>
    <t>FA-02-09-F-01</t>
  </si>
  <si>
    <t>KRMC00009861</t>
  </si>
  <si>
    <t>FA-02-33-F-01</t>
  </si>
  <si>
    <t>KRMC00010084</t>
  </si>
  <si>
    <t>FA-02-07-F-01</t>
  </si>
  <si>
    <t>KRMC00010090</t>
  </si>
  <si>
    <t>FA-02-07-F-02</t>
  </si>
  <si>
    <t>KRMC00010406</t>
  </si>
  <si>
    <t>Received</t>
  </si>
  <si>
    <t>KRMC00010407</t>
  </si>
  <si>
    <t>KRMC00010383</t>
  </si>
  <si>
    <t>KRMC00010386</t>
  </si>
  <si>
    <t>KRMC00010388</t>
  </si>
  <si>
    <t>KRMC00010390</t>
  </si>
  <si>
    <t>KRMC00010394</t>
  </si>
  <si>
    <t>KRMC00010395</t>
  </si>
  <si>
    <t>KRMC00010400</t>
  </si>
  <si>
    <t>KRMC00010399</t>
  </si>
  <si>
    <t>KRMC00010403</t>
  </si>
  <si>
    <t>KRMC00010380</t>
  </si>
  <si>
    <t>KRMC00010413</t>
  </si>
  <si>
    <t>FA-01-20-F-02</t>
  </si>
  <si>
    <t>KRMC00010414</t>
  </si>
  <si>
    <t>FA-01-22-F-01</t>
  </si>
  <si>
    <t>KRMC00010415</t>
  </si>
  <si>
    <t>FA-01-24-F-01</t>
  </si>
  <si>
    <t>KRMC00010416</t>
  </si>
  <si>
    <t>FA-01-26-F-01</t>
  </si>
  <si>
    <t>KRMC00010418</t>
  </si>
  <si>
    <t>FA-01-23-E-02</t>
  </si>
  <si>
    <t>KRMC00010420</t>
  </si>
  <si>
    <t>KRMC00010422</t>
  </si>
  <si>
    <t>FA-01-28-F-01</t>
  </si>
  <si>
    <t>KRMC00010423</t>
  </si>
  <si>
    <t>FA-01-28-F-02</t>
  </si>
  <si>
    <t>KRMC00010424</t>
  </si>
  <si>
    <t>FA-01-30-F-01</t>
  </si>
  <si>
    <t>KRMC00010410</t>
  </si>
  <si>
    <t>KRMC00010425</t>
  </si>
  <si>
    <t>FA-01-31-D-01</t>
  </si>
  <si>
    <t>KRMC00010426</t>
  </si>
  <si>
    <t>FA-01-31-D-02</t>
  </si>
  <si>
    <t>KRMC00010427</t>
  </si>
  <si>
    <t>FA-01-33-E-02</t>
  </si>
  <si>
    <t>KRMC00010409</t>
  </si>
  <si>
    <t>FA-01-33-D-02</t>
  </si>
  <si>
    <t>KRMC00010417</t>
  </si>
  <si>
    <t>KRMC00010428</t>
  </si>
  <si>
    <t>FA-01-29-E-01</t>
  </si>
  <si>
    <t>KRMC00010429</t>
  </si>
  <si>
    <t>VAL PREMIUM BLUE 7800 15W40 6/5 L KSA</t>
  </si>
  <si>
    <t>FA-01-36-F-01</t>
  </si>
  <si>
    <t>KRMC00010430</t>
  </si>
  <si>
    <t>FA-01-36-E-02</t>
  </si>
  <si>
    <t>KRMC00010142</t>
  </si>
  <si>
    <t>FA-01-36-D-02</t>
  </si>
  <si>
    <t>KRMC00010143</t>
  </si>
  <si>
    <t>FA-01-36-E-01</t>
  </si>
  <si>
    <t>KRMC00010144</t>
  </si>
  <si>
    <t>FA-01-36-D-01</t>
  </si>
  <si>
    <t>KRMC00010353</t>
  </si>
  <si>
    <t>KRMC00010325</t>
  </si>
  <si>
    <t>KRMC00010326</t>
  </si>
  <si>
    <t>KRMC00010333</t>
  </si>
  <si>
    <t>KRMC00010342</t>
  </si>
  <si>
    <t>KRMC00010350</t>
  </si>
  <si>
    <t>KRMC00010139</t>
  </si>
  <si>
    <t>KRMC00010412</t>
  </si>
  <si>
    <t>KRMC00009208</t>
  </si>
  <si>
    <t>KRMC00010305</t>
  </si>
  <si>
    <t>KRMC00010091</t>
  </si>
  <si>
    <t>FA-02-23-F-02</t>
  </si>
  <si>
    <t>KRMC00010093</t>
  </si>
  <si>
    <t>KRMC00010096</t>
  </si>
  <si>
    <t>FA-02-19-F-02</t>
  </si>
  <si>
    <t>KRMC00010097</t>
  </si>
  <si>
    <t>FA-02-19-F-01</t>
  </si>
  <si>
    <t>KRMC00010098</t>
  </si>
  <si>
    <t>FA-02-17-F-02</t>
  </si>
  <si>
    <t>KRMC00010099</t>
  </si>
  <si>
    <t>FA-02-17-F-01</t>
  </si>
  <si>
    <t>KRMC00010092</t>
  </si>
  <si>
    <t>FA-02-21-F-02</t>
  </si>
  <si>
    <t>KRMC00010095</t>
  </si>
  <si>
    <t>FA-02-21-F-01</t>
  </si>
  <si>
    <t>KRMC00010088</t>
  </si>
  <si>
    <t>FA-02-25-F-02</t>
  </si>
  <si>
    <t>KRMC00010089</t>
  </si>
  <si>
    <t>FA-02-25-F-01</t>
  </si>
  <si>
    <t>KRMC00010087</t>
  </si>
  <si>
    <t>FA-02-27-F-01</t>
  </si>
  <si>
    <t>KRMC00010106</t>
  </si>
  <si>
    <t>FA-02-09-F-02</t>
  </si>
  <si>
    <t>KRMC00010085</t>
  </si>
  <si>
    <t>FA-02-29-F-02</t>
  </si>
  <si>
    <t>KRMC00010104</t>
  </si>
  <si>
    <t>KRMC00010105</t>
  </si>
  <si>
    <t>FA-02-11-F-01</t>
  </si>
  <si>
    <t>KRMC00010135</t>
  </si>
  <si>
    <t>FC-PB-02-D-01</t>
  </si>
  <si>
    <t>FA-01-05-F-02</t>
  </si>
  <si>
    <t>KRMC00010124</t>
  </si>
  <si>
    <t>FA-01-01-F-01</t>
  </si>
  <si>
    <t>KRMC00010136</t>
  </si>
  <si>
    <t>FA-01-07-F-02</t>
  </si>
  <si>
    <t>KRMC00010134</t>
  </si>
  <si>
    <t>FA-01-05-F-01</t>
  </si>
  <si>
    <t>KRMC00010137</t>
  </si>
  <si>
    <t>FA-01-07-F-01</t>
  </si>
  <si>
    <t>KRMC00010131</t>
  </si>
  <si>
    <t>FA-01-04-G-01</t>
  </si>
  <si>
    <t>KRMC00009859</t>
  </si>
  <si>
    <t>FA-02-31-F-02</t>
  </si>
  <si>
    <t>KRMC00010133</t>
  </si>
  <si>
    <t>FA-01-06-G-02</t>
  </si>
  <si>
    <t>KRMC00010132</t>
  </si>
  <si>
    <t>KRMC00010130</t>
  </si>
  <si>
    <t>FA-01-04-G-02</t>
  </si>
  <si>
    <t>KRMC00010145</t>
  </si>
  <si>
    <t>KRMC00010146</t>
  </si>
  <si>
    <t>KRMC00010147</t>
  </si>
  <si>
    <t>KRMC00010148</t>
  </si>
  <si>
    <t>KRMC00010149</t>
  </si>
  <si>
    <t>KRMC00010150</t>
  </si>
  <si>
    <t>KRMC00010152</t>
  </si>
  <si>
    <t>KRMC00010151</t>
  </si>
  <si>
    <t>KRMC00010303</t>
  </si>
  <si>
    <t>VAL LITHIUM GREASE EP2 15 KG</t>
  </si>
  <si>
    <t>FA-01-32-B-02</t>
  </si>
  <si>
    <t>KRMC00010301</t>
  </si>
  <si>
    <t>KRMC00010302</t>
  </si>
  <si>
    <t>FA-01-32-C-01</t>
  </si>
  <si>
    <t>KRMC00010300</t>
  </si>
  <si>
    <t>FA-01-34-C-01</t>
  </si>
  <si>
    <t>KRMC00010153</t>
  </si>
  <si>
    <t>KRMC00010156</t>
  </si>
  <si>
    <t>KRMC00010157</t>
  </si>
  <si>
    <t>FA-02-11-D-02</t>
  </si>
  <si>
    <t>KRMC00010160</t>
  </si>
  <si>
    <t>FA-02-13-D-01</t>
  </si>
  <si>
    <t>KRMC00010159</t>
  </si>
  <si>
    <t>KRMC00010357</t>
  </si>
  <si>
    <t>FA-01-11-A-02</t>
  </si>
  <si>
    <t>KRMC00010158</t>
  </si>
  <si>
    <t>FA-02-13-D-02</t>
  </si>
  <si>
    <t>KRMC00010129</t>
  </si>
  <si>
    <t>FA-01-02-G-01</t>
  </si>
  <si>
    <t>KRMC00010128</t>
  </si>
  <si>
    <t>FA-01-09-A-01</t>
  </si>
  <si>
    <t>FA-01-02-G-02</t>
  </si>
  <si>
    <t>KRMC00010126</t>
  </si>
  <si>
    <t>FA-01-09-A-02</t>
  </si>
  <si>
    <t>FA-01-03-F-01</t>
  </si>
  <si>
    <t>KRMC00010125</t>
  </si>
  <si>
    <t>FA-01-27-A-01</t>
  </si>
  <si>
    <t>FA-01-01-F-02</t>
  </si>
  <si>
    <t>KRMC00010127</t>
  </si>
  <si>
    <t>FA-01-17-C-01</t>
  </si>
  <si>
    <t>FA-01-03-F-02</t>
  </si>
  <si>
    <t>KRMC00010086</t>
  </si>
  <si>
    <t>FA-02-27-F-02</t>
  </si>
  <si>
    <t>KRMC00010356</t>
  </si>
  <si>
    <t>KRMC00010355</t>
  </si>
  <si>
    <t>FA-01-14-C-01</t>
  </si>
  <si>
    <t>KRMC00010304</t>
  </si>
  <si>
    <t>KRMC00010154</t>
  </si>
  <si>
    <t>FA-01-27-F-01</t>
  </si>
  <si>
    <t>KRMC00010102</t>
  </si>
  <si>
    <t>FC-PB-23-D-01</t>
  </si>
  <si>
    <t>FA-02-13-F-02</t>
  </si>
  <si>
    <t>KRMC00010103</t>
  </si>
  <si>
    <t>FA-02-13-F-01</t>
  </si>
  <si>
    <t>KRMC00010100</t>
  </si>
  <si>
    <t>FA-02-15-F-02</t>
  </si>
  <si>
    <t>KRMC00010101</t>
  </si>
  <si>
    <t>FA-02-15-F-01</t>
  </si>
  <si>
    <t>KRMC00010094</t>
  </si>
  <si>
    <t>FA-02-31-F-01</t>
  </si>
  <si>
    <t>KRMC00010351</t>
  </si>
  <si>
    <t>KRMC00010332</t>
  </si>
  <si>
    <t>KRMC00010330</t>
  </si>
  <si>
    <t>KRMC00010344</t>
  </si>
  <si>
    <t>KRMC00010345</t>
  </si>
  <si>
    <t>KRMC00010421</t>
  </si>
  <si>
    <t>FA-01-26-F-02</t>
  </si>
  <si>
    <t>KRMC00010341</t>
  </si>
  <si>
    <t>KRMC00010319</t>
  </si>
  <si>
    <t>KRMC00010318</t>
  </si>
  <si>
    <t>KRMC00010339</t>
  </si>
  <si>
    <t>KRMC00010340</t>
  </si>
  <si>
    <t>KRMC00010324</t>
  </si>
  <si>
    <t>KRMC00010335</t>
  </si>
  <si>
    <t>KRMC00010327</t>
  </si>
  <si>
    <t>KRMC00010347</t>
  </si>
  <si>
    <t>KRMC00010381</t>
  </si>
  <si>
    <t>KRMC00010392</t>
  </si>
  <si>
    <t>KRMC00010329</t>
  </si>
  <si>
    <t>KRMC00010328</t>
  </si>
  <si>
    <t>KRMC00010331</t>
  </si>
  <si>
    <t>KRMC00010352</t>
  </si>
  <si>
    <t>KRMC00010348</t>
  </si>
  <si>
    <t>KRMC00010349</t>
  </si>
  <si>
    <t>KRMC00010343</t>
  </si>
  <si>
    <t>KRMC00010346</t>
  </si>
  <si>
    <t>KRMC00010336</t>
  </si>
  <si>
    <t>KRMC00010338</t>
  </si>
  <si>
    <t>KRMC00010334</t>
  </si>
  <si>
    <t>KRMC00010363</t>
  </si>
  <si>
    <t>KRMC00010365</t>
  </si>
  <si>
    <t>KRMC00010371</t>
  </si>
  <si>
    <t>KRMC00010313</t>
  </si>
  <si>
    <t>KRMC00010321</t>
  </si>
  <si>
    <t>KRMC00010320</t>
  </si>
  <si>
    <t>KRMC00010323</t>
  </si>
  <si>
    <t>KRMC00010322</t>
  </si>
  <si>
    <t>KRMC00010364</t>
  </si>
  <si>
    <t>KRMC00010376</t>
  </si>
  <si>
    <t>KRMC00010359</t>
  </si>
  <si>
    <t>KRMC00010361</t>
  </si>
  <si>
    <t>KRMC00010314</t>
  </si>
  <si>
    <t>KRMC00010374</t>
  </si>
  <si>
    <t>KRMC00010366</t>
  </si>
  <si>
    <t>KRMC00010368</t>
  </si>
  <si>
    <t>KRMC00010373</t>
  </si>
  <si>
    <t>KRMC00010375</t>
  </si>
  <si>
    <t>KRMC00010358</t>
  </si>
  <si>
    <t>KRMC00010369</t>
  </si>
  <si>
    <t>KRMC00010367</t>
  </si>
  <si>
    <t>KRMC00010377</t>
  </si>
  <si>
    <t>KRMC00010362</t>
  </si>
  <si>
    <t>KRMC00010155</t>
  </si>
  <si>
    <t>KRMC00010307</t>
  </si>
  <si>
    <t>KRMC00010308</t>
  </si>
  <si>
    <t>KRMC00010525</t>
  </si>
  <si>
    <t>FA-02-15-D-01</t>
  </si>
  <si>
    <t>KRMC00010524</t>
  </si>
  <si>
    <t>FA-02-15-D-02</t>
  </si>
  <si>
    <t>KRMC00010522</t>
  </si>
  <si>
    <t>KRMC00010520</t>
  </si>
  <si>
    <t>KRMC00010526</t>
  </si>
  <si>
    <t>FA-02-19-D-01</t>
  </si>
  <si>
    <t>KRMC00010523</t>
  </si>
  <si>
    <t>FA-02-21-D-01</t>
  </si>
  <si>
    <t>KRMC00010521</t>
  </si>
  <si>
    <t>FA-02-21-D-02</t>
  </si>
  <si>
    <t>KRMC00010518</t>
  </si>
  <si>
    <t>FA-02-29-D-01</t>
  </si>
  <si>
    <t>KRMC00010516</t>
  </si>
  <si>
    <t>KRMC00010519</t>
  </si>
  <si>
    <t>KRMC00010517</t>
  </si>
  <si>
    <t>KRMC00010515</t>
  </si>
  <si>
    <t>KRMC00010514</t>
  </si>
  <si>
    <t>KRMC00010512</t>
  </si>
  <si>
    <t>FA-01-23-E-01</t>
  </si>
  <si>
    <t>KRMC00010513</t>
  </si>
  <si>
    <t>KRMC00010509</t>
  </si>
  <si>
    <t>FA-01-31-E-01</t>
  </si>
  <si>
    <t>KRMC00009181</t>
  </si>
  <si>
    <t>KRMC00009198</t>
  </si>
  <si>
    <t>KRMC00009221</t>
  </si>
  <si>
    <t>FA-02-29-E-02</t>
  </si>
  <si>
    <t>KRMC00010501</t>
  </si>
  <si>
    <t>FA-02-23-D-01</t>
  </si>
  <si>
    <t>KRMC00010507</t>
  </si>
  <si>
    <t>FA-02-23-D-02</t>
  </si>
  <si>
    <t>KRMC00010504</t>
  </si>
  <si>
    <t>FA-02-25-D-01</t>
  </si>
  <si>
    <t>KRMC00010511</t>
  </si>
  <si>
    <t>FA-02-27-D-01</t>
  </si>
  <si>
    <t>KRMC00010510</t>
  </si>
  <si>
    <t>KRMC00010505</t>
  </si>
  <si>
    <t>KRMC00010503</t>
  </si>
  <si>
    <t>FA-02-33-D-02</t>
  </si>
  <si>
    <t>KRMC00010506</t>
  </si>
  <si>
    <t>FA-01-34-A-02</t>
  </si>
  <si>
    <t>KRMC00010508</t>
  </si>
  <si>
    <t>FA-01-36-A-02</t>
  </si>
  <si>
    <t>KRMC00010311</t>
  </si>
  <si>
    <t>KRMC00010312</t>
  </si>
  <si>
    <t>KRMC00010309</t>
  </si>
  <si>
    <t>KRMC00010310</t>
  </si>
  <si>
    <t>KRMC00010546</t>
  </si>
  <si>
    <t>VAL ALL FLEET 20W40 4/5 L KSA</t>
  </si>
  <si>
    <t>KRMC00010543</t>
  </si>
  <si>
    <t>KRMC00010542</t>
  </si>
  <si>
    <t>KRMC00010540</t>
  </si>
  <si>
    <t>KRMC00010538</t>
  </si>
  <si>
    <t>KRMC00010536</t>
  </si>
  <si>
    <t>KRMC00010535</t>
  </si>
  <si>
    <t>KRMC00010534</t>
  </si>
  <si>
    <t>FA-02-28-D-01</t>
  </si>
  <si>
    <t>KRMC00010532</t>
  </si>
  <si>
    <t>KRMC00008991</t>
  </si>
  <si>
    <t>KRMC00008992</t>
  </si>
  <si>
    <t>KRMC00010531</t>
  </si>
  <si>
    <t>FA-01-23-D-02</t>
  </si>
  <si>
    <t>KRMC00010533</t>
  </si>
  <si>
    <t>FA-01-23-D-01</t>
  </si>
  <si>
    <t>KRMC00010548</t>
  </si>
  <si>
    <t>FA-02-23-E-02</t>
  </si>
  <si>
    <t>KRMC00008990</t>
  </si>
  <si>
    <t>FA-01-36-F-02</t>
  </si>
  <si>
    <t>KRMC00010544</t>
  </si>
  <si>
    <t>KRMC00008975</t>
  </si>
  <si>
    <t>KRMC00008976</t>
  </si>
  <si>
    <t>VAL ALL FLEET HD 15W40 4/5 L KSA</t>
  </si>
  <si>
    <t>KRMC00008979</t>
  </si>
  <si>
    <t>VAL ALL FLEET 20W50 4/5 L KSA</t>
  </si>
  <si>
    <t>KRMC00008981</t>
  </si>
  <si>
    <t>KRMC00008984</t>
  </si>
  <si>
    <t>KRMC00008983</t>
  </si>
  <si>
    <t>KRMC00008986</t>
  </si>
  <si>
    <t>VAL ALL FLEET HD 15W40 6/4 L KSA</t>
  </si>
  <si>
    <t>KRMC00008985</t>
  </si>
  <si>
    <t>KRMC00008988</t>
  </si>
  <si>
    <t>KRMC00008967</t>
  </si>
  <si>
    <t>KRMC00008968</t>
  </si>
  <si>
    <t>KRMC00010378</t>
  </si>
  <si>
    <t>KRMC00008777</t>
  </si>
  <si>
    <t>KRMC00008768</t>
  </si>
  <si>
    <t>KRMC00010530</t>
  </si>
  <si>
    <t>KRMC00008770</t>
  </si>
  <si>
    <t>KRMC00008756</t>
  </si>
  <si>
    <t>KRMC00008755</t>
  </si>
  <si>
    <t>KRMC00008757</t>
  </si>
  <si>
    <t>VAL HYDRAULIC HD 10W 6/4 L KSA</t>
  </si>
  <si>
    <t>KRMC00008758</t>
  </si>
  <si>
    <t>KRMC00008759</t>
  </si>
  <si>
    <t>KRMC00008761</t>
  </si>
  <si>
    <t>KRMC00008762</t>
  </si>
  <si>
    <t>KRMC00008763</t>
  </si>
  <si>
    <t>KRMC00008989</t>
  </si>
  <si>
    <t>KRMC00008987</t>
  </si>
  <si>
    <t>KRMC00008982</t>
  </si>
  <si>
    <t>KRMC00008980</t>
  </si>
  <si>
    <t>KRMC00008978</t>
  </si>
  <si>
    <t>KRMC00010773</t>
  </si>
  <si>
    <t>VAL ALL FLEET HD 15W40 6/5 L KSA</t>
  </si>
  <si>
    <t>KRMC00010775</t>
  </si>
  <si>
    <t>KRMC00008961</t>
  </si>
  <si>
    <t>KRMC00008966</t>
  </si>
  <si>
    <t>KRMC00008530</t>
  </si>
  <si>
    <t>VAL HD GEAR OIL 140 4/4 L KSA</t>
  </si>
  <si>
    <t>KRMC00008749</t>
  </si>
  <si>
    <t>VAL ALL FLEET 25W50 6/4 L KSA</t>
  </si>
  <si>
    <t>KRMC00010778</t>
  </si>
  <si>
    <t>KRMC00010780</t>
  </si>
  <si>
    <t>KRMC00008754</t>
  </si>
  <si>
    <t>KRMC00008753</t>
  </si>
  <si>
    <t>KRMC00008752</t>
  </si>
  <si>
    <t>KRMC00010776</t>
  </si>
  <si>
    <t>KRMC00008974</t>
  </si>
  <si>
    <t>VAL ALL CLIMATE 10W30 12/1 L KSA</t>
  </si>
  <si>
    <t>FA-02-34-E-01</t>
  </si>
  <si>
    <t>KRMC00008972</t>
  </si>
  <si>
    <t>KRMC00008973</t>
  </si>
  <si>
    <t>KRMC000089Y0</t>
  </si>
  <si>
    <t>KRMC00008969</t>
  </si>
  <si>
    <t>KRMC00008971</t>
  </si>
  <si>
    <t>KRMC00010781</t>
  </si>
  <si>
    <t>KRMC00008741</t>
  </si>
  <si>
    <t>FA-01-33-F-02</t>
  </si>
  <si>
    <t>KRMC00008776</t>
  </si>
  <si>
    <t>KRMC00009422</t>
  </si>
  <si>
    <t>KRMC00009215</t>
  </si>
  <si>
    <t>KRMC00008769</t>
  </si>
  <si>
    <t>KRMC00010360</t>
  </si>
  <si>
    <t>KRMC00010774</t>
  </si>
  <si>
    <t>KRMC00008764</t>
  </si>
  <si>
    <t>KRMC00008962</t>
  </si>
  <si>
    <t>FA-02-02-G-02</t>
  </si>
  <si>
    <t>KRMC00008965</t>
  </si>
  <si>
    <t>KRMC00010779</t>
  </si>
  <si>
    <t>KRMC00010777</t>
  </si>
  <si>
    <t>KRMC00010306</t>
  </si>
  <si>
    <t>KRMC00008963</t>
  </si>
  <si>
    <t>KRMC00010550</t>
  </si>
  <si>
    <t>KRMC00008751</t>
  </si>
  <si>
    <t>KRMC00008750</t>
  </si>
  <si>
    <t>FA-02-10-E-02</t>
  </si>
  <si>
    <t>KRMC00008555</t>
  </si>
  <si>
    <t>KRMC00008765</t>
  </si>
  <si>
    <t>KRMC00008766</t>
  </si>
  <si>
    <t>KRMC00008529</t>
  </si>
  <si>
    <t>KRMC00010943</t>
  </si>
  <si>
    <t>KRMC00010944</t>
  </si>
  <si>
    <t>KRMC00008532</t>
  </si>
  <si>
    <t>KRMC00010946</t>
  </si>
  <si>
    <t>KRMC00010947</t>
  </si>
  <si>
    <t>KRMC00010942</t>
  </si>
  <si>
    <t>KRMC00008977</t>
  </si>
  <si>
    <t>KRMC00008767</t>
  </si>
  <si>
    <t>KRMC00008531</t>
  </si>
  <si>
    <t>KRMC00010948</t>
  </si>
  <si>
    <t>FA-01-34-B-02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</si>
</sst>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17"/>
  <sheetViews>
    <sheetView tabSelected="1" topLeftCell="A708" workbookViewId="0">
      <selection activeCell="A727" sqref="A727:XFD1217"/>
    </sheetView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t="s">
        <v>30</v>
      </c>
      <c r="B2" t="s">
        <v>31</v>
      </c>
      <c r="C2" t="s">
        <v>32</v>
      </c>
      <c r="D2" t="s">
        <v>33</v>
      </c>
      <c r="E2" t="str">
        <f>"400426"</f>
        <v>400426</v>
      </c>
      <c r="F2" t="s">
        <v>34</v>
      </c>
      <c r="G2">
        <v>24</v>
      </c>
      <c r="H2">
        <v>0</v>
      </c>
      <c r="I2" t="s">
        <v>35</v>
      </c>
      <c r="J2" t="str">
        <f>"153000404"</f>
        <v>153000404</v>
      </c>
      <c r="K2" s="1">
        <v>48018</v>
      </c>
      <c r="M2" s="1">
        <v>46193</v>
      </c>
      <c r="N2" t="str">
        <f t="shared" ref="N2:N14" si="0">"1329001909"</f>
        <v>1329001909</v>
      </c>
      <c r="O2">
        <v>24</v>
      </c>
      <c r="P2" s="2">
        <v>46204.491041666668</v>
      </c>
      <c r="Q2" s="2">
        <v>46204.738946759258</v>
      </c>
      <c r="R2" s="2">
        <v>46204.491041666668</v>
      </c>
      <c r="S2">
        <v>0</v>
      </c>
      <c r="T2" t="s">
        <v>36</v>
      </c>
      <c r="U2" t="s">
        <v>36</v>
      </c>
      <c r="W2" t="str">
        <f>"400426"</f>
        <v>400426</v>
      </c>
      <c r="X2" t="s">
        <v>37</v>
      </c>
      <c r="AD2" s="2">
        <v>46204.738946759258</v>
      </c>
    </row>
    <row r="3" spans="1:30" x14ac:dyDescent="0.35">
      <c r="A3" t="s">
        <v>30</v>
      </c>
      <c r="B3" t="s">
        <v>31</v>
      </c>
      <c r="C3" t="s">
        <v>38</v>
      </c>
      <c r="D3" t="s">
        <v>33</v>
      </c>
      <c r="E3" t="str">
        <f t="shared" ref="E3:E14" si="1">"400415"</f>
        <v>400415</v>
      </c>
      <c r="F3" t="s">
        <v>39</v>
      </c>
      <c r="G3">
        <v>4</v>
      </c>
      <c r="H3">
        <v>0</v>
      </c>
      <c r="I3" t="s">
        <v>40</v>
      </c>
      <c r="J3" t="str">
        <f t="shared" ref="J3:J14" si="2">"153000355"</f>
        <v>153000355</v>
      </c>
      <c r="K3" s="1">
        <v>48004</v>
      </c>
      <c r="M3" s="1">
        <v>46179</v>
      </c>
      <c r="N3" t="str">
        <f t="shared" si="0"/>
        <v>1329001909</v>
      </c>
      <c r="O3">
        <v>4</v>
      </c>
      <c r="P3" s="2">
        <v>46204.490902777776</v>
      </c>
      <c r="Q3" s="2">
        <v>46204.756122685183</v>
      </c>
      <c r="R3" s="2">
        <v>46204.490902777776</v>
      </c>
      <c r="S3">
        <v>0</v>
      </c>
      <c r="T3" t="s">
        <v>36</v>
      </c>
      <c r="U3" t="s">
        <v>36</v>
      </c>
      <c r="W3" t="str">
        <f t="shared" ref="W3:W14" si="3">"400415"</f>
        <v>400415</v>
      </c>
      <c r="X3" t="s">
        <v>41</v>
      </c>
      <c r="AD3" s="2">
        <v>46204.756122685183</v>
      </c>
    </row>
    <row r="4" spans="1:30" x14ac:dyDescent="0.35">
      <c r="A4" t="s">
        <v>30</v>
      </c>
      <c r="B4" t="s">
        <v>31</v>
      </c>
      <c r="C4" t="s">
        <v>42</v>
      </c>
      <c r="D4" t="s">
        <v>33</v>
      </c>
      <c r="E4" t="str">
        <f t="shared" si="1"/>
        <v>400415</v>
      </c>
      <c r="F4" t="s">
        <v>39</v>
      </c>
      <c r="G4">
        <v>4</v>
      </c>
      <c r="H4">
        <v>0</v>
      </c>
      <c r="I4" t="s">
        <v>43</v>
      </c>
      <c r="J4" t="str">
        <f t="shared" si="2"/>
        <v>153000355</v>
      </c>
      <c r="K4" s="1">
        <v>48004</v>
      </c>
      <c r="M4" s="1">
        <v>46179</v>
      </c>
      <c r="N4" t="str">
        <f t="shared" si="0"/>
        <v>1329001909</v>
      </c>
      <c r="O4">
        <v>4</v>
      </c>
      <c r="P4" s="2">
        <v>46204.491354166668</v>
      </c>
      <c r="Q4" s="2">
        <v>46204.757638888892</v>
      </c>
      <c r="R4" s="2">
        <v>46204.491354166668</v>
      </c>
      <c r="S4">
        <v>0</v>
      </c>
      <c r="T4" t="s">
        <v>36</v>
      </c>
      <c r="U4" t="s">
        <v>36</v>
      </c>
      <c r="W4" t="str">
        <f t="shared" si="3"/>
        <v>400415</v>
      </c>
      <c r="X4" t="s">
        <v>41</v>
      </c>
      <c r="AD4" s="2">
        <v>46204.757638888892</v>
      </c>
    </row>
    <row r="5" spans="1:30" x14ac:dyDescent="0.35">
      <c r="A5" t="s">
        <v>30</v>
      </c>
      <c r="B5" t="s">
        <v>31</v>
      </c>
      <c r="C5" t="s">
        <v>44</v>
      </c>
      <c r="D5" t="s">
        <v>33</v>
      </c>
      <c r="E5" t="str">
        <f t="shared" si="1"/>
        <v>400415</v>
      </c>
      <c r="F5" t="s">
        <v>39</v>
      </c>
      <c r="G5">
        <v>4</v>
      </c>
      <c r="H5">
        <v>0</v>
      </c>
      <c r="I5" t="s">
        <v>45</v>
      </c>
      <c r="J5" t="str">
        <f t="shared" si="2"/>
        <v>153000355</v>
      </c>
      <c r="K5" s="1">
        <v>48004</v>
      </c>
      <c r="M5" s="1">
        <v>46179</v>
      </c>
      <c r="N5" t="str">
        <f t="shared" si="0"/>
        <v>1329001909</v>
      </c>
      <c r="O5">
        <v>4</v>
      </c>
      <c r="P5" s="2">
        <v>46204.490798611114</v>
      </c>
      <c r="Q5" s="2">
        <v>46204.759247685186</v>
      </c>
      <c r="R5" s="2">
        <v>46204.490798611114</v>
      </c>
      <c r="S5">
        <v>0</v>
      </c>
      <c r="T5" t="s">
        <v>36</v>
      </c>
      <c r="U5" t="s">
        <v>36</v>
      </c>
      <c r="W5" t="str">
        <f t="shared" si="3"/>
        <v>400415</v>
      </c>
      <c r="X5" t="s">
        <v>41</v>
      </c>
      <c r="AD5" s="2">
        <v>46204.759247685186</v>
      </c>
    </row>
    <row r="6" spans="1:30" x14ac:dyDescent="0.35">
      <c r="A6" t="s">
        <v>30</v>
      </c>
      <c r="B6" t="s">
        <v>31</v>
      </c>
      <c r="C6" t="s">
        <v>46</v>
      </c>
      <c r="D6" t="s">
        <v>33</v>
      </c>
      <c r="E6" t="str">
        <f t="shared" si="1"/>
        <v>400415</v>
      </c>
      <c r="F6" t="s">
        <v>39</v>
      </c>
      <c r="G6">
        <v>4</v>
      </c>
      <c r="H6">
        <v>0</v>
      </c>
      <c r="I6" t="s">
        <v>47</v>
      </c>
      <c r="J6" t="str">
        <f t="shared" si="2"/>
        <v>153000355</v>
      </c>
      <c r="K6" s="1">
        <v>48004</v>
      </c>
      <c r="M6" s="1">
        <v>46179</v>
      </c>
      <c r="N6" t="str">
        <f t="shared" si="0"/>
        <v>1329001909</v>
      </c>
      <c r="O6">
        <v>4</v>
      </c>
      <c r="P6" s="2">
        <v>46204.490706018521</v>
      </c>
      <c r="Q6" s="2">
        <v>46204.761516203704</v>
      </c>
      <c r="R6" s="2">
        <v>46204.490706018521</v>
      </c>
      <c r="S6">
        <v>0</v>
      </c>
      <c r="T6" t="s">
        <v>36</v>
      </c>
      <c r="U6" t="s">
        <v>36</v>
      </c>
      <c r="W6" t="str">
        <f t="shared" si="3"/>
        <v>400415</v>
      </c>
      <c r="X6" t="s">
        <v>41</v>
      </c>
      <c r="AD6" s="2">
        <v>46204.761516203704</v>
      </c>
    </row>
    <row r="7" spans="1:30" x14ac:dyDescent="0.35">
      <c r="A7" t="s">
        <v>30</v>
      </c>
      <c r="B7" t="s">
        <v>31</v>
      </c>
      <c r="C7" t="s">
        <v>48</v>
      </c>
      <c r="D7" t="s">
        <v>33</v>
      </c>
      <c r="E7" t="str">
        <f t="shared" si="1"/>
        <v>400415</v>
      </c>
      <c r="F7" t="s">
        <v>39</v>
      </c>
      <c r="G7">
        <v>4</v>
      </c>
      <c r="H7">
        <v>0</v>
      </c>
      <c r="I7" t="s">
        <v>49</v>
      </c>
      <c r="J7" t="str">
        <f t="shared" si="2"/>
        <v>153000355</v>
      </c>
      <c r="K7" s="1">
        <v>48004</v>
      </c>
      <c r="M7" s="1">
        <v>46179</v>
      </c>
      <c r="N7" t="str">
        <f t="shared" si="0"/>
        <v>1329001909</v>
      </c>
      <c r="O7">
        <v>4</v>
      </c>
      <c r="P7" s="2">
        <v>46204.490590277775</v>
      </c>
      <c r="Q7" s="2">
        <v>46204.762743055559</v>
      </c>
      <c r="R7" s="2">
        <v>46204.490590277775</v>
      </c>
      <c r="S7">
        <v>0</v>
      </c>
      <c r="T7" t="s">
        <v>36</v>
      </c>
      <c r="U7" t="s">
        <v>36</v>
      </c>
      <c r="W7" t="str">
        <f t="shared" si="3"/>
        <v>400415</v>
      </c>
      <c r="X7" t="s">
        <v>41</v>
      </c>
      <c r="AD7" s="2">
        <v>46204.762743055559</v>
      </c>
    </row>
    <row r="8" spans="1:30" x14ac:dyDescent="0.35">
      <c r="A8" t="s">
        <v>30</v>
      </c>
      <c r="B8" t="s">
        <v>31</v>
      </c>
      <c r="C8" t="s">
        <v>50</v>
      </c>
      <c r="D8" t="s">
        <v>33</v>
      </c>
      <c r="E8" t="str">
        <f t="shared" si="1"/>
        <v>400415</v>
      </c>
      <c r="F8" t="s">
        <v>39</v>
      </c>
      <c r="G8">
        <v>4</v>
      </c>
      <c r="H8">
        <v>0</v>
      </c>
      <c r="I8" t="s">
        <v>51</v>
      </c>
      <c r="J8" t="str">
        <f t="shared" si="2"/>
        <v>153000355</v>
      </c>
      <c r="K8" s="1">
        <v>48004</v>
      </c>
      <c r="M8" s="1">
        <v>46179</v>
      </c>
      <c r="N8" t="str">
        <f t="shared" si="0"/>
        <v>1329001909</v>
      </c>
      <c r="O8">
        <v>4</v>
      </c>
      <c r="P8" s="2">
        <v>46204.491435185184</v>
      </c>
      <c r="Q8" s="2">
        <v>46204.764699074076</v>
      </c>
      <c r="R8" s="2">
        <v>46204.491435185184</v>
      </c>
      <c r="S8">
        <v>0</v>
      </c>
      <c r="T8" t="s">
        <v>36</v>
      </c>
      <c r="U8" t="s">
        <v>36</v>
      </c>
      <c r="W8" t="str">
        <f t="shared" si="3"/>
        <v>400415</v>
      </c>
      <c r="X8" t="s">
        <v>41</v>
      </c>
      <c r="AD8" s="2">
        <v>46204.764699074076</v>
      </c>
    </row>
    <row r="9" spans="1:30" x14ac:dyDescent="0.35">
      <c r="A9" t="s">
        <v>30</v>
      </c>
      <c r="B9" t="s">
        <v>31</v>
      </c>
      <c r="C9" t="s">
        <v>52</v>
      </c>
      <c r="D9" t="s">
        <v>33</v>
      </c>
      <c r="E9" t="str">
        <f t="shared" si="1"/>
        <v>400415</v>
      </c>
      <c r="F9" t="s">
        <v>39</v>
      </c>
      <c r="G9">
        <v>4</v>
      </c>
      <c r="H9">
        <v>0</v>
      </c>
      <c r="I9" t="s">
        <v>53</v>
      </c>
      <c r="J9" t="str">
        <f t="shared" si="2"/>
        <v>153000355</v>
      </c>
      <c r="K9" s="1">
        <v>48004</v>
      </c>
      <c r="M9" s="1">
        <v>46179</v>
      </c>
      <c r="N9" t="str">
        <f t="shared" si="0"/>
        <v>1329001909</v>
      </c>
      <c r="O9">
        <v>4</v>
      </c>
      <c r="P9" s="2">
        <v>46204.49150462963</v>
      </c>
      <c r="Q9" s="2">
        <v>46204.766863425924</v>
      </c>
      <c r="R9" s="2">
        <v>46204.49150462963</v>
      </c>
      <c r="S9">
        <v>0</v>
      </c>
      <c r="T9" t="s">
        <v>36</v>
      </c>
      <c r="U9" t="s">
        <v>36</v>
      </c>
      <c r="W9" t="str">
        <f t="shared" si="3"/>
        <v>400415</v>
      </c>
      <c r="X9" t="s">
        <v>41</v>
      </c>
      <c r="AD9" s="2">
        <v>46204.766863425924</v>
      </c>
    </row>
    <row r="10" spans="1:30" x14ac:dyDescent="0.35">
      <c r="A10" t="s">
        <v>30</v>
      </c>
      <c r="B10" t="s">
        <v>31</v>
      </c>
      <c r="C10" t="s">
        <v>54</v>
      </c>
      <c r="D10" t="s">
        <v>33</v>
      </c>
      <c r="E10" t="str">
        <f t="shared" si="1"/>
        <v>400415</v>
      </c>
      <c r="F10" t="s">
        <v>39</v>
      </c>
      <c r="G10">
        <v>4</v>
      </c>
      <c r="H10">
        <v>0</v>
      </c>
      <c r="I10" t="s">
        <v>55</v>
      </c>
      <c r="J10" t="str">
        <f t="shared" si="2"/>
        <v>153000355</v>
      </c>
      <c r="K10" s="1">
        <v>48004</v>
      </c>
      <c r="M10" s="1">
        <v>46179</v>
      </c>
      <c r="N10" t="str">
        <f t="shared" si="0"/>
        <v>1329001909</v>
      </c>
      <c r="O10">
        <v>4</v>
      </c>
      <c r="P10" s="2">
        <v>46204.490416666667</v>
      </c>
      <c r="Q10" s="2">
        <v>46204.76798611111</v>
      </c>
      <c r="R10" s="2">
        <v>46204.490416666667</v>
      </c>
      <c r="S10">
        <v>0</v>
      </c>
      <c r="T10" t="s">
        <v>36</v>
      </c>
      <c r="U10" t="s">
        <v>36</v>
      </c>
      <c r="W10" t="str">
        <f t="shared" si="3"/>
        <v>400415</v>
      </c>
      <c r="X10" t="s">
        <v>41</v>
      </c>
      <c r="AD10" s="2">
        <v>46204.76798611111</v>
      </c>
    </row>
    <row r="11" spans="1:30" x14ac:dyDescent="0.35">
      <c r="A11" t="s">
        <v>30</v>
      </c>
      <c r="B11" t="s">
        <v>31</v>
      </c>
      <c r="C11" t="s">
        <v>56</v>
      </c>
      <c r="D11" t="s">
        <v>33</v>
      </c>
      <c r="E11" t="str">
        <f t="shared" si="1"/>
        <v>400415</v>
      </c>
      <c r="F11" t="s">
        <v>39</v>
      </c>
      <c r="G11">
        <v>4</v>
      </c>
      <c r="H11">
        <v>0</v>
      </c>
      <c r="I11" t="s">
        <v>57</v>
      </c>
      <c r="J11" t="str">
        <f t="shared" si="2"/>
        <v>153000355</v>
      </c>
      <c r="K11" s="1">
        <v>48004</v>
      </c>
      <c r="M11" s="1">
        <v>46179</v>
      </c>
      <c r="N11" t="str">
        <f t="shared" si="0"/>
        <v>1329001909</v>
      </c>
      <c r="O11">
        <v>4</v>
      </c>
      <c r="P11" s="2">
        <v>46204.490312499998</v>
      </c>
      <c r="Q11" s="2">
        <v>46204.769201388888</v>
      </c>
      <c r="R11" s="2">
        <v>46204.490312499998</v>
      </c>
      <c r="S11">
        <v>0</v>
      </c>
      <c r="T11" t="s">
        <v>36</v>
      </c>
      <c r="U11" t="s">
        <v>36</v>
      </c>
      <c r="W11" t="str">
        <f t="shared" si="3"/>
        <v>400415</v>
      </c>
      <c r="X11" t="s">
        <v>41</v>
      </c>
      <c r="AD11" s="2">
        <v>46204.769201388888</v>
      </c>
    </row>
    <row r="12" spans="1:30" x14ac:dyDescent="0.35">
      <c r="A12" t="s">
        <v>30</v>
      </c>
      <c r="B12" t="s">
        <v>31</v>
      </c>
      <c r="C12" t="s">
        <v>58</v>
      </c>
      <c r="D12" t="s">
        <v>33</v>
      </c>
      <c r="E12" t="str">
        <f t="shared" si="1"/>
        <v>400415</v>
      </c>
      <c r="F12" t="s">
        <v>39</v>
      </c>
      <c r="G12">
        <v>4</v>
      </c>
      <c r="H12">
        <v>0</v>
      </c>
      <c r="I12" t="s">
        <v>59</v>
      </c>
      <c r="J12" t="str">
        <f t="shared" si="2"/>
        <v>153000355</v>
      </c>
      <c r="K12" s="1">
        <v>48004</v>
      </c>
      <c r="M12" s="1">
        <v>46179</v>
      </c>
      <c r="N12" t="str">
        <f t="shared" si="0"/>
        <v>1329001909</v>
      </c>
      <c r="O12">
        <v>4</v>
      </c>
      <c r="P12" s="2">
        <v>46204.491585648146</v>
      </c>
      <c r="Q12" s="2">
        <v>46204.770636574074</v>
      </c>
      <c r="R12" s="2">
        <v>46204.491585648146</v>
      </c>
      <c r="S12">
        <v>0</v>
      </c>
      <c r="T12" t="s">
        <v>36</v>
      </c>
      <c r="U12" t="s">
        <v>36</v>
      </c>
      <c r="W12" t="str">
        <f t="shared" si="3"/>
        <v>400415</v>
      </c>
      <c r="X12" t="s">
        <v>41</v>
      </c>
      <c r="AD12" s="2">
        <v>46204.770636574074</v>
      </c>
    </row>
    <row r="13" spans="1:30" x14ac:dyDescent="0.35">
      <c r="A13" t="s">
        <v>30</v>
      </c>
      <c r="B13" t="s">
        <v>31</v>
      </c>
      <c r="C13" t="s">
        <v>60</v>
      </c>
      <c r="D13" t="s">
        <v>33</v>
      </c>
      <c r="E13" t="str">
        <f t="shared" si="1"/>
        <v>400415</v>
      </c>
      <c r="F13" t="s">
        <v>39</v>
      </c>
      <c r="G13">
        <v>4</v>
      </c>
      <c r="H13">
        <v>0</v>
      </c>
      <c r="I13" t="s">
        <v>61</v>
      </c>
      <c r="J13" t="str">
        <f t="shared" si="2"/>
        <v>153000355</v>
      </c>
      <c r="K13" s="1">
        <v>48004</v>
      </c>
      <c r="M13" s="1">
        <v>46179</v>
      </c>
      <c r="N13" t="str">
        <f t="shared" si="0"/>
        <v>1329001909</v>
      </c>
      <c r="O13">
        <v>4</v>
      </c>
      <c r="P13" s="2">
        <v>46204.491678240738</v>
      </c>
      <c r="Q13" s="2">
        <v>46204.775810185187</v>
      </c>
      <c r="R13" s="2">
        <v>46204.491678240738</v>
      </c>
      <c r="S13">
        <v>0</v>
      </c>
      <c r="T13" t="s">
        <v>36</v>
      </c>
      <c r="U13" t="s">
        <v>36</v>
      </c>
      <c r="W13" t="str">
        <f t="shared" si="3"/>
        <v>400415</v>
      </c>
      <c r="X13" t="s">
        <v>41</v>
      </c>
      <c r="AD13" s="2">
        <v>46204.775810185187</v>
      </c>
    </row>
    <row r="14" spans="1:30" x14ac:dyDescent="0.35">
      <c r="A14" t="s">
        <v>30</v>
      </c>
      <c r="B14" t="s">
        <v>31</v>
      </c>
      <c r="C14" t="s">
        <v>62</v>
      </c>
      <c r="D14" t="s">
        <v>33</v>
      </c>
      <c r="E14" t="str">
        <f t="shared" si="1"/>
        <v>400415</v>
      </c>
      <c r="F14" t="s">
        <v>39</v>
      </c>
      <c r="G14">
        <v>4</v>
      </c>
      <c r="H14">
        <v>0</v>
      </c>
      <c r="I14" t="s">
        <v>63</v>
      </c>
      <c r="J14" t="str">
        <f t="shared" si="2"/>
        <v>153000355</v>
      </c>
      <c r="K14" s="1">
        <v>48004</v>
      </c>
      <c r="M14" s="1">
        <v>46179</v>
      </c>
      <c r="N14" t="str">
        <f t="shared" si="0"/>
        <v>1329001909</v>
      </c>
      <c r="O14">
        <v>4</v>
      </c>
      <c r="P14" s="2">
        <v>46204.491759259261</v>
      </c>
      <c r="Q14" s="2">
        <v>46204.777118055557</v>
      </c>
      <c r="R14" s="2">
        <v>46204.491759259261</v>
      </c>
      <c r="S14">
        <v>0</v>
      </c>
      <c r="T14" t="s">
        <v>36</v>
      </c>
      <c r="U14" t="s">
        <v>36</v>
      </c>
      <c r="W14" t="str">
        <f t="shared" si="3"/>
        <v>400415</v>
      </c>
      <c r="X14" t="s">
        <v>41</v>
      </c>
      <c r="AD14" s="2">
        <v>46204.777118055557</v>
      </c>
    </row>
    <row r="15" spans="1:30" x14ac:dyDescent="0.35">
      <c r="A15" t="s">
        <v>30</v>
      </c>
      <c r="B15" t="s">
        <v>31</v>
      </c>
      <c r="C15" t="s">
        <v>64</v>
      </c>
      <c r="D15" t="s">
        <v>33</v>
      </c>
      <c r="E15" t="str">
        <f t="shared" ref="E15:E43" si="4">"400441"</f>
        <v>400441</v>
      </c>
      <c r="F15" t="s">
        <v>65</v>
      </c>
      <c r="G15">
        <v>4</v>
      </c>
      <c r="H15">
        <v>0</v>
      </c>
      <c r="I15" t="s">
        <v>66</v>
      </c>
      <c r="J15" t="str">
        <f t="shared" ref="J15:J43" si="5">"153000412"</f>
        <v>153000412</v>
      </c>
      <c r="K15" s="1">
        <v>48022</v>
      </c>
      <c r="M15" s="1">
        <v>46197</v>
      </c>
      <c r="N15" t="str">
        <f t="shared" ref="N15:N43" si="6">"1329001917"</f>
        <v>1329001917</v>
      </c>
      <c r="O15">
        <v>4</v>
      </c>
      <c r="P15" s="2">
        <v>46208.561539351853</v>
      </c>
      <c r="Q15" s="2">
        <v>46208.859398148146</v>
      </c>
      <c r="R15" s="2">
        <v>46208.561539351853</v>
      </c>
      <c r="S15">
        <v>0</v>
      </c>
      <c r="T15" t="s">
        <v>67</v>
      </c>
      <c r="U15" t="s">
        <v>67</v>
      </c>
      <c r="W15" t="str">
        <f t="shared" ref="W15:W43" si="7">"400441"</f>
        <v>400441</v>
      </c>
      <c r="X15" t="s">
        <v>41</v>
      </c>
      <c r="AD15" s="2">
        <v>46208.859398148146</v>
      </c>
    </row>
    <row r="16" spans="1:30" x14ac:dyDescent="0.35">
      <c r="A16" t="s">
        <v>30</v>
      </c>
      <c r="B16" t="s">
        <v>31</v>
      </c>
      <c r="C16" t="s">
        <v>68</v>
      </c>
      <c r="D16" t="s">
        <v>33</v>
      </c>
      <c r="E16" t="str">
        <f t="shared" si="4"/>
        <v>400441</v>
      </c>
      <c r="F16" t="s">
        <v>65</v>
      </c>
      <c r="G16">
        <v>4</v>
      </c>
      <c r="H16">
        <v>0</v>
      </c>
      <c r="I16" t="s">
        <v>69</v>
      </c>
      <c r="J16" t="str">
        <f t="shared" si="5"/>
        <v>153000412</v>
      </c>
      <c r="K16" s="1">
        <v>48022</v>
      </c>
      <c r="M16" s="1">
        <v>46197</v>
      </c>
      <c r="N16" t="str">
        <f t="shared" si="6"/>
        <v>1329001917</v>
      </c>
      <c r="O16">
        <v>4</v>
      </c>
      <c r="P16" s="2">
        <v>46208.561400462961</v>
      </c>
      <c r="Q16" s="2">
        <v>46208.860567129632</v>
      </c>
      <c r="R16" s="2">
        <v>46208.561400462961</v>
      </c>
      <c r="S16">
        <v>0</v>
      </c>
      <c r="T16" t="s">
        <v>67</v>
      </c>
      <c r="U16" t="s">
        <v>67</v>
      </c>
      <c r="W16" t="str">
        <f t="shared" si="7"/>
        <v>400441</v>
      </c>
      <c r="X16" t="s">
        <v>41</v>
      </c>
      <c r="AD16" s="2">
        <v>46208.860567129632</v>
      </c>
    </row>
    <row r="17" spans="1:30" x14ac:dyDescent="0.35">
      <c r="A17" t="s">
        <v>30</v>
      </c>
      <c r="B17" t="s">
        <v>31</v>
      </c>
      <c r="C17" t="s">
        <v>70</v>
      </c>
      <c r="D17" t="s">
        <v>33</v>
      </c>
      <c r="E17" t="str">
        <f t="shared" si="4"/>
        <v>400441</v>
      </c>
      <c r="F17" t="s">
        <v>65</v>
      </c>
      <c r="G17">
        <v>4</v>
      </c>
      <c r="H17">
        <v>0</v>
      </c>
      <c r="I17" t="s">
        <v>71</v>
      </c>
      <c r="J17" t="str">
        <f t="shared" si="5"/>
        <v>153000412</v>
      </c>
      <c r="K17" s="1">
        <v>48022</v>
      </c>
      <c r="M17" s="1">
        <v>46197</v>
      </c>
      <c r="N17" t="str">
        <f t="shared" si="6"/>
        <v>1329001917</v>
      </c>
      <c r="O17">
        <v>4</v>
      </c>
      <c r="P17" s="2">
        <v>46208.561273148145</v>
      </c>
      <c r="Q17" s="2">
        <v>46208.861817129633</v>
      </c>
      <c r="R17" s="2">
        <v>46208.561273148145</v>
      </c>
      <c r="S17">
        <v>0</v>
      </c>
      <c r="T17" t="s">
        <v>67</v>
      </c>
      <c r="U17" t="s">
        <v>67</v>
      </c>
      <c r="W17" t="str">
        <f t="shared" si="7"/>
        <v>400441</v>
      </c>
      <c r="X17" t="s">
        <v>41</v>
      </c>
      <c r="AD17" s="2">
        <v>46208.861817129633</v>
      </c>
    </row>
    <row r="18" spans="1:30" x14ac:dyDescent="0.35">
      <c r="A18" t="s">
        <v>30</v>
      </c>
      <c r="B18" t="s">
        <v>31</v>
      </c>
      <c r="C18" t="s">
        <v>72</v>
      </c>
      <c r="D18" t="s">
        <v>33</v>
      </c>
      <c r="E18" t="str">
        <f t="shared" si="4"/>
        <v>400441</v>
      </c>
      <c r="F18" t="s">
        <v>65</v>
      </c>
      <c r="G18">
        <v>4</v>
      </c>
      <c r="H18">
        <v>0</v>
      </c>
      <c r="I18" t="s">
        <v>73</v>
      </c>
      <c r="J18" t="str">
        <f t="shared" si="5"/>
        <v>153000412</v>
      </c>
      <c r="K18" s="1">
        <v>48022</v>
      </c>
      <c r="M18" s="1">
        <v>46197</v>
      </c>
      <c r="N18" t="str">
        <f t="shared" si="6"/>
        <v>1329001917</v>
      </c>
      <c r="O18">
        <v>4</v>
      </c>
      <c r="P18" s="2">
        <v>46208.561168981483</v>
      </c>
      <c r="Q18" s="2">
        <v>46208.862962962965</v>
      </c>
      <c r="R18" s="2">
        <v>46208.561168981483</v>
      </c>
      <c r="S18">
        <v>0</v>
      </c>
      <c r="T18" t="s">
        <v>67</v>
      </c>
      <c r="U18" t="s">
        <v>67</v>
      </c>
      <c r="W18" t="str">
        <f t="shared" si="7"/>
        <v>400441</v>
      </c>
      <c r="X18" t="s">
        <v>41</v>
      </c>
      <c r="AD18" s="2">
        <v>46208.862962962965</v>
      </c>
    </row>
    <row r="19" spans="1:30" x14ac:dyDescent="0.35">
      <c r="A19" t="s">
        <v>30</v>
      </c>
      <c r="B19" t="s">
        <v>31</v>
      </c>
      <c r="C19" t="s">
        <v>74</v>
      </c>
      <c r="D19" t="s">
        <v>33</v>
      </c>
      <c r="E19" t="str">
        <f t="shared" si="4"/>
        <v>400441</v>
      </c>
      <c r="F19" t="s">
        <v>65</v>
      </c>
      <c r="G19">
        <v>4</v>
      </c>
      <c r="H19">
        <v>0</v>
      </c>
      <c r="I19" t="s">
        <v>75</v>
      </c>
      <c r="J19" t="str">
        <f t="shared" si="5"/>
        <v>153000412</v>
      </c>
      <c r="K19" s="1">
        <v>48022</v>
      </c>
      <c r="M19" s="1">
        <v>46197</v>
      </c>
      <c r="N19" t="str">
        <f t="shared" si="6"/>
        <v>1329001917</v>
      </c>
      <c r="O19">
        <v>4</v>
      </c>
      <c r="P19" s="2">
        <v>46208.559791666667</v>
      </c>
      <c r="Q19" s="2">
        <v>46208.864189814813</v>
      </c>
      <c r="R19" s="2">
        <v>46208.559791666667</v>
      </c>
      <c r="S19">
        <v>0</v>
      </c>
      <c r="T19" t="s">
        <v>67</v>
      </c>
      <c r="U19" t="s">
        <v>67</v>
      </c>
      <c r="W19" t="str">
        <f t="shared" si="7"/>
        <v>400441</v>
      </c>
      <c r="X19" t="s">
        <v>41</v>
      </c>
      <c r="AD19" s="2">
        <v>46208.864189814813</v>
      </c>
    </row>
    <row r="20" spans="1:30" x14ac:dyDescent="0.35">
      <c r="A20" t="s">
        <v>30</v>
      </c>
      <c r="B20" t="s">
        <v>31</v>
      </c>
      <c r="C20" t="s">
        <v>76</v>
      </c>
      <c r="D20" t="s">
        <v>33</v>
      </c>
      <c r="E20" t="str">
        <f t="shared" si="4"/>
        <v>400441</v>
      </c>
      <c r="F20" t="s">
        <v>65</v>
      </c>
      <c r="G20">
        <v>4</v>
      </c>
      <c r="H20">
        <v>0</v>
      </c>
      <c r="I20" t="s">
        <v>77</v>
      </c>
      <c r="J20" t="str">
        <f t="shared" si="5"/>
        <v>153000412</v>
      </c>
      <c r="K20" s="1">
        <v>48022</v>
      </c>
      <c r="M20" s="1">
        <v>46197</v>
      </c>
      <c r="N20" t="str">
        <f t="shared" si="6"/>
        <v>1329001917</v>
      </c>
      <c r="O20">
        <v>4</v>
      </c>
      <c r="P20" s="2">
        <v>46208.559884259259</v>
      </c>
      <c r="Q20" s="2">
        <v>46208.865289351852</v>
      </c>
      <c r="R20" s="2">
        <v>46208.559884259259</v>
      </c>
      <c r="S20">
        <v>0</v>
      </c>
      <c r="T20" t="s">
        <v>67</v>
      </c>
      <c r="U20" t="s">
        <v>67</v>
      </c>
      <c r="W20" t="str">
        <f t="shared" si="7"/>
        <v>400441</v>
      </c>
      <c r="X20" t="s">
        <v>41</v>
      </c>
      <c r="AD20" s="2">
        <v>46208.865289351852</v>
      </c>
    </row>
    <row r="21" spans="1:30" x14ac:dyDescent="0.35">
      <c r="A21" t="s">
        <v>30</v>
      </c>
      <c r="B21" t="s">
        <v>31</v>
      </c>
      <c r="C21" t="s">
        <v>78</v>
      </c>
      <c r="D21" t="s">
        <v>33</v>
      </c>
      <c r="E21" t="str">
        <f t="shared" si="4"/>
        <v>400441</v>
      </c>
      <c r="F21" t="s">
        <v>65</v>
      </c>
      <c r="G21">
        <v>4</v>
      </c>
      <c r="H21">
        <v>0</v>
      </c>
      <c r="I21" t="s">
        <v>79</v>
      </c>
      <c r="J21" t="str">
        <f t="shared" si="5"/>
        <v>153000412</v>
      </c>
      <c r="K21" s="1">
        <v>48022</v>
      </c>
      <c r="M21" s="1">
        <v>46197</v>
      </c>
      <c r="N21" t="str">
        <f t="shared" si="6"/>
        <v>1329001917</v>
      </c>
      <c r="O21">
        <v>4</v>
      </c>
      <c r="P21" s="2">
        <v>46208.559618055559</v>
      </c>
      <c r="Q21" s="2">
        <v>46208.866203703707</v>
      </c>
      <c r="R21" s="2">
        <v>46208.559618055559</v>
      </c>
      <c r="S21">
        <v>0</v>
      </c>
      <c r="T21" t="s">
        <v>67</v>
      </c>
      <c r="U21" t="s">
        <v>67</v>
      </c>
      <c r="W21" t="str">
        <f t="shared" si="7"/>
        <v>400441</v>
      </c>
      <c r="X21" t="s">
        <v>41</v>
      </c>
      <c r="AD21" s="2">
        <v>46208.866203703707</v>
      </c>
    </row>
    <row r="22" spans="1:30" x14ac:dyDescent="0.35">
      <c r="A22" t="s">
        <v>30</v>
      </c>
      <c r="B22" t="s">
        <v>31</v>
      </c>
      <c r="C22" t="s">
        <v>80</v>
      </c>
      <c r="D22" t="s">
        <v>33</v>
      </c>
      <c r="E22" t="str">
        <f t="shared" si="4"/>
        <v>400441</v>
      </c>
      <c r="F22" t="s">
        <v>65</v>
      </c>
      <c r="G22">
        <v>4</v>
      </c>
      <c r="H22">
        <v>0</v>
      </c>
      <c r="I22" t="s">
        <v>81</v>
      </c>
      <c r="J22" t="str">
        <f t="shared" si="5"/>
        <v>153000412</v>
      </c>
      <c r="K22" s="1">
        <v>48022</v>
      </c>
      <c r="M22" s="1">
        <v>46197</v>
      </c>
      <c r="N22" t="str">
        <f t="shared" si="6"/>
        <v>1329001917</v>
      </c>
      <c r="O22">
        <v>4</v>
      </c>
      <c r="P22" s="2">
        <v>46208.559976851851</v>
      </c>
      <c r="Q22" s="2">
        <v>46208.867303240739</v>
      </c>
      <c r="R22" s="2">
        <v>46208.559976851851</v>
      </c>
      <c r="S22">
        <v>0</v>
      </c>
      <c r="T22" t="s">
        <v>67</v>
      </c>
      <c r="U22" t="s">
        <v>67</v>
      </c>
      <c r="W22" t="str">
        <f t="shared" si="7"/>
        <v>400441</v>
      </c>
      <c r="X22" t="s">
        <v>41</v>
      </c>
      <c r="AD22" s="2">
        <v>46208.867303240739</v>
      </c>
    </row>
    <row r="23" spans="1:30" x14ac:dyDescent="0.35">
      <c r="A23" t="s">
        <v>30</v>
      </c>
      <c r="B23" t="s">
        <v>31</v>
      </c>
      <c r="C23" t="s">
        <v>82</v>
      </c>
      <c r="D23" t="s">
        <v>33</v>
      </c>
      <c r="E23" t="str">
        <f t="shared" si="4"/>
        <v>400441</v>
      </c>
      <c r="F23" t="s">
        <v>65</v>
      </c>
      <c r="G23">
        <v>4</v>
      </c>
      <c r="H23">
        <v>0</v>
      </c>
      <c r="I23" t="s">
        <v>83</v>
      </c>
      <c r="J23" t="str">
        <f t="shared" si="5"/>
        <v>153000412</v>
      </c>
      <c r="K23" s="1">
        <v>48022</v>
      </c>
      <c r="M23" s="1">
        <v>46197</v>
      </c>
      <c r="N23" t="str">
        <f t="shared" si="6"/>
        <v>1329001917</v>
      </c>
      <c r="O23">
        <v>4</v>
      </c>
      <c r="P23" s="2">
        <v>46208.560127314813</v>
      </c>
      <c r="Q23" s="2">
        <v>46208.867928240739</v>
      </c>
      <c r="R23" s="2">
        <v>46208.560127314813</v>
      </c>
      <c r="S23">
        <v>0</v>
      </c>
      <c r="T23" t="s">
        <v>67</v>
      </c>
      <c r="U23" t="s">
        <v>67</v>
      </c>
      <c r="W23" t="str">
        <f t="shared" si="7"/>
        <v>400441</v>
      </c>
      <c r="X23" t="s">
        <v>41</v>
      </c>
      <c r="AD23" s="2">
        <v>46208.867928240739</v>
      </c>
    </row>
    <row r="24" spans="1:30" x14ac:dyDescent="0.35">
      <c r="A24" t="s">
        <v>30</v>
      </c>
      <c r="B24" t="s">
        <v>31</v>
      </c>
      <c r="C24" t="s">
        <v>84</v>
      </c>
      <c r="D24" t="s">
        <v>33</v>
      </c>
      <c r="E24" t="str">
        <f t="shared" si="4"/>
        <v>400441</v>
      </c>
      <c r="F24" t="s">
        <v>65</v>
      </c>
      <c r="G24">
        <v>4</v>
      </c>
      <c r="H24">
        <v>0</v>
      </c>
      <c r="I24" t="s">
        <v>85</v>
      </c>
      <c r="J24" t="str">
        <f t="shared" si="5"/>
        <v>153000412</v>
      </c>
      <c r="K24" s="1">
        <v>48022</v>
      </c>
      <c r="M24" s="1">
        <v>46197</v>
      </c>
      <c r="N24" t="str">
        <f t="shared" si="6"/>
        <v>1329001917</v>
      </c>
      <c r="O24">
        <v>4</v>
      </c>
      <c r="P24" s="2">
        <v>46208.556458333333</v>
      </c>
      <c r="Q24" s="2">
        <v>46208.868969907409</v>
      </c>
      <c r="R24" s="2">
        <v>46208.556458333333</v>
      </c>
      <c r="S24">
        <v>0</v>
      </c>
      <c r="T24" t="s">
        <v>67</v>
      </c>
      <c r="U24" t="s">
        <v>67</v>
      </c>
      <c r="W24" t="str">
        <f t="shared" si="7"/>
        <v>400441</v>
      </c>
      <c r="X24" t="s">
        <v>41</v>
      </c>
      <c r="AD24" s="2">
        <v>46208.868969907409</v>
      </c>
    </row>
    <row r="25" spans="1:30" x14ac:dyDescent="0.35">
      <c r="A25" t="s">
        <v>30</v>
      </c>
      <c r="B25" t="s">
        <v>31</v>
      </c>
      <c r="C25" t="s">
        <v>86</v>
      </c>
      <c r="D25" t="s">
        <v>33</v>
      </c>
      <c r="E25" t="str">
        <f t="shared" si="4"/>
        <v>400441</v>
      </c>
      <c r="F25" t="s">
        <v>65</v>
      </c>
      <c r="G25">
        <v>4</v>
      </c>
      <c r="H25">
        <v>0</v>
      </c>
      <c r="I25" t="s">
        <v>87</v>
      </c>
      <c r="J25" t="str">
        <f t="shared" si="5"/>
        <v>153000412</v>
      </c>
      <c r="K25" s="1">
        <v>48022</v>
      </c>
      <c r="M25" s="1">
        <v>46197</v>
      </c>
      <c r="N25" t="str">
        <f t="shared" si="6"/>
        <v>1329001917</v>
      </c>
      <c r="O25">
        <v>4</v>
      </c>
      <c r="P25" s="2">
        <v>46208.559502314813</v>
      </c>
      <c r="Q25" s="2">
        <v>46208.871157407404</v>
      </c>
      <c r="R25" s="2">
        <v>46208.559502314813</v>
      </c>
      <c r="S25">
        <v>0</v>
      </c>
      <c r="T25" t="s">
        <v>67</v>
      </c>
      <c r="U25" t="s">
        <v>67</v>
      </c>
      <c r="V25" t="s">
        <v>88</v>
      </c>
      <c r="W25" t="str">
        <f t="shared" si="7"/>
        <v>400441</v>
      </c>
      <c r="X25" t="s">
        <v>41</v>
      </c>
      <c r="AD25" s="2">
        <v>46208.870185185187</v>
      </c>
    </row>
    <row r="26" spans="1:30" x14ac:dyDescent="0.35">
      <c r="A26" t="s">
        <v>30</v>
      </c>
      <c r="B26" t="s">
        <v>31</v>
      </c>
      <c r="C26" t="s">
        <v>89</v>
      </c>
      <c r="D26" t="s">
        <v>33</v>
      </c>
      <c r="E26" t="str">
        <f t="shared" si="4"/>
        <v>400441</v>
      </c>
      <c r="F26" t="s">
        <v>65</v>
      </c>
      <c r="G26">
        <v>4</v>
      </c>
      <c r="H26">
        <v>0</v>
      </c>
      <c r="I26" t="s">
        <v>90</v>
      </c>
      <c r="J26" t="str">
        <f t="shared" si="5"/>
        <v>153000412</v>
      </c>
      <c r="K26" s="1">
        <v>48022</v>
      </c>
      <c r="M26" s="1">
        <v>46197</v>
      </c>
      <c r="N26" t="str">
        <f t="shared" si="6"/>
        <v>1329001917</v>
      </c>
      <c r="O26">
        <v>4</v>
      </c>
      <c r="P26" s="2">
        <v>46208.556770833333</v>
      </c>
      <c r="Q26" s="2">
        <v>46208.872453703705</v>
      </c>
      <c r="R26" s="2">
        <v>46208.556770833333</v>
      </c>
      <c r="S26">
        <v>0</v>
      </c>
      <c r="T26" t="s">
        <v>67</v>
      </c>
      <c r="U26" t="s">
        <v>67</v>
      </c>
      <c r="W26" t="str">
        <f t="shared" si="7"/>
        <v>400441</v>
      </c>
      <c r="X26" t="s">
        <v>41</v>
      </c>
      <c r="AD26" s="2">
        <v>46208.872453703705</v>
      </c>
    </row>
    <row r="27" spans="1:30" x14ac:dyDescent="0.35">
      <c r="A27" t="s">
        <v>30</v>
      </c>
      <c r="B27" t="s">
        <v>31</v>
      </c>
      <c r="C27" t="s">
        <v>91</v>
      </c>
      <c r="D27" t="s">
        <v>33</v>
      </c>
      <c r="E27" t="str">
        <f t="shared" si="4"/>
        <v>400441</v>
      </c>
      <c r="F27" t="s">
        <v>65</v>
      </c>
      <c r="G27">
        <v>4</v>
      </c>
      <c r="H27">
        <v>0</v>
      </c>
      <c r="I27" t="s">
        <v>92</v>
      </c>
      <c r="J27" t="str">
        <f t="shared" si="5"/>
        <v>153000412</v>
      </c>
      <c r="K27" s="1">
        <v>48022</v>
      </c>
      <c r="M27" s="1">
        <v>46197</v>
      </c>
      <c r="N27" t="str">
        <f t="shared" si="6"/>
        <v>1329001917</v>
      </c>
      <c r="O27">
        <v>4</v>
      </c>
      <c r="P27" s="2">
        <v>46208.559386574074</v>
      </c>
      <c r="Q27" s="2">
        <v>46208.873564814814</v>
      </c>
      <c r="R27" s="2">
        <v>46208.559386574074</v>
      </c>
      <c r="S27">
        <v>0</v>
      </c>
      <c r="T27" t="s">
        <v>67</v>
      </c>
      <c r="U27" t="s">
        <v>67</v>
      </c>
      <c r="W27" t="str">
        <f t="shared" si="7"/>
        <v>400441</v>
      </c>
      <c r="X27" t="s">
        <v>41</v>
      </c>
      <c r="AD27" s="2">
        <v>46208.873564814814</v>
      </c>
    </row>
    <row r="28" spans="1:30" x14ac:dyDescent="0.35">
      <c r="A28" t="s">
        <v>30</v>
      </c>
      <c r="B28" t="s">
        <v>31</v>
      </c>
      <c r="C28" t="s">
        <v>93</v>
      </c>
      <c r="D28" t="s">
        <v>33</v>
      </c>
      <c r="E28" t="str">
        <f t="shared" si="4"/>
        <v>400441</v>
      </c>
      <c r="F28" t="s">
        <v>65</v>
      </c>
      <c r="G28">
        <v>4</v>
      </c>
      <c r="H28">
        <v>0</v>
      </c>
      <c r="I28" t="s">
        <v>94</v>
      </c>
      <c r="J28" t="str">
        <f t="shared" si="5"/>
        <v>153000412</v>
      </c>
      <c r="K28" s="1">
        <v>48022</v>
      </c>
      <c r="M28" s="1">
        <v>46197</v>
      </c>
      <c r="N28" t="str">
        <f t="shared" si="6"/>
        <v>1329001917</v>
      </c>
      <c r="O28">
        <v>4</v>
      </c>
      <c r="P28" s="2">
        <v>46208.556886574072</v>
      </c>
      <c r="Q28" s="2">
        <v>46208.874907407408</v>
      </c>
      <c r="R28" s="2">
        <v>46208.556886574072</v>
      </c>
      <c r="S28">
        <v>0</v>
      </c>
      <c r="T28" t="s">
        <v>67</v>
      </c>
      <c r="U28" t="s">
        <v>67</v>
      </c>
      <c r="W28" t="str">
        <f t="shared" si="7"/>
        <v>400441</v>
      </c>
      <c r="X28" t="s">
        <v>41</v>
      </c>
      <c r="AD28" s="2">
        <v>46208.874907407408</v>
      </c>
    </row>
    <row r="29" spans="1:30" x14ac:dyDescent="0.35">
      <c r="A29" t="s">
        <v>30</v>
      </c>
      <c r="B29" t="s">
        <v>31</v>
      </c>
      <c r="C29" t="s">
        <v>95</v>
      </c>
      <c r="D29" t="s">
        <v>33</v>
      </c>
      <c r="E29" t="str">
        <f t="shared" si="4"/>
        <v>400441</v>
      </c>
      <c r="F29" t="s">
        <v>65</v>
      </c>
      <c r="G29">
        <v>4</v>
      </c>
      <c r="H29">
        <v>0</v>
      </c>
      <c r="I29" t="s">
        <v>96</v>
      </c>
      <c r="J29" t="str">
        <f t="shared" si="5"/>
        <v>153000412</v>
      </c>
      <c r="K29" s="1">
        <v>48022</v>
      </c>
      <c r="M29" s="1">
        <v>46197</v>
      </c>
      <c r="N29" t="str">
        <f t="shared" si="6"/>
        <v>1329001917</v>
      </c>
      <c r="O29">
        <v>4</v>
      </c>
      <c r="P29" s="2">
        <v>46208.561053240737</v>
      </c>
      <c r="Q29" s="2">
        <v>46208.876087962963</v>
      </c>
      <c r="R29" s="2">
        <v>46208.561053240737</v>
      </c>
      <c r="S29">
        <v>0</v>
      </c>
      <c r="T29" t="s">
        <v>67</v>
      </c>
      <c r="U29" t="s">
        <v>67</v>
      </c>
      <c r="W29" t="str">
        <f t="shared" si="7"/>
        <v>400441</v>
      </c>
      <c r="X29" t="s">
        <v>41</v>
      </c>
      <c r="AD29" s="2">
        <v>46208.876087962963</v>
      </c>
    </row>
    <row r="30" spans="1:30" x14ac:dyDescent="0.35">
      <c r="A30" t="s">
        <v>30</v>
      </c>
      <c r="B30" t="s">
        <v>31</v>
      </c>
      <c r="C30" t="s">
        <v>97</v>
      </c>
      <c r="D30" t="s">
        <v>33</v>
      </c>
      <c r="E30" t="str">
        <f t="shared" si="4"/>
        <v>400441</v>
      </c>
      <c r="F30" t="s">
        <v>65</v>
      </c>
      <c r="G30">
        <v>4</v>
      </c>
      <c r="H30">
        <v>0</v>
      </c>
      <c r="I30" t="s">
        <v>98</v>
      </c>
      <c r="J30" t="str">
        <f t="shared" si="5"/>
        <v>153000412</v>
      </c>
      <c r="K30" s="1">
        <v>48022</v>
      </c>
      <c r="M30" s="1">
        <v>46197</v>
      </c>
      <c r="N30" t="str">
        <f t="shared" si="6"/>
        <v>1329001917</v>
      </c>
      <c r="O30">
        <v>4</v>
      </c>
      <c r="P30" s="2">
        <v>46208.560949074075</v>
      </c>
      <c r="Q30" s="2">
        <v>46208.878993055558</v>
      </c>
      <c r="R30" s="2">
        <v>46208.560949074075</v>
      </c>
      <c r="S30">
        <v>0</v>
      </c>
      <c r="T30" t="s">
        <v>67</v>
      </c>
      <c r="U30" t="s">
        <v>67</v>
      </c>
      <c r="W30" t="str">
        <f t="shared" si="7"/>
        <v>400441</v>
      </c>
      <c r="X30" t="s">
        <v>41</v>
      </c>
      <c r="AD30" s="2">
        <v>46208.878993055558</v>
      </c>
    </row>
    <row r="31" spans="1:30" x14ac:dyDescent="0.35">
      <c r="A31" t="s">
        <v>30</v>
      </c>
      <c r="B31" t="s">
        <v>31</v>
      </c>
      <c r="C31" t="s">
        <v>99</v>
      </c>
      <c r="D31" t="s">
        <v>33</v>
      </c>
      <c r="E31" t="str">
        <f t="shared" si="4"/>
        <v>400441</v>
      </c>
      <c r="F31" t="s">
        <v>65</v>
      </c>
      <c r="G31">
        <v>4</v>
      </c>
      <c r="H31">
        <v>0</v>
      </c>
      <c r="I31" t="s">
        <v>100</v>
      </c>
      <c r="J31" t="str">
        <f t="shared" si="5"/>
        <v>153000412</v>
      </c>
      <c r="K31" s="1">
        <v>48022</v>
      </c>
      <c r="M31" s="1">
        <v>46197</v>
      </c>
      <c r="N31" t="str">
        <f t="shared" si="6"/>
        <v>1329001917</v>
      </c>
      <c r="O31">
        <v>4</v>
      </c>
      <c r="P31" s="2">
        <v>46208.560266203705</v>
      </c>
      <c r="Q31" s="2">
        <v>46208.879953703705</v>
      </c>
      <c r="R31" s="2">
        <v>46208.560266203705</v>
      </c>
      <c r="S31">
        <v>0</v>
      </c>
      <c r="T31" t="s">
        <v>67</v>
      </c>
      <c r="U31" t="s">
        <v>67</v>
      </c>
      <c r="W31" t="str">
        <f t="shared" si="7"/>
        <v>400441</v>
      </c>
      <c r="X31" t="s">
        <v>41</v>
      </c>
      <c r="AD31" s="2">
        <v>46208.879953703705</v>
      </c>
    </row>
    <row r="32" spans="1:30" x14ac:dyDescent="0.35">
      <c r="A32" t="s">
        <v>30</v>
      </c>
      <c r="B32" t="s">
        <v>31</v>
      </c>
      <c r="C32" t="s">
        <v>101</v>
      </c>
      <c r="D32" t="s">
        <v>33</v>
      </c>
      <c r="E32" t="str">
        <f t="shared" si="4"/>
        <v>400441</v>
      </c>
      <c r="F32" t="s">
        <v>65</v>
      </c>
      <c r="G32">
        <v>4</v>
      </c>
      <c r="H32">
        <v>0</v>
      </c>
      <c r="I32" t="s">
        <v>102</v>
      </c>
      <c r="J32" t="str">
        <f t="shared" si="5"/>
        <v>153000412</v>
      </c>
      <c r="K32" s="1">
        <v>48022</v>
      </c>
      <c r="M32" s="1">
        <v>46197</v>
      </c>
      <c r="N32" t="str">
        <f t="shared" si="6"/>
        <v>1329001917</v>
      </c>
      <c r="O32">
        <v>4</v>
      </c>
      <c r="P32" s="2">
        <v>46208.559247685182</v>
      </c>
      <c r="Q32" s="2">
        <v>46208.8828587963</v>
      </c>
      <c r="R32" s="2">
        <v>46208.559247685182</v>
      </c>
      <c r="S32">
        <v>0</v>
      </c>
      <c r="T32" t="s">
        <v>67</v>
      </c>
      <c r="U32" t="s">
        <v>67</v>
      </c>
      <c r="W32" t="str">
        <f t="shared" si="7"/>
        <v>400441</v>
      </c>
      <c r="X32" t="s">
        <v>41</v>
      </c>
      <c r="AD32" s="2">
        <v>46208.8828587963</v>
      </c>
    </row>
    <row r="33" spans="1:30" x14ac:dyDescent="0.35">
      <c r="A33" t="s">
        <v>30</v>
      </c>
      <c r="B33" t="s">
        <v>31</v>
      </c>
      <c r="C33" t="s">
        <v>103</v>
      </c>
      <c r="D33" t="s">
        <v>33</v>
      </c>
      <c r="E33" t="str">
        <f t="shared" si="4"/>
        <v>400441</v>
      </c>
      <c r="F33" t="s">
        <v>65</v>
      </c>
      <c r="G33">
        <v>4</v>
      </c>
      <c r="H33">
        <v>0</v>
      </c>
      <c r="I33" t="s">
        <v>104</v>
      </c>
      <c r="J33" t="str">
        <f t="shared" si="5"/>
        <v>153000412</v>
      </c>
      <c r="K33" s="1">
        <v>48022</v>
      </c>
      <c r="M33" s="1">
        <v>46197</v>
      </c>
      <c r="N33" t="str">
        <f t="shared" si="6"/>
        <v>1329001917</v>
      </c>
      <c r="O33">
        <v>4</v>
      </c>
      <c r="P33" s="2">
        <v>46208.557662037034</v>
      </c>
      <c r="Q33" s="2">
        <v>46208.887430555558</v>
      </c>
      <c r="R33" s="2">
        <v>46208.557662037034</v>
      </c>
      <c r="S33">
        <v>0</v>
      </c>
      <c r="T33" t="s">
        <v>67</v>
      </c>
      <c r="U33" t="s">
        <v>67</v>
      </c>
      <c r="W33" t="str">
        <f t="shared" si="7"/>
        <v>400441</v>
      </c>
      <c r="X33" t="s">
        <v>41</v>
      </c>
      <c r="AD33" s="2">
        <v>46208.887430555558</v>
      </c>
    </row>
    <row r="34" spans="1:30" x14ac:dyDescent="0.35">
      <c r="A34" t="s">
        <v>30</v>
      </c>
      <c r="B34" t="s">
        <v>31</v>
      </c>
      <c r="C34" t="s">
        <v>105</v>
      </c>
      <c r="D34" t="s">
        <v>33</v>
      </c>
      <c r="E34" t="str">
        <f t="shared" si="4"/>
        <v>400441</v>
      </c>
      <c r="F34" t="s">
        <v>65</v>
      </c>
      <c r="G34">
        <v>4</v>
      </c>
      <c r="H34">
        <v>0</v>
      </c>
      <c r="I34" t="s">
        <v>106</v>
      </c>
      <c r="J34" t="str">
        <f t="shared" si="5"/>
        <v>153000412</v>
      </c>
      <c r="K34" s="1">
        <v>48022</v>
      </c>
      <c r="M34" s="1">
        <v>46197</v>
      </c>
      <c r="N34" t="str">
        <f t="shared" si="6"/>
        <v>1329001917</v>
      </c>
      <c r="O34">
        <v>4</v>
      </c>
      <c r="P34" s="2">
        <v>46208.560833333337</v>
      </c>
      <c r="Q34" s="2">
        <v>46208.888680555552</v>
      </c>
      <c r="R34" s="2">
        <v>46208.560833333337</v>
      </c>
      <c r="S34">
        <v>0</v>
      </c>
      <c r="T34" t="s">
        <v>67</v>
      </c>
      <c r="U34" t="s">
        <v>67</v>
      </c>
      <c r="W34" t="str">
        <f t="shared" si="7"/>
        <v>400441</v>
      </c>
      <c r="X34" t="s">
        <v>41</v>
      </c>
      <c r="AD34" s="2">
        <v>46208.888680555552</v>
      </c>
    </row>
    <row r="35" spans="1:30" x14ac:dyDescent="0.35">
      <c r="A35" t="s">
        <v>30</v>
      </c>
      <c r="B35" t="s">
        <v>31</v>
      </c>
      <c r="C35" t="s">
        <v>107</v>
      </c>
      <c r="D35" t="s">
        <v>33</v>
      </c>
      <c r="E35" t="str">
        <f t="shared" si="4"/>
        <v>400441</v>
      </c>
      <c r="F35" t="s">
        <v>65</v>
      </c>
      <c r="G35">
        <v>4</v>
      </c>
      <c r="H35">
        <v>0</v>
      </c>
      <c r="I35" t="s">
        <v>108</v>
      </c>
      <c r="J35" t="str">
        <f t="shared" si="5"/>
        <v>153000412</v>
      </c>
      <c r="K35" s="1">
        <v>48022</v>
      </c>
      <c r="M35" s="1">
        <v>46197</v>
      </c>
      <c r="N35" t="str">
        <f t="shared" si="6"/>
        <v>1329001917</v>
      </c>
      <c r="O35">
        <v>4</v>
      </c>
      <c r="P35" s="2">
        <v>46208.56050925926</v>
      </c>
      <c r="Q35" s="2">
        <v>46208.88994212963</v>
      </c>
      <c r="R35" s="2">
        <v>46208.56050925926</v>
      </c>
      <c r="S35">
        <v>0</v>
      </c>
      <c r="T35" t="s">
        <v>67</v>
      </c>
      <c r="U35" t="s">
        <v>67</v>
      </c>
      <c r="W35" t="str">
        <f t="shared" si="7"/>
        <v>400441</v>
      </c>
      <c r="X35" t="s">
        <v>41</v>
      </c>
      <c r="AD35" s="2">
        <v>46208.88994212963</v>
      </c>
    </row>
    <row r="36" spans="1:30" x14ac:dyDescent="0.35">
      <c r="A36" t="s">
        <v>30</v>
      </c>
      <c r="B36" t="s">
        <v>31</v>
      </c>
      <c r="C36" t="s">
        <v>109</v>
      </c>
      <c r="D36" t="s">
        <v>33</v>
      </c>
      <c r="E36" t="str">
        <f t="shared" si="4"/>
        <v>400441</v>
      </c>
      <c r="F36" t="s">
        <v>65</v>
      </c>
      <c r="G36">
        <v>4</v>
      </c>
      <c r="H36">
        <v>0</v>
      </c>
      <c r="I36" t="s">
        <v>110</v>
      </c>
      <c r="J36" t="str">
        <f t="shared" si="5"/>
        <v>153000412</v>
      </c>
      <c r="K36" s="1">
        <v>48022</v>
      </c>
      <c r="M36" s="1">
        <v>46197</v>
      </c>
      <c r="N36" t="str">
        <f t="shared" si="6"/>
        <v>1329001917</v>
      </c>
      <c r="O36">
        <v>4</v>
      </c>
      <c r="P36" s="2">
        <v>46208.560717592591</v>
      </c>
      <c r="Q36" s="2">
        <v>46208.890983796293</v>
      </c>
      <c r="R36" s="2">
        <v>46208.560717592591</v>
      </c>
      <c r="S36">
        <v>0</v>
      </c>
      <c r="T36" t="s">
        <v>67</v>
      </c>
      <c r="U36" t="s">
        <v>67</v>
      </c>
      <c r="W36" t="str">
        <f t="shared" si="7"/>
        <v>400441</v>
      </c>
      <c r="X36" t="s">
        <v>41</v>
      </c>
      <c r="AD36" s="2">
        <v>46208.890983796293</v>
      </c>
    </row>
    <row r="37" spans="1:30" x14ac:dyDescent="0.35">
      <c r="A37" t="s">
        <v>30</v>
      </c>
      <c r="B37" t="s">
        <v>31</v>
      </c>
      <c r="C37" t="s">
        <v>111</v>
      </c>
      <c r="D37" t="s">
        <v>33</v>
      </c>
      <c r="E37" t="str">
        <f t="shared" si="4"/>
        <v>400441</v>
      </c>
      <c r="F37" t="s">
        <v>65</v>
      </c>
      <c r="G37">
        <v>4</v>
      </c>
      <c r="H37">
        <v>0</v>
      </c>
      <c r="I37" t="s">
        <v>112</v>
      </c>
      <c r="J37" t="str">
        <f t="shared" si="5"/>
        <v>153000412</v>
      </c>
      <c r="K37" s="1">
        <v>48022</v>
      </c>
      <c r="M37" s="1">
        <v>46197</v>
      </c>
      <c r="N37" t="str">
        <f t="shared" si="6"/>
        <v>1329001917</v>
      </c>
      <c r="O37">
        <v>4</v>
      </c>
      <c r="P37" s="2">
        <v>46208.556979166664</v>
      </c>
      <c r="Q37" s="2">
        <v>46208.891875000001</v>
      </c>
      <c r="R37" s="2">
        <v>46208.556979166664</v>
      </c>
      <c r="S37">
        <v>0</v>
      </c>
      <c r="T37" t="s">
        <v>67</v>
      </c>
      <c r="U37" t="s">
        <v>67</v>
      </c>
      <c r="W37" t="str">
        <f t="shared" si="7"/>
        <v>400441</v>
      </c>
      <c r="X37" t="s">
        <v>41</v>
      </c>
      <c r="AD37" s="2">
        <v>46208.891875000001</v>
      </c>
    </row>
    <row r="38" spans="1:30" x14ac:dyDescent="0.35">
      <c r="A38" t="s">
        <v>30</v>
      </c>
      <c r="B38" t="s">
        <v>31</v>
      </c>
      <c r="C38" t="s">
        <v>113</v>
      </c>
      <c r="D38" t="s">
        <v>33</v>
      </c>
      <c r="E38" t="str">
        <f t="shared" si="4"/>
        <v>400441</v>
      </c>
      <c r="F38" t="s">
        <v>65</v>
      </c>
      <c r="G38">
        <v>4</v>
      </c>
      <c r="H38">
        <v>0</v>
      </c>
      <c r="I38" t="s">
        <v>114</v>
      </c>
      <c r="J38" t="str">
        <f t="shared" si="5"/>
        <v>153000412</v>
      </c>
      <c r="K38" s="1">
        <v>48022</v>
      </c>
      <c r="M38" s="1">
        <v>46197</v>
      </c>
      <c r="N38" t="str">
        <f t="shared" si="6"/>
        <v>1329001917</v>
      </c>
      <c r="O38">
        <v>4</v>
      </c>
      <c r="P38" s="2">
        <v>46208.557071759256</v>
      </c>
      <c r="Q38" s="2">
        <v>46208.892754629633</v>
      </c>
      <c r="R38" s="2">
        <v>46208.557071759256</v>
      </c>
      <c r="S38">
        <v>0</v>
      </c>
      <c r="T38" t="s">
        <v>67</v>
      </c>
      <c r="U38" t="s">
        <v>67</v>
      </c>
      <c r="W38" t="str">
        <f t="shared" si="7"/>
        <v>400441</v>
      </c>
      <c r="X38" t="s">
        <v>41</v>
      </c>
      <c r="AD38" s="2">
        <v>46208.892754629633</v>
      </c>
    </row>
    <row r="39" spans="1:30" x14ac:dyDescent="0.35">
      <c r="A39" t="s">
        <v>30</v>
      </c>
      <c r="B39" t="s">
        <v>31</v>
      </c>
      <c r="C39" t="s">
        <v>115</v>
      </c>
      <c r="D39" t="s">
        <v>33</v>
      </c>
      <c r="E39" t="str">
        <f t="shared" si="4"/>
        <v>400441</v>
      </c>
      <c r="F39" t="s">
        <v>65</v>
      </c>
      <c r="G39">
        <v>4</v>
      </c>
      <c r="H39">
        <v>0</v>
      </c>
      <c r="I39" t="s">
        <v>116</v>
      </c>
      <c r="J39" t="str">
        <f t="shared" si="5"/>
        <v>153000412</v>
      </c>
      <c r="K39" s="1">
        <v>48022</v>
      </c>
      <c r="M39" s="1">
        <v>46197</v>
      </c>
      <c r="N39" t="str">
        <f t="shared" si="6"/>
        <v>1329001917</v>
      </c>
      <c r="O39">
        <v>4</v>
      </c>
      <c r="P39" s="2">
        <v>46208.557546296295</v>
      </c>
      <c r="Q39" s="2">
        <v>46208.894421296296</v>
      </c>
      <c r="R39" s="2">
        <v>46208.557546296295</v>
      </c>
      <c r="S39">
        <v>0</v>
      </c>
      <c r="T39" t="s">
        <v>67</v>
      </c>
      <c r="U39" t="s">
        <v>67</v>
      </c>
      <c r="V39" t="s">
        <v>117</v>
      </c>
      <c r="W39" t="str">
        <f t="shared" si="7"/>
        <v>400441</v>
      </c>
      <c r="X39" t="s">
        <v>41</v>
      </c>
      <c r="AD39" s="2">
        <v>46208.893657407411</v>
      </c>
    </row>
    <row r="40" spans="1:30" x14ac:dyDescent="0.35">
      <c r="A40" t="s">
        <v>30</v>
      </c>
      <c r="B40" t="s">
        <v>31</v>
      </c>
      <c r="C40" t="s">
        <v>118</v>
      </c>
      <c r="D40" t="s">
        <v>33</v>
      </c>
      <c r="E40" t="str">
        <f t="shared" si="4"/>
        <v>400441</v>
      </c>
      <c r="F40" t="s">
        <v>65</v>
      </c>
      <c r="G40">
        <v>4</v>
      </c>
      <c r="H40">
        <v>0</v>
      </c>
      <c r="I40" t="s">
        <v>119</v>
      </c>
      <c r="J40" t="str">
        <f t="shared" si="5"/>
        <v>153000412</v>
      </c>
      <c r="K40" s="1">
        <v>48022</v>
      </c>
      <c r="M40" s="1">
        <v>46197</v>
      </c>
      <c r="N40" t="str">
        <f t="shared" si="6"/>
        <v>1329001917</v>
      </c>
      <c r="O40">
        <v>4</v>
      </c>
      <c r="P40" s="2">
        <v>46208.557222222225</v>
      </c>
      <c r="Q40" s="2">
        <v>46208.895497685182</v>
      </c>
      <c r="R40" s="2">
        <v>46208.557222222225</v>
      </c>
      <c r="S40">
        <v>0</v>
      </c>
      <c r="T40" t="s">
        <v>67</v>
      </c>
      <c r="U40" t="s">
        <v>67</v>
      </c>
      <c r="W40" t="str">
        <f t="shared" si="7"/>
        <v>400441</v>
      </c>
      <c r="X40" t="s">
        <v>41</v>
      </c>
      <c r="AD40" s="2">
        <v>46208.895497685182</v>
      </c>
    </row>
    <row r="41" spans="1:30" x14ac:dyDescent="0.35">
      <c r="A41" t="s">
        <v>30</v>
      </c>
      <c r="B41" t="s">
        <v>31</v>
      </c>
      <c r="C41" t="s">
        <v>120</v>
      </c>
      <c r="D41" t="s">
        <v>33</v>
      </c>
      <c r="E41" t="str">
        <f t="shared" si="4"/>
        <v>400441</v>
      </c>
      <c r="F41" t="s">
        <v>65</v>
      </c>
      <c r="G41">
        <v>4</v>
      </c>
      <c r="H41">
        <v>0</v>
      </c>
      <c r="I41" t="s">
        <v>121</v>
      </c>
      <c r="J41" t="str">
        <f t="shared" si="5"/>
        <v>153000412</v>
      </c>
      <c r="K41" s="1">
        <v>48022</v>
      </c>
      <c r="M41" s="1">
        <v>46197</v>
      </c>
      <c r="N41" t="str">
        <f t="shared" si="6"/>
        <v>1329001917</v>
      </c>
      <c r="O41">
        <v>4</v>
      </c>
      <c r="P41" s="2">
        <v>46208.560624999998</v>
      </c>
      <c r="Q41" s="2">
        <v>46208.896550925929</v>
      </c>
      <c r="R41" s="2">
        <v>46208.560624999998</v>
      </c>
      <c r="S41">
        <v>0</v>
      </c>
      <c r="T41" t="s">
        <v>67</v>
      </c>
      <c r="U41" t="s">
        <v>67</v>
      </c>
      <c r="W41" t="str">
        <f t="shared" si="7"/>
        <v>400441</v>
      </c>
      <c r="X41" t="s">
        <v>41</v>
      </c>
      <c r="AD41" s="2">
        <v>46208.896550925929</v>
      </c>
    </row>
    <row r="42" spans="1:30" x14ac:dyDescent="0.35">
      <c r="A42" t="s">
        <v>30</v>
      </c>
      <c r="B42" t="s">
        <v>31</v>
      </c>
      <c r="C42" t="s">
        <v>122</v>
      </c>
      <c r="D42" t="s">
        <v>33</v>
      </c>
      <c r="E42" t="str">
        <f t="shared" si="4"/>
        <v>400441</v>
      </c>
      <c r="F42" t="s">
        <v>65</v>
      </c>
      <c r="G42">
        <v>4</v>
      </c>
      <c r="H42">
        <v>0</v>
      </c>
      <c r="I42" t="s">
        <v>123</v>
      </c>
      <c r="J42" t="str">
        <f t="shared" si="5"/>
        <v>153000412</v>
      </c>
      <c r="K42" s="1">
        <v>48022</v>
      </c>
      <c r="M42" s="1">
        <v>46197</v>
      </c>
      <c r="N42" t="str">
        <f t="shared" si="6"/>
        <v>1329001917</v>
      </c>
      <c r="O42">
        <v>4</v>
      </c>
      <c r="P42" s="2">
        <v>46208.557430555556</v>
      </c>
      <c r="Q42" s="2">
        <v>46208.897685185184</v>
      </c>
      <c r="R42" s="2">
        <v>46208.557430555556</v>
      </c>
      <c r="S42">
        <v>0</v>
      </c>
      <c r="T42" t="s">
        <v>67</v>
      </c>
      <c r="U42" t="s">
        <v>67</v>
      </c>
      <c r="W42" t="str">
        <f t="shared" si="7"/>
        <v>400441</v>
      </c>
      <c r="X42" t="s">
        <v>41</v>
      </c>
      <c r="AD42" s="2">
        <v>46208.897685185184</v>
      </c>
    </row>
    <row r="43" spans="1:30" x14ac:dyDescent="0.35">
      <c r="A43" t="s">
        <v>30</v>
      </c>
      <c r="B43" t="s">
        <v>31</v>
      </c>
      <c r="C43" t="s">
        <v>124</v>
      </c>
      <c r="D43" t="s">
        <v>33</v>
      </c>
      <c r="E43" t="str">
        <f t="shared" si="4"/>
        <v>400441</v>
      </c>
      <c r="F43" t="s">
        <v>65</v>
      </c>
      <c r="G43">
        <v>4</v>
      </c>
      <c r="H43">
        <v>0</v>
      </c>
      <c r="I43" t="s">
        <v>125</v>
      </c>
      <c r="J43" t="str">
        <f t="shared" si="5"/>
        <v>153000412</v>
      </c>
      <c r="K43" s="1">
        <v>48022</v>
      </c>
      <c r="M43" s="1">
        <v>46197</v>
      </c>
      <c r="N43" t="str">
        <f t="shared" si="6"/>
        <v>1329001917</v>
      </c>
      <c r="O43">
        <v>4</v>
      </c>
      <c r="P43" s="2">
        <v>46208.557314814818</v>
      </c>
      <c r="Q43" s="2">
        <v>46208.898865740739</v>
      </c>
      <c r="R43" s="2">
        <v>46208.557314814818</v>
      </c>
      <c r="S43">
        <v>0</v>
      </c>
      <c r="T43" t="s">
        <v>67</v>
      </c>
      <c r="U43" t="s">
        <v>67</v>
      </c>
      <c r="W43" t="str">
        <f t="shared" si="7"/>
        <v>400441</v>
      </c>
      <c r="X43" t="s">
        <v>41</v>
      </c>
      <c r="AD43" s="2">
        <v>46208.898865740739</v>
      </c>
    </row>
    <row r="44" spans="1:30" x14ac:dyDescent="0.35">
      <c r="A44" t="s">
        <v>30</v>
      </c>
      <c r="B44" t="s">
        <v>31</v>
      </c>
      <c r="C44" t="s">
        <v>126</v>
      </c>
      <c r="D44" t="s">
        <v>33</v>
      </c>
      <c r="E44" t="str">
        <f>"400541"</f>
        <v>400541</v>
      </c>
      <c r="F44" t="s">
        <v>127</v>
      </c>
      <c r="G44">
        <v>4</v>
      </c>
      <c r="H44">
        <v>0</v>
      </c>
      <c r="I44" t="s">
        <v>128</v>
      </c>
      <c r="J44" t="str">
        <f>"153000297"</f>
        <v>153000297</v>
      </c>
      <c r="K44" s="1">
        <v>47974</v>
      </c>
      <c r="M44" s="1">
        <v>46149</v>
      </c>
      <c r="N44" t="str">
        <f t="shared" ref="N44:N62" si="8">"1329001919"</f>
        <v>1329001919</v>
      </c>
      <c r="O44">
        <v>4</v>
      </c>
      <c r="P44" s="2">
        <v>46210.571597222224</v>
      </c>
      <c r="Q44" s="2">
        <v>46210.576157407406</v>
      </c>
      <c r="R44" s="2">
        <v>46210.571597222224</v>
      </c>
      <c r="S44">
        <v>0</v>
      </c>
      <c r="T44" t="s">
        <v>67</v>
      </c>
      <c r="U44" t="s">
        <v>67</v>
      </c>
      <c r="W44" t="str">
        <f>"400541"</f>
        <v>400541</v>
      </c>
      <c r="X44" t="s">
        <v>41</v>
      </c>
      <c r="AD44" s="2">
        <v>46210.576157407406</v>
      </c>
    </row>
    <row r="45" spans="1:30" x14ac:dyDescent="0.35">
      <c r="A45" t="s">
        <v>30</v>
      </c>
      <c r="B45" t="s">
        <v>31</v>
      </c>
      <c r="C45" t="s">
        <v>129</v>
      </c>
      <c r="D45" t="s">
        <v>33</v>
      </c>
      <c r="E45" t="str">
        <f>"400541"</f>
        <v>400541</v>
      </c>
      <c r="F45" t="s">
        <v>127</v>
      </c>
      <c r="G45">
        <v>4</v>
      </c>
      <c r="H45">
        <v>0</v>
      </c>
      <c r="I45" t="s">
        <v>130</v>
      </c>
      <c r="J45" t="str">
        <f>"153000297"</f>
        <v>153000297</v>
      </c>
      <c r="K45" s="1">
        <v>47974</v>
      </c>
      <c r="M45" s="1">
        <v>46149</v>
      </c>
      <c r="N45" t="str">
        <f t="shared" si="8"/>
        <v>1329001919</v>
      </c>
      <c r="O45">
        <v>4</v>
      </c>
      <c r="P45" s="2">
        <v>46210.572476851848</v>
      </c>
      <c r="Q45" s="2">
        <v>46210.577511574076</v>
      </c>
      <c r="R45" s="2">
        <v>46210.572476851848</v>
      </c>
      <c r="S45">
        <v>0</v>
      </c>
      <c r="T45" t="s">
        <v>67</v>
      </c>
      <c r="U45" t="s">
        <v>67</v>
      </c>
      <c r="W45" t="str">
        <f>"400541"</f>
        <v>400541</v>
      </c>
      <c r="X45" t="s">
        <v>41</v>
      </c>
      <c r="AD45" s="2">
        <v>46210.577511574076</v>
      </c>
    </row>
    <row r="46" spans="1:30" x14ac:dyDescent="0.35">
      <c r="A46" t="s">
        <v>30</v>
      </c>
      <c r="B46" t="s">
        <v>31</v>
      </c>
      <c r="C46" t="s">
        <v>131</v>
      </c>
      <c r="D46" t="s">
        <v>33</v>
      </c>
      <c r="E46" t="str">
        <f>"400415"</f>
        <v>400415</v>
      </c>
      <c r="F46" t="s">
        <v>39</v>
      </c>
      <c r="G46">
        <v>4</v>
      </c>
      <c r="H46">
        <v>0</v>
      </c>
      <c r="I46" t="s">
        <v>132</v>
      </c>
      <c r="J46" t="str">
        <f>"153000355"</f>
        <v>153000355</v>
      </c>
      <c r="K46" s="1">
        <v>48004</v>
      </c>
      <c r="M46" s="1">
        <v>46179</v>
      </c>
      <c r="N46" t="str">
        <f t="shared" si="8"/>
        <v>1329001919</v>
      </c>
      <c r="O46">
        <v>4</v>
      </c>
      <c r="P46" s="2">
        <v>46210.573009259257</v>
      </c>
      <c r="Q46" s="2">
        <v>46210.5781712963</v>
      </c>
      <c r="R46" s="2">
        <v>46210.573009259257</v>
      </c>
      <c r="S46">
        <v>0</v>
      </c>
      <c r="T46" t="s">
        <v>67</v>
      </c>
      <c r="U46" t="s">
        <v>67</v>
      </c>
      <c r="W46" t="str">
        <f>"400415"</f>
        <v>400415</v>
      </c>
      <c r="X46" t="s">
        <v>41</v>
      </c>
      <c r="AD46" s="2">
        <v>46210.5781712963</v>
      </c>
    </row>
    <row r="47" spans="1:30" x14ac:dyDescent="0.35">
      <c r="A47" t="s">
        <v>30</v>
      </c>
      <c r="B47" t="s">
        <v>31</v>
      </c>
      <c r="C47" t="s">
        <v>133</v>
      </c>
      <c r="D47" t="s">
        <v>33</v>
      </c>
      <c r="E47" t="str">
        <f>"400541"</f>
        <v>400541</v>
      </c>
      <c r="F47" t="s">
        <v>127</v>
      </c>
      <c r="G47">
        <v>4</v>
      </c>
      <c r="H47">
        <v>0</v>
      </c>
      <c r="I47" t="s">
        <v>134</v>
      </c>
      <c r="J47" t="str">
        <f>"153000297"</f>
        <v>153000297</v>
      </c>
      <c r="K47" s="1">
        <v>47974</v>
      </c>
      <c r="M47" s="1">
        <v>46149</v>
      </c>
      <c r="N47" t="str">
        <f t="shared" si="8"/>
        <v>1329001919</v>
      </c>
      <c r="O47">
        <v>4</v>
      </c>
      <c r="P47" s="2">
        <v>46210.573460648149</v>
      </c>
      <c r="Q47" s="2">
        <v>46210.579050925924</v>
      </c>
      <c r="R47" s="2">
        <v>46210.573460648149</v>
      </c>
      <c r="S47">
        <v>0</v>
      </c>
      <c r="T47" t="s">
        <v>67</v>
      </c>
      <c r="U47" t="s">
        <v>67</v>
      </c>
      <c r="W47" t="str">
        <f>"400541"</f>
        <v>400541</v>
      </c>
      <c r="X47" t="s">
        <v>41</v>
      </c>
      <c r="AD47" s="2">
        <v>46210.579050925924</v>
      </c>
    </row>
    <row r="48" spans="1:30" x14ac:dyDescent="0.35">
      <c r="A48" t="s">
        <v>30</v>
      </c>
      <c r="B48" t="s">
        <v>31</v>
      </c>
      <c r="C48" t="s">
        <v>135</v>
      </c>
      <c r="D48" t="s">
        <v>33</v>
      </c>
      <c r="E48" t="str">
        <f>"400415"</f>
        <v>400415</v>
      </c>
      <c r="F48" t="s">
        <v>39</v>
      </c>
      <c r="G48">
        <v>4</v>
      </c>
      <c r="H48">
        <v>0</v>
      </c>
      <c r="I48" t="s">
        <v>136</v>
      </c>
      <c r="J48" t="str">
        <f>"153000355"</f>
        <v>153000355</v>
      </c>
      <c r="K48" s="1">
        <v>48004</v>
      </c>
      <c r="M48" s="1">
        <v>46179</v>
      </c>
      <c r="N48" t="str">
        <f t="shared" si="8"/>
        <v>1329001919</v>
      </c>
      <c r="O48">
        <v>4</v>
      </c>
      <c r="P48" s="2">
        <v>46210.573854166665</v>
      </c>
      <c r="Q48" s="2">
        <v>46210.579907407409</v>
      </c>
      <c r="R48" s="2">
        <v>46210.573854166665</v>
      </c>
      <c r="S48">
        <v>0</v>
      </c>
      <c r="T48" t="s">
        <v>67</v>
      </c>
      <c r="U48" t="s">
        <v>67</v>
      </c>
      <c r="W48" t="str">
        <f>"400415"</f>
        <v>400415</v>
      </c>
      <c r="X48" t="s">
        <v>41</v>
      </c>
      <c r="AD48" s="2">
        <v>46210.579907407409</v>
      </c>
    </row>
    <row r="49" spans="1:30" x14ac:dyDescent="0.35">
      <c r="A49" t="s">
        <v>30</v>
      </c>
      <c r="B49" t="s">
        <v>31</v>
      </c>
      <c r="C49" t="s">
        <v>137</v>
      </c>
      <c r="D49" t="s">
        <v>33</v>
      </c>
      <c r="E49" t="str">
        <f t="shared" ref="E49:E56" si="9">"400541"</f>
        <v>400541</v>
      </c>
      <c r="F49" t="s">
        <v>127</v>
      </c>
      <c r="G49">
        <v>4</v>
      </c>
      <c r="H49">
        <v>0</v>
      </c>
      <c r="I49" t="s">
        <v>138</v>
      </c>
      <c r="J49" t="str">
        <f t="shared" ref="J49:J56" si="10">"153000297"</f>
        <v>153000297</v>
      </c>
      <c r="K49" s="1">
        <v>47974</v>
      </c>
      <c r="M49" s="1">
        <v>46149</v>
      </c>
      <c r="N49" t="str">
        <f t="shared" si="8"/>
        <v>1329001919</v>
      </c>
      <c r="O49">
        <v>4</v>
      </c>
      <c r="P49" s="2">
        <v>46210.57439814815</v>
      </c>
      <c r="Q49" s="2">
        <v>46210.580682870372</v>
      </c>
      <c r="R49" s="2">
        <v>46210.57439814815</v>
      </c>
      <c r="S49">
        <v>0</v>
      </c>
      <c r="T49" t="s">
        <v>67</v>
      </c>
      <c r="U49" t="s">
        <v>67</v>
      </c>
      <c r="W49" t="str">
        <f t="shared" ref="W49:W56" si="11">"400541"</f>
        <v>400541</v>
      </c>
      <c r="X49" t="s">
        <v>41</v>
      </c>
      <c r="AD49" s="2">
        <v>46210.580682870372</v>
      </c>
    </row>
    <row r="50" spans="1:30" x14ac:dyDescent="0.35">
      <c r="A50" t="s">
        <v>30</v>
      </c>
      <c r="B50" t="s">
        <v>31</v>
      </c>
      <c r="C50" t="s">
        <v>139</v>
      </c>
      <c r="D50" t="s">
        <v>33</v>
      </c>
      <c r="E50" t="str">
        <f t="shared" si="9"/>
        <v>400541</v>
      </c>
      <c r="F50" t="s">
        <v>127</v>
      </c>
      <c r="G50">
        <v>4</v>
      </c>
      <c r="H50">
        <v>0</v>
      </c>
      <c r="I50" t="s">
        <v>140</v>
      </c>
      <c r="J50" t="str">
        <f t="shared" si="10"/>
        <v>153000297</v>
      </c>
      <c r="K50" s="1">
        <v>47974</v>
      </c>
      <c r="M50" s="1">
        <v>46149</v>
      </c>
      <c r="N50" t="str">
        <f t="shared" si="8"/>
        <v>1329001919</v>
      </c>
      <c r="O50">
        <v>4</v>
      </c>
      <c r="P50" s="2">
        <v>46210.574861111112</v>
      </c>
      <c r="Q50" s="2">
        <v>46210.581412037034</v>
      </c>
      <c r="R50" s="2">
        <v>46210.574861111112</v>
      </c>
      <c r="S50">
        <v>0</v>
      </c>
      <c r="T50" t="s">
        <v>67</v>
      </c>
      <c r="U50" t="s">
        <v>67</v>
      </c>
      <c r="W50" t="str">
        <f t="shared" si="11"/>
        <v>400541</v>
      </c>
      <c r="X50" t="s">
        <v>41</v>
      </c>
      <c r="AD50" s="2">
        <v>46210.581412037034</v>
      </c>
    </row>
    <row r="51" spans="1:30" x14ac:dyDescent="0.35">
      <c r="A51" t="s">
        <v>30</v>
      </c>
      <c r="B51" t="s">
        <v>31</v>
      </c>
      <c r="C51" t="s">
        <v>141</v>
      </c>
      <c r="D51" t="s">
        <v>33</v>
      </c>
      <c r="E51" t="str">
        <f t="shared" si="9"/>
        <v>400541</v>
      </c>
      <c r="F51" t="s">
        <v>127</v>
      </c>
      <c r="G51">
        <v>4</v>
      </c>
      <c r="H51">
        <v>0</v>
      </c>
      <c r="I51" t="s">
        <v>142</v>
      </c>
      <c r="J51" t="str">
        <f t="shared" si="10"/>
        <v>153000297</v>
      </c>
      <c r="K51" s="1">
        <v>47974</v>
      </c>
      <c r="M51" s="1">
        <v>46149</v>
      </c>
      <c r="N51" t="str">
        <f t="shared" si="8"/>
        <v>1329001919</v>
      </c>
      <c r="O51">
        <v>4</v>
      </c>
      <c r="P51" s="2">
        <v>46210.575266203705</v>
      </c>
      <c r="Q51" s="2">
        <v>46210.582199074073</v>
      </c>
      <c r="R51" s="2">
        <v>46210.575266203705</v>
      </c>
      <c r="S51">
        <v>0</v>
      </c>
      <c r="T51" t="s">
        <v>67</v>
      </c>
      <c r="U51" t="s">
        <v>67</v>
      </c>
      <c r="W51" t="str">
        <f t="shared" si="11"/>
        <v>400541</v>
      </c>
      <c r="X51" t="s">
        <v>41</v>
      </c>
      <c r="AD51" s="2">
        <v>46210.582199074073</v>
      </c>
    </row>
    <row r="52" spans="1:30" x14ac:dyDescent="0.35">
      <c r="A52" t="s">
        <v>30</v>
      </c>
      <c r="B52" t="s">
        <v>31</v>
      </c>
      <c r="C52" t="s">
        <v>143</v>
      </c>
      <c r="D52" t="s">
        <v>33</v>
      </c>
      <c r="E52" t="str">
        <f t="shared" si="9"/>
        <v>400541</v>
      </c>
      <c r="F52" t="s">
        <v>127</v>
      </c>
      <c r="G52">
        <v>4</v>
      </c>
      <c r="H52">
        <v>0</v>
      </c>
      <c r="I52" t="s">
        <v>144</v>
      </c>
      <c r="J52" t="str">
        <f t="shared" si="10"/>
        <v>153000297</v>
      </c>
      <c r="K52" s="1">
        <v>47974</v>
      </c>
      <c r="M52" s="1">
        <v>46149</v>
      </c>
      <c r="N52" t="str">
        <f t="shared" si="8"/>
        <v>1329001919</v>
      </c>
      <c r="O52">
        <v>4</v>
      </c>
      <c r="P52" s="2">
        <v>46210.575706018521</v>
      </c>
      <c r="Q52" s="2">
        <v>46210.582951388889</v>
      </c>
      <c r="R52" s="2">
        <v>46210.575706018521</v>
      </c>
      <c r="S52">
        <v>0</v>
      </c>
      <c r="T52" t="s">
        <v>67</v>
      </c>
      <c r="U52" t="s">
        <v>67</v>
      </c>
      <c r="W52" t="str">
        <f t="shared" si="11"/>
        <v>400541</v>
      </c>
      <c r="X52" t="s">
        <v>41</v>
      </c>
      <c r="AD52" s="2">
        <v>46210.582951388889</v>
      </c>
    </row>
    <row r="53" spans="1:30" x14ac:dyDescent="0.35">
      <c r="A53" t="s">
        <v>30</v>
      </c>
      <c r="B53" t="s">
        <v>31</v>
      </c>
      <c r="C53" t="s">
        <v>145</v>
      </c>
      <c r="D53" t="s">
        <v>33</v>
      </c>
      <c r="E53" t="str">
        <f t="shared" si="9"/>
        <v>400541</v>
      </c>
      <c r="F53" t="s">
        <v>127</v>
      </c>
      <c r="G53">
        <v>4</v>
      </c>
      <c r="H53">
        <v>0</v>
      </c>
      <c r="I53" t="s">
        <v>146</v>
      </c>
      <c r="J53" t="str">
        <f t="shared" si="10"/>
        <v>153000297</v>
      </c>
      <c r="K53" s="1">
        <v>47974</v>
      </c>
      <c r="M53" s="1">
        <v>46149</v>
      </c>
      <c r="N53" t="str">
        <f t="shared" si="8"/>
        <v>1329001919</v>
      </c>
      <c r="O53">
        <v>4</v>
      </c>
      <c r="P53" s="2">
        <v>46210.576238425929</v>
      </c>
      <c r="Q53" s="2">
        <v>46210.583993055552</v>
      </c>
      <c r="R53" s="2">
        <v>46210.576238425929</v>
      </c>
      <c r="S53">
        <v>0</v>
      </c>
      <c r="T53" t="s">
        <v>67</v>
      </c>
      <c r="U53" t="s">
        <v>67</v>
      </c>
      <c r="W53" t="str">
        <f t="shared" si="11"/>
        <v>400541</v>
      </c>
      <c r="X53" t="s">
        <v>41</v>
      </c>
      <c r="AD53" s="2">
        <v>46210.583993055552</v>
      </c>
    </row>
    <row r="54" spans="1:30" x14ac:dyDescent="0.35">
      <c r="A54" t="s">
        <v>30</v>
      </c>
      <c r="B54" t="s">
        <v>31</v>
      </c>
      <c r="C54" t="s">
        <v>147</v>
      </c>
      <c r="D54" t="s">
        <v>33</v>
      </c>
      <c r="E54" t="str">
        <f t="shared" si="9"/>
        <v>400541</v>
      </c>
      <c r="F54" t="s">
        <v>127</v>
      </c>
      <c r="G54">
        <v>4</v>
      </c>
      <c r="H54">
        <v>0</v>
      </c>
      <c r="I54" t="s">
        <v>148</v>
      </c>
      <c r="J54" t="str">
        <f t="shared" si="10"/>
        <v>153000297</v>
      </c>
      <c r="K54" s="1">
        <v>47974</v>
      </c>
      <c r="M54" s="1">
        <v>46149</v>
      </c>
      <c r="N54" t="str">
        <f t="shared" si="8"/>
        <v>1329001919</v>
      </c>
      <c r="O54">
        <v>4</v>
      </c>
      <c r="P54" s="2">
        <v>46210.576585648145</v>
      </c>
      <c r="Q54" s="2">
        <v>46210.584490740737</v>
      </c>
      <c r="R54" s="2">
        <v>46210.576585648145</v>
      </c>
      <c r="S54">
        <v>0</v>
      </c>
      <c r="T54" t="s">
        <v>67</v>
      </c>
      <c r="U54" t="s">
        <v>67</v>
      </c>
      <c r="W54" t="str">
        <f t="shared" si="11"/>
        <v>400541</v>
      </c>
      <c r="X54" t="s">
        <v>41</v>
      </c>
      <c r="AD54" s="2">
        <v>46210.584490740737</v>
      </c>
    </row>
    <row r="55" spans="1:30" x14ac:dyDescent="0.35">
      <c r="A55" t="s">
        <v>30</v>
      </c>
      <c r="B55" t="s">
        <v>31</v>
      </c>
      <c r="C55" t="s">
        <v>149</v>
      </c>
      <c r="D55" t="s">
        <v>33</v>
      </c>
      <c r="E55" t="str">
        <f t="shared" si="9"/>
        <v>400541</v>
      </c>
      <c r="F55" t="s">
        <v>127</v>
      </c>
      <c r="G55">
        <v>4</v>
      </c>
      <c r="H55">
        <v>0</v>
      </c>
      <c r="I55" t="s">
        <v>150</v>
      </c>
      <c r="J55" t="str">
        <f t="shared" si="10"/>
        <v>153000297</v>
      </c>
      <c r="K55" s="1">
        <v>47974</v>
      </c>
      <c r="M55" s="1">
        <v>46149</v>
      </c>
      <c r="N55" t="str">
        <f t="shared" si="8"/>
        <v>1329001919</v>
      </c>
      <c r="O55">
        <v>4</v>
      </c>
      <c r="P55" s="2">
        <v>46210.577002314814</v>
      </c>
      <c r="Q55" s="2">
        <v>46210.585243055553</v>
      </c>
      <c r="R55" s="2">
        <v>46210.577002314814</v>
      </c>
      <c r="S55">
        <v>0</v>
      </c>
      <c r="T55" t="s">
        <v>67</v>
      </c>
      <c r="U55" t="s">
        <v>67</v>
      </c>
      <c r="W55" t="str">
        <f t="shared" si="11"/>
        <v>400541</v>
      </c>
      <c r="X55" t="s">
        <v>41</v>
      </c>
      <c r="AD55" s="2">
        <v>46210.585243055553</v>
      </c>
    </row>
    <row r="56" spans="1:30" x14ac:dyDescent="0.35">
      <c r="A56" t="s">
        <v>30</v>
      </c>
      <c r="B56" t="s">
        <v>31</v>
      </c>
      <c r="C56" t="s">
        <v>151</v>
      </c>
      <c r="D56" t="s">
        <v>33</v>
      </c>
      <c r="E56" t="str">
        <f t="shared" si="9"/>
        <v>400541</v>
      </c>
      <c r="F56" t="s">
        <v>127</v>
      </c>
      <c r="G56">
        <v>4</v>
      </c>
      <c r="H56">
        <v>0</v>
      </c>
      <c r="I56" t="s">
        <v>152</v>
      </c>
      <c r="J56" t="str">
        <f t="shared" si="10"/>
        <v>153000297</v>
      </c>
      <c r="K56" s="1">
        <v>47974</v>
      </c>
      <c r="M56" s="1">
        <v>46149</v>
      </c>
      <c r="N56" t="str">
        <f t="shared" si="8"/>
        <v>1329001919</v>
      </c>
      <c r="O56">
        <v>4</v>
      </c>
      <c r="P56" s="2">
        <v>46210.577384259261</v>
      </c>
      <c r="Q56" s="2">
        <v>46210.586192129631</v>
      </c>
      <c r="R56" s="2">
        <v>46210.577384259261</v>
      </c>
      <c r="S56">
        <v>0</v>
      </c>
      <c r="T56" t="s">
        <v>67</v>
      </c>
      <c r="U56" t="s">
        <v>67</v>
      </c>
      <c r="W56" t="str">
        <f t="shared" si="11"/>
        <v>400541</v>
      </c>
      <c r="X56" t="s">
        <v>41</v>
      </c>
      <c r="AD56" s="2">
        <v>46210.586192129631</v>
      </c>
    </row>
    <row r="57" spans="1:30" x14ac:dyDescent="0.35">
      <c r="A57" t="s">
        <v>30</v>
      </c>
      <c r="B57" t="s">
        <v>31</v>
      </c>
      <c r="C57" t="s">
        <v>153</v>
      </c>
      <c r="D57" t="s">
        <v>33</v>
      </c>
      <c r="E57" t="str">
        <f>"400415"</f>
        <v>400415</v>
      </c>
      <c r="F57" t="s">
        <v>39</v>
      </c>
      <c r="G57">
        <v>4</v>
      </c>
      <c r="H57">
        <v>0</v>
      </c>
      <c r="I57" t="s">
        <v>154</v>
      </c>
      <c r="J57" t="str">
        <f>"153000355"</f>
        <v>153000355</v>
      </c>
      <c r="K57" s="1">
        <v>48004</v>
      </c>
      <c r="M57" s="1">
        <v>46179</v>
      </c>
      <c r="N57" t="str">
        <f t="shared" si="8"/>
        <v>1329001919</v>
      </c>
      <c r="O57">
        <v>4</v>
      </c>
      <c r="P57" s="2">
        <v>46210.567685185182</v>
      </c>
      <c r="Q57" s="2">
        <v>46210.586921296293</v>
      </c>
      <c r="R57" s="2">
        <v>46210.567685185182</v>
      </c>
      <c r="S57">
        <v>0</v>
      </c>
      <c r="T57" t="s">
        <v>67</v>
      </c>
      <c r="U57" t="s">
        <v>67</v>
      </c>
      <c r="W57" t="str">
        <f>"400415"</f>
        <v>400415</v>
      </c>
      <c r="X57" t="s">
        <v>41</v>
      </c>
      <c r="AD57" s="2">
        <v>46210.586921296293</v>
      </c>
    </row>
    <row r="58" spans="1:30" x14ac:dyDescent="0.35">
      <c r="A58" t="s">
        <v>30</v>
      </c>
      <c r="B58" t="s">
        <v>31</v>
      </c>
      <c r="C58" t="s">
        <v>155</v>
      </c>
      <c r="D58" t="s">
        <v>33</v>
      </c>
      <c r="E58" t="str">
        <f>"400541"</f>
        <v>400541</v>
      </c>
      <c r="F58" t="s">
        <v>127</v>
      </c>
      <c r="G58">
        <v>4</v>
      </c>
      <c r="H58">
        <v>0</v>
      </c>
      <c r="I58" t="s">
        <v>156</v>
      </c>
      <c r="J58" t="str">
        <f>"153000297"</f>
        <v>153000297</v>
      </c>
      <c r="K58" s="1">
        <v>47974</v>
      </c>
      <c r="M58" s="1">
        <v>46149</v>
      </c>
      <c r="N58" t="str">
        <f t="shared" si="8"/>
        <v>1329001919</v>
      </c>
      <c r="O58">
        <v>4</v>
      </c>
      <c r="P58" s="2">
        <v>46210.568113425928</v>
      </c>
      <c r="Q58" s="2">
        <v>46210.587719907409</v>
      </c>
      <c r="R58" s="2">
        <v>46210.568101851852</v>
      </c>
      <c r="S58">
        <v>0</v>
      </c>
      <c r="T58" t="s">
        <v>67</v>
      </c>
      <c r="U58" t="s">
        <v>67</v>
      </c>
      <c r="W58" t="str">
        <f>"400541"</f>
        <v>400541</v>
      </c>
      <c r="X58" t="s">
        <v>41</v>
      </c>
      <c r="AD58" s="2">
        <v>46210.587719907409</v>
      </c>
    </row>
    <row r="59" spans="1:30" x14ac:dyDescent="0.35">
      <c r="A59" t="s">
        <v>30</v>
      </c>
      <c r="B59" t="s">
        <v>31</v>
      </c>
      <c r="C59" t="s">
        <v>157</v>
      </c>
      <c r="D59" t="s">
        <v>33</v>
      </c>
      <c r="E59" t="str">
        <f>"400415"</f>
        <v>400415</v>
      </c>
      <c r="F59" t="s">
        <v>39</v>
      </c>
      <c r="G59">
        <v>4</v>
      </c>
      <c r="H59">
        <v>0</v>
      </c>
      <c r="I59" t="s">
        <v>158</v>
      </c>
      <c r="J59" t="str">
        <f>"153000355"</f>
        <v>153000355</v>
      </c>
      <c r="K59" s="1">
        <v>48004</v>
      </c>
      <c r="M59" s="1">
        <v>46179</v>
      </c>
      <c r="N59" t="str">
        <f t="shared" si="8"/>
        <v>1329001919</v>
      </c>
      <c r="O59">
        <v>4</v>
      </c>
      <c r="P59" s="2">
        <v>46210.56858796296</v>
      </c>
      <c r="Q59" s="2">
        <v>46210.588564814818</v>
      </c>
      <c r="R59" s="2">
        <v>46210.56858796296</v>
      </c>
      <c r="S59">
        <v>0</v>
      </c>
      <c r="T59" t="s">
        <v>67</v>
      </c>
      <c r="U59" t="s">
        <v>67</v>
      </c>
      <c r="W59" t="str">
        <f>"400415"</f>
        <v>400415</v>
      </c>
      <c r="X59" t="s">
        <v>41</v>
      </c>
      <c r="AD59" s="2">
        <v>46210.588564814818</v>
      </c>
    </row>
    <row r="60" spans="1:30" x14ac:dyDescent="0.35">
      <c r="A60" t="s">
        <v>30</v>
      </c>
      <c r="B60" t="s">
        <v>31</v>
      </c>
      <c r="C60" t="s">
        <v>159</v>
      </c>
      <c r="D60" t="s">
        <v>33</v>
      </c>
      <c r="E60" t="str">
        <f>"400415"</f>
        <v>400415</v>
      </c>
      <c r="F60" t="s">
        <v>39</v>
      </c>
      <c r="G60">
        <v>4</v>
      </c>
      <c r="H60">
        <v>0</v>
      </c>
      <c r="I60" t="s">
        <v>160</v>
      </c>
      <c r="J60" t="str">
        <f>"153000355"</f>
        <v>153000355</v>
      </c>
      <c r="K60" s="1">
        <v>48004</v>
      </c>
      <c r="M60" s="1">
        <v>46179</v>
      </c>
      <c r="N60" t="str">
        <f t="shared" si="8"/>
        <v>1329001919</v>
      </c>
      <c r="O60">
        <v>4</v>
      </c>
      <c r="P60" s="2">
        <v>46210.569085648145</v>
      </c>
      <c r="Q60" s="2">
        <v>46210.58966435185</v>
      </c>
      <c r="R60" s="2">
        <v>46210.569085648145</v>
      </c>
      <c r="S60">
        <v>0</v>
      </c>
      <c r="T60" t="s">
        <v>67</v>
      </c>
      <c r="U60" t="s">
        <v>67</v>
      </c>
      <c r="W60" t="str">
        <f>"400415"</f>
        <v>400415</v>
      </c>
      <c r="X60" t="s">
        <v>41</v>
      </c>
      <c r="AD60" s="2">
        <v>46210.58966435185</v>
      </c>
    </row>
    <row r="61" spans="1:30" x14ac:dyDescent="0.35">
      <c r="A61" t="s">
        <v>30</v>
      </c>
      <c r="B61" t="s">
        <v>31</v>
      </c>
      <c r="C61" t="s">
        <v>161</v>
      </c>
      <c r="D61" t="s">
        <v>33</v>
      </c>
      <c r="E61" t="str">
        <f>"400415"</f>
        <v>400415</v>
      </c>
      <c r="F61" t="s">
        <v>39</v>
      </c>
      <c r="G61">
        <v>4</v>
      </c>
      <c r="H61">
        <v>0</v>
      </c>
      <c r="I61" t="s">
        <v>162</v>
      </c>
      <c r="J61" t="str">
        <f>"153000355"</f>
        <v>153000355</v>
      </c>
      <c r="K61" s="1">
        <v>48004</v>
      </c>
      <c r="M61" s="1">
        <v>46179</v>
      </c>
      <c r="N61" t="str">
        <f t="shared" si="8"/>
        <v>1329001919</v>
      </c>
      <c r="O61">
        <v>4</v>
      </c>
      <c r="P61" s="2">
        <v>46210.569571759261</v>
      </c>
      <c r="Q61" s="2">
        <v>46210.590312499997</v>
      </c>
      <c r="R61" s="2">
        <v>46210.569571759261</v>
      </c>
      <c r="S61">
        <v>0</v>
      </c>
      <c r="T61" t="s">
        <v>67</v>
      </c>
      <c r="U61" t="s">
        <v>67</v>
      </c>
      <c r="W61" t="str">
        <f>"400415"</f>
        <v>400415</v>
      </c>
      <c r="X61" t="s">
        <v>41</v>
      </c>
      <c r="AD61" s="2">
        <v>46210.590312499997</v>
      </c>
    </row>
    <row r="62" spans="1:30" x14ac:dyDescent="0.35">
      <c r="A62" t="s">
        <v>30</v>
      </c>
      <c r="B62" t="s">
        <v>31</v>
      </c>
      <c r="C62" t="s">
        <v>163</v>
      </c>
      <c r="D62" t="s">
        <v>33</v>
      </c>
      <c r="E62" t="str">
        <f>"400541"</f>
        <v>400541</v>
      </c>
      <c r="F62" t="s">
        <v>127</v>
      </c>
      <c r="G62">
        <v>4</v>
      </c>
      <c r="H62">
        <v>0</v>
      </c>
      <c r="I62" t="s">
        <v>164</v>
      </c>
      <c r="J62" t="str">
        <f>"153000297"</f>
        <v>153000297</v>
      </c>
      <c r="K62" s="1">
        <v>47974</v>
      </c>
      <c r="M62" s="1">
        <v>46149</v>
      </c>
      <c r="N62" t="str">
        <f t="shared" si="8"/>
        <v>1329001919</v>
      </c>
      <c r="O62">
        <v>4</v>
      </c>
      <c r="P62" s="2">
        <v>46210.570023148146</v>
      </c>
      <c r="Q62" s="2">
        <v>46210.591331018521</v>
      </c>
      <c r="R62" s="2">
        <v>46210.570023148146</v>
      </c>
      <c r="S62">
        <v>0</v>
      </c>
      <c r="T62" t="s">
        <v>67</v>
      </c>
      <c r="U62" t="s">
        <v>67</v>
      </c>
      <c r="V62" t="s">
        <v>165</v>
      </c>
      <c r="W62" t="str">
        <f>"400541"</f>
        <v>400541</v>
      </c>
      <c r="X62" t="s">
        <v>41</v>
      </c>
      <c r="AD62" s="2">
        <v>46210.591249999998</v>
      </c>
    </row>
    <row r="63" spans="1:30" x14ac:dyDescent="0.35">
      <c r="A63" t="s">
        <v>30</v>
      </c>
      <c r="B63" t="s">
        <v>31</v>
      </c>
      <c r="C63" t="s">
        <v>166</v>
      </c>
      <c r="D63" t="s">
        <v>33</v>
      </c>
      <c r="E63" t="str">
        <f>"400904"</f>
        <v>400904</v>
      </c>
      <c r="F63" t="s">
        <v>167</v>
      </c>
      <c r="G63">
        <v>4</v>
      </c>
      <c r="H63">
        <v>0</v>
      </c>
      <c r="I63" t="s">
        <v>168</v>
      </c>
      <c r="J63" t="str">
        <f>"400004552"</f>
        <v>400004552</v>
      </c>
      <c r="K63" s="1">
        <v>48018</v>
      </c>
      <c r="M63" s="1">
        <v>46193</v>
      </c>
      <c r="N63" t="str">
        <f>"1329001918"</f>
        <v>1329001918</v>
      </c>
      <c r="O63">
        <v>4</v>
      </c>
      <c r="P63" s="2">
        <v>46210.586550925924</v>
      </c>
      <c r="Q63" s="2">
        <v>46210.616643518515</v>
      </c>
      <c r="R63" s="2">
        <v>46210.586550925924</v>
      </c>
      <c r="S63">
        <v>0</v>
      </c>
      <c r="T63" t="s">
        <v>67</v>
      </c>
      <c r="U63" t="s">
        <v>67</v>
      </c>
      <c r="W63" t="str">
        <f>"400904"</f>
        <v>400904</v>
      </c>
      <c r="X63" t="s">
        <v>41</v>
      </c>
      <c r="AD63" s="2">
        <v>46210.616643518515</v>
      </c>
    </row>
    <row r="64" spans="1:30" x14ac:dyDescent="0.35">
      <c r="A64" t="s">
        <v>30</v>
      </c>
      <c r="B64" t="s">
        <v>31</v>
      </c>
      <c r="C64" t="s">
        <v>169</v>
      </c>
      <c r="D64" t="s">
        <v>33</v>
      </c>
      <c r="E64" t="str">
        <f>"400904"</f>
        <v>400904</v>
      </c>
      <c r="F64" t="s">
        <v>167</v>
      </c>
      <c r="G64">
        <v>4</v>
      </c>
      <c r="H64">
        <v>0</v>
      </c>
      <c r="I64" t="s">
        <v>170</v>
      </c>
      <c r="J64" t="str">
        <f>"400004552"</f>
        <v>400004552</v>
      </c>
      <c r="K64" s="1">
        <v>48018</v>
      </c>
      <c r="M64" s="1">
        <v>46193</v>
      </c>
      <c r="N64" t="str">
        <f>"1329001918"</f>
        <v>1329001918</v>
      </c>
      <c r="O64">
        <v>4</v>
      </c>
      <c r="P64" s="2">
        <v>46210.586180555554</v>
      </c>
      <c r="Q64" s="2">
        <v>46210.616678240738</v>
      </c>
      <c r="R64" s="2">
        <v>46210.586180555554</v>
      </c>
      <c r="S64">
        <v>0</v>
      </c>
      <c r="T64" t="s">
        <v>67</v>
      </c>
      <c r="U64" t="s">
        <v>67</v>
      </c>
      <c r="W64" t="str">
        <f>"400904"</f>
        <v>400904</v>
      </c>
      <c r="X64" t="s">
        <v>41</v>
      </c>
      <c r="AD64" s="2">
        <v>46210.616678240738</v>
      </c>
    </row>
    <row r="65" spans="1:30" x14ac:dyDescent="0.35">
      <c r="A65" t="s">
        <v>30</v>
      </c>
      <c r="B65" t="s">
        <v>31</v>
      </c>
      <c r="C65" t="s">
        <v>171</v>
      </c>
      <c r="D65" t="s">
        <v>33</v>
      </c>
      <c r="E65" t="str">
        <f>"400904"</f>
        <v>400904</v>
      </c>
      <c r="F65" t="s">
        <v>167</v>
      </c>
      <c r="G65">
        <v>4</v>
      </c>
      <c r="H65">
        <v>0</v>
      </c>
      <c r="I65" t="s">
        <v>172</v>
      </c>
      <c r="J65" t="str">
        <f>"400004552"</f>
        <v>400004552</v>
      </c>
      <c r="K65" s="1">
        <v>48018</v>
      </c>
      <c r="M65" s="1">
        <v>46193</v>
      </c>
      <c r="N65" t="str">
        <f>"1329001918"</f>
        <v>1329001918</v>
      </c>
      <c r="O65">
        <v>4</v>
      </c>
      <c r="P65" s="2">
        <v>46210.585833333331</v>
      </c>
      <c r="Q65" s="2">
        <v>46210.616759259261</v>
      </c>
      <c r="R65" s="2">
        <v>46210.585833333331</v>
      </c>
      <c r="S65">
        <v>0</v>
      </c>
      <c r="T65" t="s">
        <v>67</v>
      </c>
      <c r="U65" t="s">
        <v>67</v>
      </c>
      <c r="W65" t="str">
        <f>"400904"</f>
        <v>400904</v>
      </c>
      <c r="X65" t="s">
        <v>41</v>
      </c>
      <c r="AD65" s="2">
        <v>46210.616759259261</v>
      </c>
    </row>
    <row r="66" spans="1:30" x14ac:dyDescent="0.35">
      <c r="A66" t="s">
        <v>30</v>
      </c>
      <c r="B66" t="s">
        <v>31</v>
      </c>
      <c r="C66" t="s">
        <v>173</v>
      </c>
      <c r="D66" t="s">
        <v>33</v>
      </c>
      <c r="E66" t="str">
        <f>"400912"</f>
        <v>400912</v>
      </c>
      <c r="F66" t="s">
        <v>174</v>
      </c>
      <c r="G66">
        <v>4</v>
      </c>
      <c r="H66">
        <v>0</v>
      </c>
      <c r="I66" t="s">
        <v>175</v>
      </c>
      <c r="J66" t="str">
        <f>"400004539"</f>
        <v>400004539</v>
      </c>
      <c r="K66" s="1">
        <v>48012</v>
      </c>
      <c r="M66" s="1">
        <v>46187</v>
      </c>
      <c r="N66" t="str">
        <f>"1329001918"</f>
        <v>1329001918</v>
      </c>
      <c r="O66">
        <v>4</v>
      </c>
      <c r="P66" s="2">
        <v>46210.585231481484</v>
      </c>
      <c r="Q66" s="2">
        <v>46210.616782407407</v>
      </c>
      <c r="R66" s="2">
        <v>46210.585231481484</v>
      </c>
      <c r="S66">
        <v>0</v>
      </c>
      <c r="T66" t="s">
        <v>67</v>
      </c>
      <c r="U66" t="s">
        <v>67</v>
      </c>
      <c r="W66" t="str">
        <f>"400912"</f>
        <v>400912</v>
      </c>
      <c r="X66" t="s">
        <v>41</v>
      </c>
      <c r="AD66" s="2">
        <v>46210.616782407407</v>
      </c>
    </row>
    <row r="67" spans="1:30" x14ac:dyDescent="0.35">
      <c r="A67" t="s">
        <v>30</v>
      </c>
      <c r="B67" t="s">
        <v>31</v>
      </c>
      <c r="C67" t="s">
        <v>176</v>
      </c>
      <c r="D67" t="s">
        <v>33</v>
      </c>
      <c r="E67" t="str">
        <f>"400912"</f>
        <v>400912</v>
      </c>
      <c r="F67" t="s">
        <v>174</v>
      </c>
      <c r="G67">
        <v>4</v>
      </c>
      <c r="H67">
        <v>0</v>
      </c>
      <c r="I67" t="s">
        <v>177</v>
      </c>
      <c r="J67" t="str">
        <f>"400004539"</f>
        <v>400004539</v>
      </c>
      <c r="K67" s="1">
        <v>48012</v>
      </c>
      <c r="M67" s="1">
        <v>46187</v>
      </c>
      <c r="N67" t="str">
        <f>"1329001918"</f>
        <v>1329001918</v>
      </c>
      <c r="O67">
        <v>4</v>
      </c>
      <c r="P67" s="2">
        <v>46210.584374999999</v>
      </c>
      <c r="Q67" s="2">
        <v>46210.620694444442</v>
      </c>
      <c r="R67" s="2">
        <v>46210.584374999999</v>
      </c>
      <c r="S67">
        <v>0</v>
      </c>
      <c r="T67" t="s">
        <v>67</v>
      </c>
      <c r="U67" t="s">
        <v>67</v>
      </c>
      <c r="W67" t="str">
        <f>"400912"</f>
        <v>400912</v>
      </c>
      <c r="X67" t="s">
        <v>41</v>
      </c>
      <c r="AD67" s="2">
        <v>46210.620694444442</v>
      </c>
    </row>
    <row r="68" spans="1:30" x14ac:dyDescent="0.35">
      <c r="A68" t="s">
        <v>30</v>
      </c>
      <c r="B68" t="s">
        <v>31</v>
      </c>
      <c r="C68" t="s">
        <v>178</v>
      </c>
      <c r="D68" t="s">
        <v>33</v>
      </c>
      <c r="E68" t="str">
        <f>"400541"</f>
        <v>400541</v>
      </c>
      <c r="F68" t="s">
        <v>127</v>
      </c>
      <c r="G68">
        <v>4</v>
      </c>
      <c r="H68">
        <v>0</v>
      </c>
      <c r="I68" t="s">
        <v>179</v>
      </c>
      <c r="J68" t="str">
        <f>"4"</f>
        <v>4</v>
      </c>
      <c r="K68" s="1">
        <v>47974</v>
      </c>
      <c r="M68" s="1">
        <v>46149</v>
      </c>
      <c r="N68" t="str">
        <f>"1329001919"</f>
        <v>1329001919</v>
      </c>
      <c r="O68">
        <v>4</v>
      </c>
      <c r="P68" s="2">
        <v>46210.563356481478</v>
      </c>
      <c r="Q68" s="2">
        <v>46210.621932870374</v>
      </c>
      <c r="R68" s="2">
        <v>46210.563356481478</v>
      </c>
      <c r="S68">
        <v>0</v>
      </c>
      <c r="T68" t="s">
        <v>67</v>
      </c>
      <c r="U68" t="s">
        <v>67</v>
      </c>
      <c r="W68" t="str">
        <f>"400541"</f>
        <v>400541</v>
      </c>
      <c r="X68" t="s">
        <v>41</v>
      </c>
      <c r="AD68" s="2">
        <v>46210.621932870374</v>
      </c>
    </row>
    <row r="69" spans="1:30" x14ac:dyDescent="0.35">
      <c r="A69" t="s">
        <v>30</v>
      </c>
      <c r="B69" t="s">
        <v>31</v>
      </c>
      <c r="C69" t="s">
        <v>180</v>
      </c>
      <c r="D69" t="s">
        <v>33</v>
      </c>
      <c r="E69" t="str">
        <f>"400415"</f>
        <v>400415</v>
      </c>
      <c r="F69" t="s">
        <v>39</v>
      </c>
      <c r="G69">
        <v>4</v>
      </c>
      <c r="H69">
        <v>0</v>
      </c>
      <c r="I69" t="s">
        <v>181</v>
      </c>
      <c r="J69" t="str">
        <f>"153000355"</f>
        <v>153000355</v>
      </c>
      <c r="K69" s="1">
        <v>48004</v>
      </c>
      <c r="M69" s="1">
        <v>46179</v>
      </c>
      <c r="N69" t="str">
        <f>"1329001919"</f>
        <v>1329001919</v>
      </c>
      <c r="O69">
        <v>4</v>
      </c>
      <c r="P69" s="2">
        <v>46210.562615740739</v>
      </c>
      <c r="Q69" s="2">
        <v>46210.622407407405</v>
      </c>
      <c r="R69" s="2">
        <v>46210.562615740739</v>
      </c>
      <c r="S69">
        <v>0</v>
      </c>
      <c r="T69" t="s">
        <v>67</v>
      </c>
      <c r="U69" t="s">
        <v>67</v>
      </c>
      <c r="W69" t="str">
        <f>"400415"</f>
        <v>400415</v>
      </c>
      <c r="X69" t="s">
        <v>41</v>
      </c>
      <c r="AD69" s="2">
        <v>46210.622407407405</v>
      </c>
    </row>
    <row r="70" spans="1:30" x14ac:dyDescent="0.35">
      <c r="A70" t="s">
        <v>30</v>
      </c>
      <c r="B70" t="s">
        <v>31</v>
      </c>
      <c r="C70" t="s">
        <v>182</v>
      </c>
      <c r="D70" t="s">
        <v>33</v>
      </c>
      <c r="E70" t="str">
        <f>"400415"</f>
        <v>400415</v>
      </c>
      <c r="F70" t="s">
        <v>39</v>
      </c>
      <c r="G70">
        <v>4</v>
      </c>
      <c r="H70">
        <v>0</v>
      </c>
      <c r="I70" t="s">
        <v>183</v>
      </c>
      <c r="J70" t="str">
        <f>"153000355"</f>
        <v>153000355</v>
      </c>
      <c r="K70" s="1">
        <v>48004</v>
      </c>
      <c r="M70" s="1">
        <v>46179</v>
      </c>
      <c r="N70" t="str">
        <f>"1329001919"</f>
        <v>1329001919</v>
      </c>
      <c r="O70">
        <v>4</v>
      </c>
      <c r="P70" s="2">
        <v>46210.570428240739</v>
      </c>
      <c r="Q70" s="2">
        <v>46210.622442129628</v>
      </c>
      <c r="R70" s="2">
        <v>46210.570428240739</v>
      </c>
      <c r="S70">
        <v>0</v>
      </c>
      <c r="T70" t="s">
        <v>67</v>
      </c>
      <c r="U70" t="s">
        <v>67</v>
      </c>
      <c r="W70" t="str">
        <f>"400415"</f>
        <v>400415</v>
      </c>
      <c r="X70" t="s">
        <v>41</v>
      </c>
      <c r="AD70" s="2">
        <v>46210.622442129628</v>
      </c>
    </row>
    <row r="71" spans="1:30" x14ac:dyDescent="0.35">
      <c r="A71" t="s">
        <v>30</v>
      </c>
      <c r="B71" t="s">
        <v>31</v>
      </c>
      <c r="C71" t="s">
        <v>184</v>
      </c>
      <c r="D71" t="s">
        <v>33</v>
      </c>
      <c r="E71" t="str">
        <f>"400415"</f>
        <v>400415</v>
      </c>
      <c r="F71" t="s">
        <v>39</v>
      </c>
      <c r="G71">
        <v>4</v>
      </c>
      <c r="H71">
        <v>0</v>
      </c>
      <c r="I71" t="s">
        <v>185</v>
      </c>
      <c r="J71" t="str">
        <f>"153000355"</f>
        <v>153000355</v>
      </c>
      <c r="K71" s="1">
        <v>48004</v>
      </c>
      <c r="M71" s="1">
        <v>46179</v>
      </c>
      <c r="N71" t="str">
        <f>"1329001919"</f>
        <v>1329001919</v>
      </c>
      <c r="O71">
        <v>4</v>
      </c>
      <c r="P71" s="2">
        <v>46210.562835648147</v>
      </c>
      <c r="Q71" s="2">
        <v>46210.622881944444</v>
      </c>
      <c r="R71" s="2">
        <v>46210.562835648147</v>
      </c>
      <c r="S71">
        <v>0</v>
      </c>
      <c r="T71" t="s">
        <v>67</v>
      </c>
      <c r="U71" t="s">
        <v>67</v>
      </c>
      <c r="W71" t="str">
        <f>"400415"</f>
        <v>400415</v>
      </c>
      <c r="X71" t="s">
        <v>41</v>
      </c>
      <c r="AD71" s="2">
        <v>46210.622881944444</v>
      </c>
    </row>
    <row r="72" spans="1:30" x14ac:dyDescent="0.35">
      <c r="A72" t="s">
        <v>30</v>
      </c>
      <c r="B72" t="s">
        <v>31</v>
      </c>
      <c r="C72" t="s">
        <v>186</v>
      </c>
      <c r="D72" t="s">
        <v>33</v>
      </c>
      <c r="E72" t="str">
        <f>"400904"</f>
        <v>400904</v>
      </c>
      <c r="F72" t="s">
        <v>167</v>
      </c>
      <c r="G72">
        <v>4</v>
      </c>
      <c r="H72">
        <v>0</v>
      </c>
      <c r="I72" t="s">
        <v>187</v>
      </c>
      <c r="J72" t="str">
        <f>"400004552"</f>
        <v>400004552</v>
      </c>
      <c r="K72" s="1">
        <v>48018</v>
      </c>
      <c r="M72" s="1">
        <v>46193</v>
      </c>
      <c r="N72" t="str">
        <f t="shared" ref="N72:N94" si="12">"1329001918"</f>
        <v>1329001918</v>
      </c>
      <c r="O72">
        <v>4</v>
      </c>
      <c r="P72" s="2">
        <v>46210.587025462963</v>
      </c>
      <c r="Q72" s="2">
        <v>46210.623657407406</v>
      </c>
      <c r="R72" s="2">
        <v>46210.587025462963</v>
      </c>
      <c r="S72">
        <v>0</v>
      </c>
      <c r="T72" t="s">
        <v>67</v>
      </c>
      <c r="U72" t="s">
        <v>67</v>
      </c>
      <c r="W72" t="str">
        <f>"400904"</f>
        <v>400904</v>
      </c>
      <c r="X72" t="s">
        <v>41</v>
      </c>
      <c r="AD72" s="2">
        <v>46210.623657407406</v>
      </c>
    </row>
    <row r="73" spans="1:30" x14ac:dyDescent="0.35">
      <c r="A73" t="s">
        <v>30</v>
      </c>
      <c r="B73" t="s">
        <v>31</v>
      </c>
      <c r="C73" t="s">
        <v>188</v>
      </c>
      <c r="D73" t="s">
        <v>33</v>
      </c>
      <c r="E73" t="str">
        <f>"400912"</f>
        <v>400912</v>
      </c>
      <c r="F73" t="s">
        <v>174</v>
      </c>
      <c r="G73">
        <v>4</v>
      </c>
      <c r="H73">
        <v>0</v>
      </c>
      <c r="I73" t="s">
        <v>189</v>
      </c>
      <c r="J73" t="str">
        <f>"400004533"</f>
        <v>400004533</v>
      </c>
      <c r="K73" s="1">
        <v>48011</v>
      </c>
      <c r="M73" s="1">
        <v>46186</v>
      </c>
      <c r="N73" t="str">
        <f t="shared" si="12"/>
        <v>1329001918</v>
      </c>
      <c r="O73">
        <v>4</v>
      </c>
      <c r="P73" s="2">
        <v>46210.587800925925</v>
      </c>
      <c r="Q73" s="2">
        <v>46210.624513888892</v>
      </c>
      <c r="R73" s="2">
        <v>46210.587800925925</v>
      </c>
      <c r="S73">
        <v>0</v>
      </c>
      <c r="T73" t="s">
        <v>67</v>
      </c>
      <c r="U73" t="s">
        <v>67</v>
      </c>
      <c r="W73" t="str">
        <f>"400912"</f>
        <v>400912</v>
      </c>
      <c r="X73" t="s">
        <v>41</v>
      </c>
      <c r="AD73" s="2">
        <v>46210.624513888892</v>
      </c>
    </row>
    <row r="74" spans="1:30" x14ac:dyDescent="0.35">
      <c r="A74" t="s">
        <v>30</v>
      </c>
      <c r="B74" t="s">
        <v>31</v>
      </c>
      <c r="C74" t="s">
        <v>190</v>
      </c>
      <c r="D74" t="s">
        <v>33</v>
      </c>
      <c r="E74" t="str">
        <f>"400904"</f>
        <v>400904</v>
      </c>
      <c r="F74" t="s">
        <v>167</v>
      </c>
      <c r="G74">
        <v>4</v>
      </c>
      <c r="H74">
        <v>0</v>
      </c>
      <c r="I74" t="s">
        <v>191</v>
      </c>
      <c r="J74" t="str">
        <f>"400004552"</f>
        <v>400004552</v>
      </c>
      <c r="K74" s="1">
        <v>48018</v>
      </c>
      <c r="M74" s="1">
        <v>46193</v>
      </c>
      <c r="N74" t="str">
        <f t="shared" si="12"/>
        <v>1329001918</v>
      </c>
      <c r="O74">
        <v>4</v>
      </c>
      <c r="P74" s="2">
        <v>46210.593981481485</v>
      </c>
      <c r="Q74" s="2">
        <v>46210.625208333331</v>
      </c>
      <c r="R74" s="2">
        <v>46210.593981481485</v>
      </c>
      <c r="S74">
        <v>0</v>
      </c>
      <c r="T74" t="s">
        <v>192</v>
      </c>
      <c r="U74" t="s">
        <v>192</v>
      </c>
      <c r="W74" t="str">
        <f>"400904"</f>
        <v>400904</v>
      </c>
      <c r="X74" t="s">
        <v>41</v>
      </c>
      <c r="AD74" s="2">
        <v>46210.625208333331</v>
      </c>
    </row>
    <row r="75" spans="1:30" x14ac:dyDescent="0.35">
      <c r="A75" t="s">
        <v>30</v>
      </c>
      <c r="B75" t="s">
        <v>31</v>
      </c>
      <c r="C75" t="s">
        <v>193</v>
      </c>
      <c r="D75" t="s">
        <v>33</v>
      </c>
      <c r="E75" t="str">
        <f>"400912"</f>
        <v>400912</v>
      </c>
      <c r="F75" t="s">
        <v>174</v>
      </c>
      <c r="G75">
        <v>4</v>
      </c>
      <c r="H75">
        <v>0</v>
      </c>
      <c r="I75" t="s">
        <v>194</v>
      </c>
      <c r="J75" t="str">
        <f>"400004539"</f>
        <v>400004539</v>
      </c>
      <c r="K75" s="1">
        <v>48012</v>
      </c>
      <c r="M75" s="1">
        <v>46187</v>
      </c>
      <c r="N75" t="str">
        <f t="shared" si="12"/>
        <v>1329001918</v>
      </c>
      <c r="O75">
        <v>4</v>
      </c>
      <c r="P75" s="2">
        <v>46210.59443287037</v>
      </c>
      <c r="Q75" s="2">
        <v>46210.625775462962</v>
      </c>
      <c r="R75" s="2">
        <v>46210.59443287037</v>
      </c>
      <c r="S75">
        <v>0</v>
      </c>
      <c r="T75" t="s">
        <v>192</v>
      </c>
      <c r="U75" t="s">
        <v>192</v>
      </c>
      <c r="W75" t="str">
        <f>"400912"</f>
        <v>400912</v>
      </c>
      <c r="X75" t="s">
        <v>41</v>
      </c>
      <c r="AD75" s="2">
        <v>46210.625775462962</v>
      </c>
    </row>
    <row r="76" spans="1:30" x14ac:dyDescent="0.35">
      <c r="A76" t="s">
        <v>30</v>
      </c>
      <c r="B76" t="s">
        <v>31</v>
      </c>
      <c r="C76" t="s">
        <v>195</v>
      </c>
      <c r="D76" t="s">
        <v>33</v>
      </c>
      <c r="E76" t="str">
        <f>"400904"</f>
        <v>400904</v>
      </c>
      <c r="F76" t="s">
        <v>167</v>
      </c>
      <c r="G76">
        <v>4</v>
      </c>
      <c r="H76">
        <v>0</v>
      </c>
      <c r="I76" t="s">
        <v>88</v>
      </c>
      <c r="J76" t="str">
        <f>"400004552"</f>
        <v>400004552</v>
      </c>
      <c r="K76" s="1">
        <v>48018</v>
      </c>
      <c r="M76" s="1">
        <v>46193</v>
      </c>
      <c r="N76" t="str">
        <f t="shared" si="12"/>
        <v>1329001918</v>
      </c>
      <c r="O76">
        <v>4</v>
      </c>
      <c r="P76" s="2">
        <v>46210.596574074072</v>
      </c>
      <c r="Q76" s="2">
        <v>46210.62736111111</v>
      </c>
      <c r="R76" s="2">
        <v>46210.596574074072</v>
      </c>
      <c r="S76">
        <v>0</v>
      </c>
      <c r="T76" t="s">
        <v>67</v>
      </c>
      <c r="U76" t="s">
        <v>67</v>
      </c>
      <c r="W76" t="str">
        <f>"400904"</f>
        <v>400904</v>
      </c>
      <c r="X76" t="s">
        <v>41</v>
      </c>
      <c r="AD76" s="2">
        <v>46210.62736111111</v>
      </c>
    </row>
    <row r="77" spans="1:30" x14ac:dyDescent="0.35">
      <c r="A77" t="s">
        <v>30</v>
      </c>
      <c r="B77" t="s">
        <v>31</v>
      </c>
      <c r="C77" t="s">
        <v>196</v>
      </c>
      <c r="D77" t="s">
        <v>33</v>
      </c>
      <c r="E77" t="str">
        <f>"400912"</f>
        <v>400912</v>
      </c>
      <c r="F77" t="s">
        <v>174</v>
      </c>
      <c r="G77">
        <v>4</v>
      </c>
      <c r="H77">
        <v>0</v>
      </c>
      <c r="I77" t="s">
        <v>197</v>
      </c>
      <c r="J77" t="str">
        <f>"400004550"</f>
        <v>400004550</v>
      </c>
      <c r="K77" s="1">
        <v>48018</v>
      </c>
      <c r="M77" s="1">
        <v>46193</v>
      </c>
      <c r="N77" t="str">
        <f t="shared" si="12"/>
        <v>1329001918</v>
      </c>
      <c r="O77">
        <v>4</v>
      </c>
      <c r="P77" s="2">
        <v>46210.597500000003</v>
      </c>
      <c r="Q77" s="2">
        <v>46210.628032407411</v>
      </c>
      <c r="R77" s="2">
        <v>46210.597500000003</v>
      </c>
      <c r="S77">
        <v>0</v>
      </c>
      <c r="T77" t="s">
        <v>67</v>
      </c>
      <c r="U77" t="s">
        <v>67</v>
      </c>
      <c r="W77" t="str">
        <f>"400912"</f>
        <v>400912</v>
      </c>
      <c r="X77" t="s">
        <v>41</v>
      </c>
      <c r="AD77" s="2">
        <v>46210.628032407411</v>
      </c>
    </row>
    <row r="78" spans="1:30" x14ac:dyDescent="0.35">
      <c r="A78" t="s">
        <v>30</v>
      </c>
      <c r="B78" t="s">
        <v>31</v>
      </c>
      <c r="C78" t="s">
        <v>198</v>
      </c>
      <c r="D78" t="s">
        <v>33</v>
      </c>
      <c r="E78" t="str">
        <f>"400904"</f>
        <v>400904</v>
      </c>
      <c r="F78" t="s">
        <v>167</v>
      </c>
      <c r="G78">
        <v>4</v>
      </c>
      <c r="H78">
        <v>0</v>
      </c>
      <c r="I78" t="s">
        <v>199</v>
      </c>
      <c r="J78" t="str">
        <f>"400004552"</f>
        <v>400004552</v>
      </c>
      <c r="K78" s="1">
        <v>48018</v>
      </c>
      <c r="M78" s="1">
        <v>46193</v>
      </c>
      <c r="N78" t="str">
        <f t="shared" si="12"/>
        <v>1329001918</v>
      </c>
      <c r="O78">
        <v>4</v>
      </c>
      <c r="P78" s="2">
        <v>46210.597962962966</v>
      </c>
      <c r="Q78" s="2">
        <v>46210.628449074073</v>
      </c>
      <c r="R78" s="2">
        <v>46210.597962962966</v>
      </c>
      <c r="S78">
        <v>0</v>
      </c>
      <c r="T78" t="s">
        <v>67</v>
      </c>
      <c r="U78" t="s">
        <v>67</v>
      </c>
      <c r="W78" t="str">
        <f>"400904"</f>
        <v>400904</v>
      </c>
      <c r="X78" t="s">
        <v>41</v>
      </c>
      <c r="AD78" s="2">
        <v>46210.628449074073</v>
      </c>
    </row>
    <row r="79" spans="1:30" x14ac:dyDescent="0.35">
      <c r="A79" t="s">
        <v>30</v>
      </c>
      <c r="B79" t="s">
        <v>31</v>
      </c>
      <c r="C79" t="s">
        <v>200</v>
      </c>
      <c r="D79" t="s">
        <v>33</v>
      </c>
      <c r="E79" t="str">
        <f>"400912"</f>
        <v>400912</v>
      </c>
      <c r="F79" t="s">
        <v>174</v>
      </c>
      <c r="G79">
        <v>4</v>
      </c>
      <c r="H79">
        <v>0</v>
      </c>
      <c r="I79" t="s">
        <v>201</v>
      </c>
      <c r="J79" t="str">
        <f>"400004550"</f>
        <v>400004550</v>
      </c>
      <c r="K79" s="1">
        <v>48018</v>
      </c>
      <c r="M79" s="1">
        <v>46193</v>
      </c>
      <c r="N79" t="str">
        <f t="shared" si="12"/>
        <v>1329001918</v>
      </c>
      <c r="O79">
        <v>4</v>
      </c>
      <c r="P79" s="2">
        <v>46210.598414351851</v>
      </c>
      <c r="Q79" s="2">
        <v>46210.628946759258</v>
      </c>
      <c r="R79" s="2">
        <v>46210.598414351851</v>
      </c>
      <c r="S79">
        <v>0</v>
      </c>
      <c r="T79" t="s">
        <v>67</v>
      </c>
      <c r="U79" t="s">
        <v>67</v>
      </c>
      <c r="W79" t="str">
        <f>"400912"</f>
        <v>400912</v>
      </c>
      <c r="X79" t="s">
        <v>41</v>
      </c>
      <c r="AD79" s="2">
        <v>46210.628946759258</v>
      </c>
    </row>
    <row r="80" spans="1:30" x14ac:dyDescent="0.35">
      <c r="A80" t="s">
        <v>30</v>
      </c>
      <c r="B80" t="s">
        <v>31</v>
      </c>
      <c r="C80" t="s">
        <v>202</v>
      </c>
      <c r="D80" t="s">
        <v>33</v>
      </c>
      <c r="E80" t="str">
        <f>"400904"</f>
        <v>400904</v>
      </c>
      <c r="F80" t="s">
        <v>167</v>
      </c>
      <c r="G80">
        <v>4</v>
      </c>
      <c r="H80">
        <v>0</v>
      </c>
      <c r="I80" t="s">
        <v>203</v>
      </c>
      <c r="J80" t="str">
        <f>"400004555"</f>
        <v>400004555</v>
      </c>
      <c r="K80" s="1">
        <v>48019</v>
      </c>
      <c r="M80" s="1">
        <v>46194</v>
      </c>
      <c r="N80" t="str">
        <f t="shared" si="12"/>
        <v>1329001918</v>
      </c>
      <c r="O80">
        <v>4</v>
      </c>
      <c r="P80" s="2">
        <v>46210.599212962959</v>
      </c>
      <c r="Q80" s="2">
        <v>46210.629629629628</v>
      </c>
      <c r="R80" s="2">
        <v>46210.599212962959</v>
      </c>
      <c r="S80">
        <v>0</v>
      </c>
      <c r="T80" t="s">
        <v>67</v>
      </c>
      <c r="U80" t="s">
        <v>67</v>
      </c>
      <c r="W80" t="str">
        <f>"400904"</f>
        <v>400904</v>
      </c>
      <c r="X80" t="s">
        <v>41</v>
      </c>
      <c r="AD80" s="2">
        <v>46210.629629629628</v>
      </c>
    </row>
    <row r="81" spans="1:30" x14ac:dyDescent="0.35">
      <c r="A81" t="s">
        <v>30</v>
      </c>
      <c r="B81" t="s">
        <v>31</v>
      </c>
      <c r="C81" t="s">
        <v>204</v>
      </c>
      <c r="D81" t="s">
        <v>33</v>
      </c>
      <c r="E81" t="str">
        <f>"400904"</f>
        <v>400904</v>
      </c>
      <c r="F81" t="s">
        <v>167</v>
      </c>
      <c r="G81">
        <v>4</v>
      </c>
      <c r="H81">
        <v>0</v>
      </c>
      <c r="I81" t="s">
        <v>205</v>
      </c>
      <c r="J81" t="str">
        <f>"400004558"</f>
        <v>400004558</v>
      </c>
      <c r="K81" s="1">
        <v>48019</v>
      </c>
      <c r="M81" s="1">
        <v>46194</v>
      </c>
      <c r="N81" t="str">
        <f t="shared" si="12"/>
        <v>1329001918</v>
      </c>
      <c r="O81">
        <v>4</v>
      </c>
      <c r="P81" s="2">
        <v>46210.600023148145</v>
      </c>
      <c r="Q81" s="2">
        <v>46210.632453703707</v>
      </c>
      <c r="R81" s="2">
        <v>46210.600023148145</v>
      </c>
      <c r="S81">
        <v>0</v>
      </c>
      <c r="T81" t="s">
        <v>67</v>
      </c>
      <c r="U81" t="s">
        <v>67</v>
      </c>
      <c r="W81" t="str">
        <f>"400904"</f>
        <v>400904</v>
      </c>
      <c r="X81" t="s">
        <v>41</v>
      </c>
      <c r="AD81" s="2">
        <v>46210.632453703707</v>
      </c>
    </row>
    <row r="82" spans="1:30" x14ac:dyDescent="0.35">
      <c r="A82" t="s">
        <v>30</v>
      </c>
      <c r="B82" t="s">
        <v>31</v>
      </c>
      <c r="C82" t="s">
        <v>206</v>
      </c>
      <c r="D82" t="s">
        <v>33</v>
      </c>
      <c r="E82" t="str">
        <f>"400912"</f>
        <v>400912</v>
      </c>
      <c r="F82" t="s">
        <v>174</v>
      </c>
      <c r="G82">
        <v>4</v>
      </c>
      <c r="H82">
        <v>0</v>
      </c>
      <c r="I82" t="s">
        <v>207</v>
      </c>
      <c r="J82" t="str">
        <f>"400004550"</f>
        <v>400004550</v>
      </c>
      <c r="K82" s="1">
        <v>48018</v>
      </c>
      <c r="M82" s="1">
        <v>46193</v>
      </c>
      <c r="N82" t="str">
        <f t="shared" si="12"/>
        <v>1329001918</v>
      </c>
      <c r="O82">
        <v>4</v>
      </c>
      <c r="P82" s="2">
        <v>46210.600462962961</v>
      </c>
      <c r="Q82" s="2">
        <v>46210.6330787037</v>
      </c>
      <c r="R82" s="2">
        <v>46210.600462962961</v>
      </c>
      <c r="S82">
        <v>0</v>
      </c>
      <c r="T82" t="s">
        <v>67</v>
      </c>
      <c r="U82" t="s">
        <v>67</v>
      </c>
      <c r="W82" t="str">
        <f>"400912"</f>
        <v>400912</v>
      </c>
      <c r="X82" t="s">
        <v>41</v>
      </c>
      <c r="AD82" s="2">
        <v>46210.6330787037</v>
      </c>
    </row>
    <row r="83" spans="1:30" x14ac:dyDescent="0.35">
      <c r="A83" t="s">
        <v>30</v>
      </c>
      <c r="B83" t="s">
        <v>31</v>
      </c>
      <c r="C83" t="s">
        <v>208</v>
      </c>
      <c r="D83" t="s">
        <v>33</v>
      </c>
      <c r="E83" t="str">
        <f>"400904"</f>
        <v>400904</v>
      </c>
      <c r="F83" t="s">
        <v>167</v>
      </c>
      <c r="G83">
        <v>4</v>
      </c>
      <c r="H83">
        <v>0</v>
      </c>
      <c r="I83" t="s">
        <v>209</v>
      </c>
      <c r="J83" t="str">
        <f>"400004558"</f>
        <v>400004558</v>
      </c>
      <c r="K83" s="1">
        <v>48019</v>
      </c>
      <c r="M83" s="1">
        <v>46194</v>
      </c>
      <c r="N83" t="str">
        <f t="shared" si="12"/>
        <v>1329001918</v>
      </c>
      <c r="O83">
        <v>4</v>
      </c>
      <c r="P83" s="2">
        <v>46210.601423611108</v>
      </c>
      <c r="Q83" s="2">
        <v>46210.633969907409</v>
      </c>
      <c r="R83" s="2">
        <v>46210.601423611108</v>
      </c>
      <c r="S83">
        <v>0</v>
      </c>
      <c r="T83" t="s">
        <v>67</v>
      </c>
      <c r="U83" t="s">
        <v>67</v>
      </c>
      <c r="W83" t="str">
        <f>"400904"</f>
        <v>400904</v>
      </c>
      <c r="X83" t="s">
        <v>41</v>
      </c>
      <c r="AD83" s="2">
        <v>46210.633969907409</v>
      </c>
    </row>
    <row r="84" spans="1:30" x14ac:dyDescent="0.35">
      <c r="A84" t="s">
        <v>30</v>
      </c>
      <c r="B84" t="s">
        <v>31</v>
      </c>
      <c r="C84" t="s">
        <v>210</v>
      </c>
      <c r="D84" t="s">
        <v>33</v>
      </c>
      <c r="E84" t="str">
        <f>"400912"</f>
        <v>400912</v>
      </c>
      <c r="F84" t="s">
        <v>174</v>
      </c>
      <c r="G84">
        <v>4</v>
      </c>
      <c r="H84">
        <v>0</v>
      </c>
      <c r="I84" t="s">
        <v>211</v>
      </c>
      <c r="J84" t="str">
        <f>"400004550"</f>
        <v>400004550</v>
      </c>
      <c r="K84" s="1">
        <v>48018</v>
      </c>
      <c r="M84" s="1">
        <v>46193</v>
      </c>
      <c r="N84" t="str">
        <f t="shared" si="12"/>
        <v>1329001918</v>
      </c>
      <c r="O84">
        <v>4</v>
      </c>
      <c r="P84" s="2">
        <v>46210.601851851854</v>
      </c>
      <c r="Q84" s="2">
        <v>46210.634733796294</v>
      </c>
      <c r="R84" s="2">
        <v>46210.601851851854</v>
      </c>
      <c r="S84">
        <v>0</v>
      </c>
      <c r="T84" t="s">
        <v>67</v>
      </c>
      <c r="U84" t="s">
        <v>67</v>
      </c>
      <c r="W84" t="str">
        <f>"400912"</f>
        <v>400912</v>
      </c>
      <c r="X84" t="s">
        <v>41</v>
      </c>
      <c r="AD84" s="2">
        <v>46210.634733796294</v>
      </c>
    </row>
    <row r="85" spans="1:30" x14ac:dyDescent="0.35">
      <c r="A85" t="s">
        <v>30</v>
      </c>
      <c r="B85" t="s">
        <v>31</v>
      </c>
      <c r="C85" t="s">
        <v>212</v>
      </c>
      <c r="D85" t="s">
        <v>33</v>
      </c>
      <c r="E85" t="str">
        <f>"400904"</f>
        <v>400904</v>
      </c>
      <c r="F85" t="s">
        <v>167</v>
      </c>
      <c r="G85">
        <v>4</v>
      </c>
      <c r="H85">
        <v>0</v>
      </c>
      <c r="I85" t="s">
        <v>213</v>
      </c>
      <c r="J85" t="str">
        <f>"400004558"</f>
        <v>400004558</v>
      </c>
      <c r="K85" s="1">
        <v>48019</v>
      </c>
      <c r="M85" s="1">
        <v>46194</v>
      </c>
      <c r="N85" t="str">
        <f t="shared" si="12"/>
        <v>1329001918</v>
      </c>
      <c r="O85">
        <v>4</v>
      </c>
      <c r="P85" s="2">
        <v>46210.602268518516</v>
      </c>
      <c r="Q85" s="2">
        <v>46210.635115740741</v>
      </c>
      <c r="R85" s="2">
        <v>46210.602268518516</v>
      </c>
      <c r="S85">
        <v>0</v>
      </c>
      <c r="T85" t="s">
        <v>67</v>
      </c>
      <c r="U85" t="s">
        <v>67</v>
      </c>
      <c r="W85" t="str">
        <f>"400904"</f>
        <v>400904</v>
      </c>
      <c r="X85" t="s">
        <v>41</v>
      </c>
      <c r="AD85" s="2">
        <v>46210.635115740741</v>
      </c>
    </row>
    <row r="86" spans="1:30" x14ac:dyDescent="0.35">
      <c r="A86" t="s">
        <v>30</v>
      </c>
      <c r="B86" t="s">
        <v>31</v>
      </c>
      <c r="C86" t="s">
        <v>214</v>
      </c>
      <c r="D86" t="s">
        <v>33</v>
      </c>
      <c r="E86" t="str">
        <f>"400912"</f>
        <v>400912</v>
      </c>
      <c r="F86" t="s">
        <v>174</v>
      </c>
      <c r="G86">
        <v>4</v>
      </c>
      <c r="H86">
        <v>0</v>
      </c>
      <c r="I86" t="s">
        <v>215</v>
      </c>
      <c r="J86" t="str">
        <f>"400004557"</f>
        <v>400004557</v>
      </c>
      <c r="K86" s="1">
        <v>48020</v>
      </c>
      <c r="M86" s="1">
        <v>46195</v>
      </c>
      <c r="N86" t="str">
        <f t="shared" si="12"/>
        <v>1329001918</v>
      </c>
      <c r="O86">
        <v>4</v>
      </c>
      <c r="P86" s="2">
        <v>46210.603101851855</v>
      </c>
      <c r="Q86" s="2">
        <v>46210.63554398148</v>
      </c>
      <c r="R86" s="2">
        <v>46210.603101851855</v>
      </c>
      <c r="S86">
        <v>0</v>
      </c>
      <c r="T86" t="s">
        <v>67</v>
      </c>
      <c r="U86" t="s">
        <v>67</v>
      </c>
      <c r="W86" t="str">
        <f>"400912"</f>
        <v>400912</v>
      </c>
      <c r="X86" t="s">
        <v>41</v>
      </c>
      <c r="AD86" s="2">
        <v>46210.63554398148</v>
      </c>
    </row>
    <row r="87" spans="1:30" x14ac:dyDescent="0.35">
      <c r="A87" t="s">
        <v>30</v>
      </c>
      <c r="B87" t="s">
        <v>31</v>
      </c>
      <c r="C87" t="s">
        <v>216</v>
      </c>
      <c r="D87" t="s">
        <v>33</v>
      </c>
      <c r="E87" t="str">
        <f>"400904"</f>
        <v>400904</v>
      </c>
      <c r="F87" t="s">
        <v>167</v>
      </c>
      <c r="G87">
        <v>4</v>
      </c>
      <c r="H87">
        <v>0</v>
      </c>
      <c r="I87" t="s">
        <v>217</v>
      </c>
      <c r="J87" t="str">
        <f>"400004558"</f>
        <v>400004558</v>
      </c>
      <c r="K87" s="1">
        <v>48019</v>
      </c>
      <c r="M87" s="1">
        <v>46194</v>
      </c>
      <c r="N87" t="str">
        <f t="shared" si="12"/>
        <v>1329001918</v>
      </c>
      <c r="O87">
        <v>4</v>
      </c>
      <c r="P87" s="2">
        <v>46210.603761574072</v>
      </c>
      <c r="Q87" s="2">
        <v>46210.635949074072</v>
      </c>
      <c r="R87" s="2">
        <v>46210.603761574072</v>
      </c>
      <c r="S87">
        <v>0</v>
      </c>
      <c r="T87" t="s">
        <v>67</v>
      </c>
      <c r="U87" t="s">
        <v>67</v>
      </c>
      <c r="W87" t="str">
        <f>"400904"</f>
        <v>400904</v>
      </c>
      <c r="X87" t="s">
        <v>41</v>
      </c>
      <c r="AD87" s="2">
        <v>46210.635949074072</v>
      </c>
    </row>
    <row r="88" spans="1:30" x14ac:dyDescent="0.35">
      <c r="A88" t="s">
        <v>30</v>
      </c>
      <c r="B88" t="s">
        <v>31</v>
      </c>
      <c r="C88" t="s">
        <v>218</v>
      </c>
      <c r="D88" t="s">
        <v>33</v>
      </c>
      <c r="E88" t="str">
        <f>"400912"</f>
        <v>400912</v>
      </c>
      <c r="F88" t="s">
        <v>174</v>
      </c>
      <c r="G88">
        <v>4</v>
      </c>
      <c r="H88">
        <v>0</v>
      </c>
      <c r="I88" t="s">
        <v>219</v>
      </c>
      <c r="J88" t="str">
        <f>"400004557"</f>
        <v>400004557</v>
      </c>
      <c r="K88" s="1">
        <v>48020</v>
      </c>
      <c r="M88" s="1">
        <v>46195</v>
      </c>
      <c r="N88" t="str">
        <f t="shared" si="12"/>
        <v>1329001918</v>
      </c>
      <c r="O88">
        <v>4</v>
      </c>
      <c r="P88" s="2">
        <v>46210.604212962964</v>
      </c>
      <c r="Q88" s="2">
        <v>46210.636261574073</v>
      </c>
      <c r="R88" s="2">
        <v>46210.604212962964</v>
      </c>
      <c r="S88">
        <v>0</v>
      </c>
      <c r="T88" t="s">
        <v>67</v>
      </c>
      <c r="U88" t="s">
        <v>67</v>
      </c>
      <c r="W88" t="str">
        <f>"400912"</f>
        <v>400912</v>
      </c>
      <c r="X88" t="s">
        <v>41</v>
      </c>
      <c r="AD88" s="2">
        <v>46210.636261574073</v>
      </c>
    </row>
    <row r="89" spans="1:30" x14ac:dyDescent="0.35">
      <c r="A89" t="s">
        <v>30</v>
      </c>
      <c r="B89" t="s">
        <v>31</v>
      </c>
      <c r="C89" t="s">
        <v>220</v>
      </c>
      <c r="D89" t="s">
        <v>33</v>
      </c>
      <c r="E89" t="str">
        <f>"400904"</f>
        <v>400904</v>
      </c>
      <c r="F89" t="s">
        <v>167</v>
      </c>
      <c r="G89">
        <v>4</v>
      </c>
      <c r="H89">
        <v>0</v>
      </c>
      <c r="I89" t="s">
        <v>221</v>
      </c>
      <c r="J89" t="str">
        <f>"400004558"</f>
        <v>400004558</v>
      </c>
      <c r="K89" s="1">
        <v>48019</v>
      </c>
      <c r="M89" s="1">
        <v>46194</v>
      </c>
      <c r="N89" t="str">
        <f t="shared" si="12"/>
        <v>1329001918</v>
      </c>
      <c r="O89">
        <v>4</v>
      </c>
      <c r="P89" s="2">
        <v>46210.604872685188</v>
      </c>
      <c r="Q89" s="2">
        <v>46210.636759259258</v>
      </c>
      <c r="R89" s="2">
        <v>46210.604872685188</v>
      </c>
      <c r="S89">
        <v>0</v>
      </c>
      <c r="T89" t="s">
        <v>67</v>
      </c>
      <c r="U89" t="s">
        <v>67</v>
      </c>
      <c r="W89" t="str">
        <f>"400904"</f>
        <v>400904</v>
      </c>
      <c r="X89" t="s">
        <v>41</v>
      </c>
      <c r="AD89" s="2">
        <v>46210.636759259258</v>
      </c>
    </row>
    <row r="90" spans="1:30" x14ac:dyDescent="0.35">
      <c r="A90" t="s">
        <v>30</v>
      </c>
      <c r="B90" t="s">
        <v>31</v>
      </c>
      <c r="C90" t="s">
        <v>222</v>
      </c>
      <c r="D90" t="s">
        <v>33</v>
      </c>
      <c r="E90" t="str">
        <f>"400912"</f>
        <v>400912</v>
      </c>
      <c r="F90" t="s">
        <v>174</v>
      </c>
      <c r="G90">
        <v>4</v>
      </c>
      <c r="H90">
        <v>0</v>
      </c>
      <c r="I90" t="s">
        <v>223</v>
      </c>
      <c r="J90" t="str">
        <f>"400004557"</f>
        <v>400004557</v>
      </c>
      <c r="K90" s="1">
        <v>48020</v>
      </c>
      <c r="M90" s="1">
        <v>46195</v>
      </c>
      <c r="N90" t="str">
        <f t="shared" si="12"/>
        <v>1329001918</v>
      </c>
      <c r="O90">
        <v>4</v>
      </c>
      <c r="P90" s="2">
        <v>46210.605416666665</v>
      </c>
      <c r="Q90" s="2">
        <v>46210.637094907404</v>
      </c>
      <c r="R90" s="2">
        <v>46210.605416666665</v>
      </c>
      <c r="S90">
        <v>0</v>
      </c>
      <c r="T90" t="s">
        <v>67</v>
      </c>
      <c r="U90" t="s">
        <v>67</v>
      </c>
      <c r="W90" t="str">
        <f>"400912"</f>
        <v>400912</v>
      </c>
      <c r="X90" t="s">
        <v>41</v>
      </c>
      <c r="AD90" s="2">
        <v>46210.637094907404</v>
      </c>
    </row>
    <row r="91" spans="1:30" x14ac:dyDescent="0.35">
      <c r="A91" t="s">
        <v>30</v>
      </c>
      <c r="B91" t="s">
        <v>31</v>
      </c>
      <c r="C91" t="s">
        <v>224</v>
      </c>
      <c r="D91" t="s">
        <v>33</v>
      </c>
      <c r="E91" t="str">
        <f>"400904"</f>
        <v>400904</v>
      </c>
      <c r="F91" t="s">
        <v>167</v>
      </c>
      <c r="G91">
        <v>4</v>
      </c>
      <c r="H91">
        <v>0</v>
      </c>
      <c r="I91" t="s">
        <v>225</v>
      </c>
      <c r="J91" t="str">
        <f>"400004558"</f>
        <v>400004558</v>
      </c>
      <c r="K91" s="1">
        <v>48019</v>
      </c>
      <c r="M91" s="1">
        <v>46194</v>
      </c>
      <c r="N91" t="str">
        <f t="shared" si="12"/>
        <v>1329001918</v>
      </c>
      <c r="O91">
        <v>4</v>
      </c>
      <c r="P91" s="2">
        <v>46210.605902777781</v>
      </c>
      <c r="Q91" s="2">
        <v>46210.637418981481</v>
      </c>
      <c r="R91" s="2">
        <v>46210.605891203704</v>
      </c>
      <c r="S91">
        <v>0</v>
      </c>
      <c r="T91" t="s">
        <v>67</v>
      </c>
      <c r="U91" t="s">
        <v>67</v>
      </c>
      <c r="W91" t="str">
        <f>"400904"</f>
        <v>400904</v>
      </c>
      <c r="X91" t="s">
        <v>41</v>
      </c>
      <c r="AD91" s="2">
        <v>46210.637418981481</v>
      </c>
    </row>
    <row r="92" spans="1:30" x14ac:dyDescent="0.35">
      <c r="A92" t="s">
        <v>30</v>
      </c>
      <c r="B92" t="s">
        <v>31</v>
      </c>
      <c r="C92" t="s">
        <v>226</v>
      </c>
      <c r="D92" t="s">
        <v>33</v>
      </c>
      <c r="E92" t="str">
        <f>"400912"</f>
        <v>400912</v>
      </c>
      <c r="F92" t="s">
        <v>174</v>
      </c>
      <c r="G92">
        <v>4</v>
      </c>
      <c r="H92">
        <v>0</v>
      </c>
      <c r="I92" t="s">
        <v>227</v>
      </c>
      <c r="J92" t="str">
        <f>"400004557"</f>
        <v>400004557</v>
      </c>
      <c r="K92" s="1">
        <v>48020</v>
      </c>
      <c r="M92" s="1">
        <v>46195</v>
      </c>
      <c r="N92" t="str">
        <f t="shared" si="12"/>
        <v>1329001918</v>
      </c>
      <c r="O92">
        <v>4</v>
      </c>
      <c r="P92" s="2">
        <v>46210.606423611112</v>
      </c>
      <c r="Q92" s="2">
        <v>46210.63789351852</v>
      </c>
      <c r="R92" s="2">
        <v>46210.606423611112</v>
      </c>
      <c r="S92">
        <v>0</v>
      </c>
      <c r="T92" t="s">
        <v>67</v>
      </c>
      <c r="U92" t="s">
        <v>67</v>
      </c>
      <c r="W92" t="str">
        <f>"400912"</f>
        <v>400912</v>
      </c>
      <c r="X92" t="s">
        <v>41</v>
      </c>
      <c r="AD92" s="2">
        <v>46210.63789351852</v>
      </c>
    </row>
    <row r="93" spans="1:30" x14ac:dyDescent="0.35">
      <c r="A93" t="s">
        <v>30</v>
      </c>
      <c r="B93" t="s">
        <v>31</v>
      </c>
      <c r="C93" t="s">
        <v>228</v>
      </c>
      <c r="D93" t="s">
        <v>33</v>
      </c>
      <c r="E93" t="str">
        <f>"400904"</f>
        <v>400904</v>
      </c>
      <c r="F93" t="s">
        <v>167</v>
      </c>
      <c r="G93">
        <v>4</v>
      </c>
      <c r="H93">
        <v>0</v>
      </c>
      <c r="I93" t="s">
        <v>229</v>
      </c>
      <c r="J93" t="str">
        <f>"400004558"</f>
        <v>400004558</v>
      </c>
      <c r="K93" s="1">
        <v>48019</v>
      </c>
      <c r="M93" s="1">
        <v>46194</v>
      </c>
      <c r="N93" t="str">
        <f t="shared" si="12"/>
        <v>1329001918</v>
      </c>
      <c r="O93">
        <v>4</v>
      </c>
      <c r="P93" s="2">
        <v>46210.606863425928</v>
      </c>
      <c r="Q93" s="2">
        <v>46210.63821759259</v>
      </c>
      <c r="R93" s="2">
        <v>46210.606863425928</v>
      </c>
      <c r="S93">
        <v>0</v>
      </c>
      <c r="T93" t="s">
        <v>67</v>
      </c>
      <c r="U93" t="s">
        <v>67</v>
      </c>
      <c r="W93" t="str">
        <f>"400904"</f>
        <v>400904</v>
      </c>
      <c r="X93" t="s">
        <v>41</v>
      </c>
      <c r="AD93" s="2">
        <v>46210.63821759259</v>
      </c>
    </row>
    <row r="94" spans="1:30" x14ac:dyDescent="0.35">
      <c r="A94" t="s">
        <v>30</v>
      </c>
      <c r="B94" t="s">
        <v>31</v>
      </c>
      <c r="C94" t="s">
        <v>230</v>
      </c>
      <c r="D94" t="s">
        <v>33</v>
      </c>
      <c r="E94" t="str">
        <f>"400912"</f>
        <v>400912</v>
      </c>
      <c r="F94" t="s">
        <v>174</v>
      </c>
      <c r="G94">
        <v>4</v>
      </c>
      <c r="H94">
        <v>0</v>
      </c>
      <c r="I94" t="s">
        <v>231</v>
      </c>
      <c r="J94" t="str">
        <f>"400004533"</f>
        <v>400004533</v>
      </c>
      <c r="K94" s="1">
        <v>48011</v>
      </c>
      <c r="M94" s="1">
        <v>46186</v>
      </c>
      <c r="N94" t="str">
        <f t="shared" si="12"/>
        <v>1329001918</v>
      </c>
      <c r="O94">
        <v>4</v>
      </c>
      <c r="P94" s="2">
        <v>46210.588240740741</v>
      </c>
      <c r="Q94" s="2">
        <v>46210.641030092593</v>
      </c>
      <c r="R94" s="2">
        <v>46210.588240740741</v>
      </c>
      <c r="S94">
        <v>0</v>
      </c>
      <c r="T94" t="s">
        <v>67</v>
      </c>
      <c r="U94" t="s">
        <v>67</v>
      </c>
      <c r="W94" t="str">
        <f>"400912"</f>
        <v>400912</v>
      </c>
      <c r="X94" t="s">
        <v>41</v>
      </c>
      <c r="AD94" s="2">
        <v>46210.641030092593</v>
      </c>
    </row>
    <row r="95" spans="1:30" x14ac:dyDescent="0.35">
      <c r="A95" t="s">
        <v>30</v>
      </c>
      <c r="B95" t="s">
        <v>31</v>
      </c>
      <c r="C95" t="s">
        <v>232</v>
      </c>
      <c r="D95" t="s">
        <v>33</v>
      </c>
      <c r="E95" t="str">
        <f t="shared" ref="E95:E105" si="13">"400426"</f>
        <v>400426</v>
      </c>
      <c r="F95" t="s">
        <v>34</v>
      </c>
      <c r="G95">
        <v>24</v>
      </c>
      <c r="H95">
        <v>0</v>
      </c>
      <c r="I95" t="s">
        <v>233</v>
      </c>
      <c r="J95" t="str">
        <f t="shared" ref="J95:J102" si="14">"153000404"</f>
        <v>153000404</v>
      </c>
      <c r="K95" s="1">
        <v>48018</v>
      </c>
      <c r="M95" s="1">
        <v>46193</v>
      </c>
      <c r="N95" t="str">
        <f t="shared" ref="N95:N105" si="15">"1329001908"</f>
        <v>1329001908</v>
      </c>
      <c r="O95">
        <v>24</v>
      </c>
      <c r="P95" s="2">
        <v>46211.462465277778</v>
      </c>
      <c r="Q95" s="2">
        <v>46211.893680555557</v>
      </c>
      <c r="R95" s="2">
        <v>46211.462465277778</v>
      </c>
      <c r="S95">
        <v>0</v>
      </c>
      <c r="T95" t="s">
        <v>67</v>
      </c>
      <c r="U95" t="s">
        <v>67</v>
      </c>
      <c r="W95" t="str">
        <f t="shared" ref="W95:W105" si="16">"400426"</f>
        <v>400426</v>
      </c>
      <c r="X95" t="s">
        <v>37</v>
      </c>
      <c r="AD95" s="2">
        <v>46211.893680555557</v>
      </c>
    </row>
    <row r="96" spans="1:30" x14ac:dyDescent="0.35">
      <c r="A96" t="s">
        <v>30</v>
      </c>
      <c r="B96" t="s">
        <v>31</v>
      </c>
      <c r="C96" t="s">
        <v>234</v>
      </c>
      <c r="D96" t="s">
        <v>33</v>
      </c>
      <c r="E96" t="str">
        <f t="shared" si="13"/>
        <v>400426</v>
      </c>
      <c r="F96" t="s">
        <v>34</v>
      </c>
      <c r="G96">
        <v>24</v>
      </c>
      <c r="H96">
        <v>0</v>
      </c>
      <c r="I96" t="s">
        <v>235</v>
      </c>
      <c r="J96" t="str">
        <f t="shared" si="14"/>
        <v>153000404</v>
      </c>
      <c r="K96" s="1">
        <v>48018</v>
      </c>
      <c r="M96" s="1">
        <v>46193</v>
      </c>
      <c r="N96" t="str">
        <f t="shared" si="15"/>
        <v>1329001908</v>
      </c>
      <c r="O96">
        <v>24</v>
      </c>
      <c r="P96" s="2">
        <v>46211.462812500002</v>
      </c>
      <c r="Q96" s="2">
        <v>46211.896180555559</v>
      </c>
      <c r="R96" s="2">
        <v>46211.462812500002</v>
      </c>
      <c r="S96">
        <v>0</v>
      </c>
      <c r="T96" t="s">
        <v>67</v>
      </c>
      <c r="U96" t="s">
        <v>67</v>
      </c>
      <c r="W96" t="str">
        <f t="shared" si="16"/>
        <v>400426</v>
      </c>
      <c r="X96" t="s">
        <v>37</v>
      </c>
      <c r="AD96" s="2">
        <v>46211.896180555559</v>
      </c>
    </row>
    <row r="97" spans="1:30" x14ac:dyDescent="0.35">
      <c r="A97" t="s">
        <v>30</v>
      </c>
      <c r="B97" t="s">
        <v>31</v>
      </c>
      <c r="C97" t="s">
        <v>236</v>
      </c>
      <c r="D97" t="s">
        <v>33</v>
      </c>
      <c r="E97" t="str">
        <f t="shared" si="13"/>
        <v>400426</v>
      </c>
      <c r="F97" t="s">
        <v>34</v>
      </c>
      <c r="G97">
        <v>24</v>
      </c>
      <c r="H97">
        <v>0</v>
      </c>
      <c r="I97" t="s">
        <v>237</v>
      </c>
      <c r="J97" t="str">
        <f t="shared" si="14"/>
        <v>153000404</v>
      </c>
      <c r="K97" s="1">
        <v>48018</v>
      </c>
      <c r="M97" s="1">
        <v>46193</v>
      </c>
      <c r="N97" t="str">
        <f t="shared" si="15"/>
        <v>1329001908</v>
      </c>
      <c r="O97">
        <v>24</v>
      </c>
      <c r="P97" s="2">
        <v>46211.461898148147</v>
      </c>
      <c r="Q97" s="2">
        <v>46211.898229166669</v>
      </c>
      <c r="R97" s="2">
        <v>46211.461898148147</v>
      </c>
      <c r="S97">
        <v>0</v>
      </c>
      <c r="T97" t="s">
        <v>67</v>
      </c>
      <c r="U97" t="s">
        <v>67</v>
      </c>
      <c r="W97" t="str">
        <f t="shared" si="16"/>
        <v>400426</v>
      </c>
      <c r="X97" t="s">
        <v>37</v>
      </c>
      <c r="AD97" s="2">
        <v>46211.898229166669</v>
      </c>
    </row>
    <row r="98" spans="1:30" x14ac:dyDescent="0.35">
      <c r="A98" t="s">
        <v>30</v>
      </c>
      <c r="B98" t="s">
        <v>31</v>
      </c>
      <c r="C98" t="s">
        <v>238</v>
      </c>
      <c r="D98" t="s">
        <v>33</v>
      </c>
      <c r="E98" t="str">
        <f t="shared" si="13"/>
        <v>400426</v>
      </c>
      <c r="F98" t="s">
        <v>34</v>
      </c>
      <c r="G98">
        <v>24</v>
      </c>
      <c r="H98">
        <v>0</v>
      </c>
      <c r="I98" t="s">
        <v>239</v>
      </c>
      <c r="J98" t="str">
        <f t="shared" si="14"/>
        <v>153000404</v>
      </c>
      <c r="K98" s="1">
        <v>48018</v>
      </c>
      <c r="M98" s="1">
        <v>46193</v>
      </c>
      <c r="N98" t="str">
        <f t="shared" si="15"/>
        <v>1329001908</v>
      </c>
      <c r="O98">
        <v>24</v>
      </c>
      <c r="P98" s="2">
        <v>46211.461655092593</v>
      </c>
      <c r="Q98" s="2">
        <v>46211.899837962963</v>
      </c>
      <c r="R98" s="2">
        <v>46211.461655092593</v>
      </c>
      <c r="S98">
        <v>0</v>
      </c>
      <c r="T98" t="s">
        <v>67</v>
      </c>
      <c r="U98" t="s">
        <v>67</v>
      </c>
      <c r="W98" t="str">
        <f t="shared" si="16"/>
        <v>400426</v>
      </c>
      <c r="X98" t="s">
        <v>37</v>
      </c>
      <c r="AD98" s="2">
        <v>46211.899837962963</v>
      </c>
    </row>
    <row r="99" spans="1:30" x14ac:dyDescent="0.35">
      <c r="A99" t="s">
        <v>30</v>
      </c>
      <c r="B99" t="s">
        <v>31</v>
      </c>
      <c r="C99" t="s">
        <v>240</v>
      </c>
      <c r="D99" t="s">
        <v>33</v>
      </c>
      <c r="E99" t="str">
        <f t="shared" si="13"/>
        <v>400426</v>
      </c>
      <c r="F99" t="s">
        <v>34</v>
      </c>
      <c r="G99">
        <v>24</v>
      </c>
      <c r="H99">
        <v>0</v>
      </c>
      <c r="I99" t="s">
        <v>241</v>
      </c>
      <c r="J99" t="str">
        <f t="shared" si="14"/>
        <v>153000404</v>
      </c>
      <c r="K99" s="1">
        <v>48018</v>
      </c>
      <c r="M99" s="1">
        <v>46193</v>
      </c>
      <c r="N99" t="str">
        <f t="shared" si="15"/>
        <v>1329001908</v>
      </c>
      <c r="O99">
        <v>24</v>
      </c>
      <c r="P99" s="2">
        <v>46211.461539351854</v>
      </c>
      <c r="Q99" s="2">
        <v>46211.900763888887</v>
      </c>
      <c r="R99" s="2">
        <v>46211.461539351854</v>
      </c>
      <c r="S99">
        <v>0</v>
      </c>
      <c r="T99" t="s">
        <v>67</v>
      </c>
      <c r="U99" t="s">
        <v>67</v>
      </c>
      <c r="W99" t="str">
        <f t="shared" si="16"/>
        <v>400426</v>
      </c>
      <c r="X99" t="s">
        <v>37</v>
      </c>
      <c r="AD99" s="2">
        <v>46211.900763888887</v>
      </c>
    </row>
    <row r="100" spans="1:30" x14ac:dyDescent="0.35">
      <c r="A100" t="s">
        <v>30</v>
      </c>
      <c r="B100" t="s">
        <v>31</v>
      </c>
      <c r="C100" t="s">
        <v>242</v>
      </c>
      <c r="D100" t="s">
        <v>33</v>
      </c>
      <c r="E100" t="str">
        <f t="shared" si="13"/>
        <v>400426</v>
      </c>
      <c r="F100" t="s">
        <v>34</v>
      </c>
      <c r="G100">
        <v>24</v>
      </c>
      <c r="H100">
        <v>0</v>
      </c>
      <c r="I100" t="s">
        <v>243</v>
      </c>
      <c r="J100" t="str">
        <f t="shared" si="14"/>
        <v>153000404</v>
      </c>
      <c r="K100" s="1">
        <v>48018</v>
      </c>
      <c r="M100" s="1">
        <v>46193</v>
      </c>
      <c r="N100" t="str">
        <f t="shared" si="15"/>
        <v>1329001908</v>
      </c>
      <c r="O100">
        <v>24</v>
      </c>
      <c r="P100" s="2">
        <v>46211.460798611108</v>
      </c>
      <c r="Q100" s="2">
        <v>46211.901631944442</v>
      </c>
      <c r="R100" s="2">
        <v>46211.460798611108</v>
      </c>
      <c r="S100">
        <v>0</v>
      </c>
      <c r="T100" t="s">
        <v>67</v>
      </c>
      <c r="U100" t="s">
        <v>67</v>
      </c>
      <c r="W100" t="str">
        <f t="shared" si="16"/>
        <v>400426</v>
      </c>
      <c r="X100" t="s">
        <v>37</v>
      </c>
      <c r="AD100" s="2">
        <v>46211.901631944442</v>
      </c>
    </row>
    <row r="101" spans="1:30" x14ac:dyDescent="0.35">
      <c r="A101" t="s">
        <v>30</v>
      </c>
      <c r="B101" t="s">
        <v>31</v>
      </c>
      <c r="C101" t="s">
        <v>244</v>
      </c>
      <c r="D101" t="s">
        <v>33</v>
      </c>
      <c r="E101" t="str">
        <f t="shared" si="13"/>
        <v>400426</v>
      </c>
      <c r="F101" t="s">
        <v>34</v>
      </c>
      <c r="G101">
        <v>24</v>
      </c>
      <c r="H101">
        <v>0</v>
      </c>
      <c r="I101" t="s">
        <v>245</v>
      </c>
      <c r="J101" t="str">
        <f t="shared" si="14"/>
        <v>153000404</v>
      </c>
      <c r="K101" s="1">
        <v>48018</v>
      </c>
      <c r="M101" s="1">
        <v>46193</v>
      </c>
      <c r="N101" t="str">
        <f t="shared" si="15"/>
        <v>1329001908</v>
      </c>
      <c r="O101">
        <v>24</v>
      </c>
      <c r="P101" s="2">
        <v>46211.460486111115</v>
      </c>
      <c r="Q101" s="2">
        <v>46211.906909722224</v>
      </c>
      <c r="R101" s="2">
        <v>46211.460486111115</v>
      </c>
      <c r="S101">
        <v>0</v>
      </c>
      <c r="T101" t="s">
        <v>67</v>
      </c>
      <c r="U101" t="s">
        <v>67</v>
      </c>
      <c r="W101" t="str">
        <f t="shared" si="16"/>
        <v>400426</v>
      </c>
      <c r="X101" t="s">
        <v>37</v>
      </c>
      <c r="AD101" s="2">
        <v>46211.906909722224</v>
      </c>
    </row>
    <row r="102" spans="1:30" x14ac:dyDescent="0.35">
      <c r="A102" t="s">
        <v>30</v>
      </c>
      <c r="B102" t="s">
        <v>31</v>
      </c>
      <c r="C102" t="s">
        <v>246</v>
      </c>
      <c r="D102" t="s">
        <v>33</v>
      </c>
      <c r="E102" t="str">
        <f t="shared" si="13"/>
        <v>400426</v>
      </c>
      <c r="F102" t="s">
        <v>34</v>
      </c>
      <c r="G102">
        <v>24</v>
      </c>
      <c r="H102">
        <v>0</v>
      </c>
      <c r="I102" t="s">
        <v>247</v>
      </c>
      <c r="J102" t="str">
        <f t="shared" si="14"/>
        <v>153000404</v>
      </c>
      <c r="K102" s="1">
        <v>48018</v>
      </c>
      <c r="M102" s="1">
        <v>46193</v>
      </c>
      <c r="N102" t="str">
        <f t="shared" si="15"/>
        <v>1329001908</v>
      </c>
      <c r="O102">
        <v>24</v>
      </c>
      <c r="P102" s="2">
        <v>46211.460300925923</v>
      </c>
      <c r="Q102" s="2">
        <v>46211.90929398148</v>
      </c>
      <c r="R102" s="2">
        <v>46211.460300925923</v>
      </c>
      <c r="S102">
        <v>0</v>
      </c>
      <c r="T102" t="s">
        <v>67</v>
      </c>
      <c r="U102" t="s">
        <v>67</v>
      </c>
      <c r="W102" t="str">
        <f t="shared" si="16"/>
        <v>400426</v>
      </c>
      <c r="X102" t="s">
        <v>37</v>
      </c>
      <c r="AD102" s="2">
        <v>46211.90929398148</v>
      </c>
    </row>
    <row r="103" spans="1:30" x14ac:dyDescent="0.35">
      <c r="A103" t="s">
        <v>30</v>
      </c>
      <c r="B103" t="s">
        <v>31</v>
      </c>
      <c r="C103" t="s">
        <v>248</v>
      </c>
      <c r="D103" t="s">
        <v>33</v>
      </c>
      <c r="E103" t="str">
        <f t="shared" si="13"/>
        <v>400426</v>
      </c>
      <c r="F103" t="s">
        <v>34</v>
      </c>
      <c r="G103">
        <v>24</v>
      </c>
      <c r="H103">
        <v>0</v>
      </c>
      <c r="I103" t="s">
        <v>249</v>
      </c>
      <c r="J103" t="str">
        <f>"153000405"</f>
        <v>153000405</v>
      </c>
      <c r="K103" s="1">
        <v>48020</v>
      </c>
      <c r="M103" s="1">
        <v>46195</v>
      </c>
      <c r="N103" t="str">
        <f t="shared" si="15"/>
        <v>1329001908</v>
      </c>
      <c r="O103">
        <v>24</v>
      </c>
      <c r="P103" s="2">
        <v>46211.458032407405</v>
      </c>
      <c r="Q103" s="2">
        <v>46211.912430555552</v>
      </c>
      <c r="R103" s="2">
        <v>46211.458032407405</v>
      </c>
      <c r="S103">
        <v>0</v>
      </c>
      <c r="T103" t="s">
        <v>67</v>
      </c>
      <c r="U103" t="s">
        <v>67</v>
      </c>
      <c r="W103" t="str">
        <f t="shared" si="16"/>
        <v>400426</v>
      </c>
      <c r="X103" t="s">
        <v>37</v>
      </c>
      <c r="AD103" s="2">
        <v>46211.912430555552</v>
      </c>
    </row>
    <row r="104" spans="1:30" x14ac:dyDescent="0.35">
      <c r="A104" t="s">
        <v>30</v>
      </c>
      <c r="B104" t="s">
        <v>31</v>
      </c>
      <c r="C104" t="s">
        <v>250</v>
      </c>
      <c r="D104" t="s">
        <v>33</v>
      </c>
      <c r="E104" t="str">
        <f t="shared" si="13"/>
        <v>400426</v>
      </c>
      <c r="F104" t="s">
        <v>34</v>
      </c>
      <c r="G104">
        <v>24</v>
      </c>
      <c r="H104">
        <v>0</v>
      </c>
      <c r="I104" t="s">
        <v>251</v>
      </c>
      <c r="J104" t="str">
        <f>"153000405"</f>
        <v>153000405</v>
      </c>
      <c r="K104" s="1">
        <v>48020</v>
      </c>
      <c r="M104" s="1">
        <v>46195</v>
      </c>
      <c r="N104" t="str">
        <f t="shared" si="15"/>
        <v>1329001908</v>
      </c>
      <c r="O104">
        <v>24</v>
      </c>
      <c r="P104" s="2">
        <v>46211.459467592591</v>
      </c>
      <c r="Q104" s="2">
        <v>46211.914178240739</v>
      </c>
      <c r="R104" s="2">
        <v>46211.459467592591</v>
      </c>
      <c r="S104">
        <v>0</v>
      </c>
      <c r="T104" t="s">
        <v>67</v>
      </c>
      <c r="U104" t="s">
        <v>67</v>
      </c>
      <c r="W104" t="str">
        <f t="shared" si="16"/>
        <v>400426</v>
      </c>
      <c r="X104" t="s">
        <v>37</v>
      </c>
      <c r="AD104" s="2">
        <v>46211.914178240739</v>
      </c>
    </row>
    <row r="105" spans="1:30" x14ac:dyDescent="0.35">
      <c r="A105" t="s">
        <v>30</v>
      </c>
      <c r="B105" t="s">
        <v>31</v>
      </c>
      <c r="C105" t="s">
        <v>252</v>
      </c>
      <c r="D105" t="s">
        <v>33</v>
      </c>
      <c r="E105" t="str">
        <f t="shared" si="13"/>
        <v>400426</v>
      </c>
      <c r="F105" t="s">
        <v>34</v>
      </c>
      <c r="G105">
        <v>24</v>
      </c>
      <c r="H105">
        <v>0</v>
      </c>
      <c r="I105" t="s">
        <v>253</v>
      </c>
      <c r="J105" t="str">
        <f>"153000404"</f>
        <v>153000404</v>
      </c>
      <c r="K105" s="1">
        <v>48018</v>
      </c>
      <c r="M105" s="1">
        <v>46193</v>
      </c>
      <c r="N105" t="str">
        <f t="shared" si="15"/>
        <v>1329001908</v>
      </c>
      <c r="O105">
        <v>24</v>
      </c>
      <c r="P105" s="2">
        <v>46211.459722222222</v>
      </c>
      <c r="Q105" s="2">
        <v>46211.916875000003</v>
      </c>
      <c r="R105" s="2">
        <v>46211.459722222222</v>
      </c>
      <c r="S105">
        <v>0</v>
      </c>
      <c r="T105" t="s">
        <v>67</v>
      </c>
      <c r="U105" t="s">
        <v>67</v>
      </c>
      <c r="W105" t="str">
        <f t="shared" si="16"/>
        <v>400426</v>
      </c>
      <c r="X105" t="s">
        <v>37</v>
      </c>
      <c r="AD105" s="2">
        <v>46211.916875000003</v>
      </c>
    </row>
    <row r="106" spans="1:30" x14ac:dyDescent="0.35">
      <c r="A106" t="s">
        <v>30</v>
      </c>
      <c r="B106" t="s">
        <v>31</v>
      </c>
      <c r="C106" t="s">
        <v>254</v>
      </c>
      <c r="D106" t="s">
        <v>33</v>
      </c>
      <c r="E106" t="str">
        <f t="shared" ref="E106:E117" si="17">"400441"</f>
        <v>400441</v>
      </c>
      <c r="F106" t="s">
        <v>65</v>
      </c>
      <c r="G106">
        <v>4</v>
      </c>
      <c r="H106">
        <v>0</v>
      </c>
      <c r="I106" t="s">
        <v>255</v>
      </c>
      <c r="J106" t="str">
        <f t="shared" ref="J106:J112" si="18">"153000386"</f>
        <v>153000386</v>
      </c>
      <c r="K106" s="1">
        <v>48013</v>
      </c>
      <c r="M106" s="1">
        <v>46188</v>
      </c>
      <c r="N106" t="str">
        <f t="shared" ref="N106:N117" si="19">"1329001933"</f>
        <v>1329001933</v>
      </c>
      <c r="O106">
        <v>4</v>
      </c>
      <c r="P106" s="2">
        <v>46212.450682870367</v>
      </c>
      <c r="Q106" s="2">
        <v>46212.477488425924</v>
      </c>
      <c r="R106" s="2">
        <v>46212.450682870367</v>
      </c>
      <c r="S106">
        <v>0</v>
      </c>
      <c r="T106" t="s">
        <v>67</v>
      </c>
      <c r="U106" t="s">
        <v>67</v>
      </c>
      <c r="W106" t="str">
        <f t="shared" ref="W106:W117" si="20">"400441"</f>
        <v>400441</v>
      </c>
      <c r="X106" t="s">
        <v>41</v>
      </c>
      <c r="AD106" s="2">
        <v>46212.477488425924</v>
      </c>
    </row>
    <row r="107" spans="1:30" x14ac:dyDescent="0.35">
      <c r="A107" t="s">
        <v>30</v>
      </c>
      <c r="B107" t="s">
        <v>31</v>
      </c>
      <c r="C107" t="s">
        <v>256</v>
      </c>
      <c r="D107" t="s">
        <v>33</v>
      </c>
      <c r="E107" t="str">
        <f t="shared" si="17"/>
        <v>400441</v>
      </c>
      <c r="F107" t="s">
        <v>65</v>
      </c>
      <c r="G107">
        <v>4</v>
      </c>
      <c r="H107">
        <v>0</v>
      </c>
      <c r="I107" t="s">
        <v>257</v>
      </c>
      <c r="J107" t="str">
        <f t="shared" si="18"/>
        <v>153000386</v>
      </c>
      <c r="K107" s="1">
        <v>48013</v>
      </c>
      <c r="M107" s="1">
        <v>46188</v>
      </c>
      <c r="N107" t="str">
        <f t="shared" si="19"/>
        <v>1329001933</v>
      </c>
      <c r="O107">
        <v>4</v>
      </c>
      <c r="P107" s="2">
        <v>46212.450983796298</v>
      </c>
      <c r="Q107" s="2">
        <v>46212.479710648149</v>
      </c>
      <c r="R107" s="2">
        <v>46212.450983796298</v>
      </c>
      <c r="S107">
        <v>0</v>
      </c>
      <c r="T107" t="s">
        <v>67</v>
      </c>
      <c r="U107" t="s">
        <v>67</v>
      </c>
      <c r="W107" t="str">
        <f t="shared" si="20"/>
        <v>400441</v>
      </c>
      <c r="X107" t="s">
        <v>41</v>
      </c>
      <c r="AD107" s="2">
        <v>46212.479710648149</v>
      </c>
    </row>
    <row r="108" spans="1:30" x14ac:dyDescent="0.35">
      <c r="A108" t="s">
        <v>30</v>
      </c>
      <c r="B108" t="s">
        <v>31</v>
      </c>
      <c r="C108" t="s">
        <v>258</v>
      </c>
      <c r="D108" t="s">
        <v>33</v>
      </c>
      <c r="E108" t="str">
        <f t="shared" si="17"/>
        <v>400441</v>
      </c>
      <c r="F108" t="s">
        <v>65</v>
      </c>
      <c r="G108">
        <v>4</v>
      </c>
      <c r="H108">
        <v>0</v>
      </c>
      <c r="I108" t="s">
        <v>259</v>
      </c>
      <c r="J108" t="str">
        <f t="shared" si="18"/>
        <v>153000386</v>
      </c>
      <c r="K108" s="1">
        <v>48013</v>
      </c>
      <c r="M108" s="1">
        <v>46188</v>
      </c>
      <c r="N108" t="str">
        <f t="shared" si="19"/>
        <v>1329001933</v>
      </c>
      <c r="O108">
        <v>4</v>
      </c>
      <c r="P108" s="2">
        <v>46212.448703703703</v>
      </c>
      <c r="Q108" s="2">
        <v>46212.481504629628</v>
      </c>
      <c r="R108" s="2">
        <v>46212.448703703703</v>
      </c>
      <c r="S108">
        <v>0</v>
      </c>
      <c r="T108" t="s">
        <v>67</v>
      </c>
      <c r="U108" t="s">
        <v>67</v>
      </c>
      <c r="W108" t="str">
        <f t="shared" si="20"/>
        <v>400441</v>
      </c>
      <c r="X108" t="s">
        <v>41</v>
      </c>
      <c r="AD108" s="2">
        <v>46212.481504629628</v>
      </c>
    </row>
    <row r="109" spans="1:30" x14ac:dyDescent="0.35">
      <c r="A109" t="s">
        <v>30</v>
      </c>
      <c r="B109" t="s">
        <v>31</v>
      </c>
      <c r="C109" t="s">
        <v>260</v>
      </c>
      <c r="D109" t="s">
        <v>33</v>
      </c>
      <c r="E109" t="str">
        <f t="shared" si="17"/>
        <v>400441</v>
      </c>
      <c r="F109" t="s">
        <v>65</v>
      </c>
      <c r="G109">
        <v>4</v>
      </c>
      <c r="H109">
        <v>0</v>
      </c>
      <c r="I109" t="s">
        <v>261</v>
      </c>
      <c r="J109" t="str">
        <f t="shared" si="18"/>
        <v>153000386</v>
      </c>
      <c r="K109" s="1">
        <v>48013</v>
      </c>
      <c r="M109" s="1">
        <v>46188</v>
      </c>
      <c r="N109" t="str">
        <f t="shared" si="19"/>
        <v>1329001933</v>
      </c>
      <c r="O109">
        <v>4</v>
      </c>
      <c r="P109" s="2">
        <v>46212.449050925927</v>
      </c>
      <c r="Q109" s="2">
        <v>46212.483113425929</v>
      </c>
      <c r="R109" s="2">
        <v>46212.449050925927</v>
      </c>
      <c r="S109">
        <v>0</v>
      </c>
      <c r="T109" t="s">
        <v>67</v>
      </c>
      <c r="U109" t="s">
        <v>67</v>
      </c>
      <c r="W109" t="str">
        <f t="shared" si="20"/>
        <v>400441</v>
      </c>
      <c r="X109" t="s">
        <v>41</v>
      </c>
      <c r="AD109" s="2">
        <v>46212.483113425929</v>
      </c>
    </row>
    <row r="110" spans="1:30" x14ac:dyDescent="0.35">
      <c r="A110" t="s">
        <v>30</v>
      </c>
      <c r="B110" t="s">
        <v>31</v>
      </c>
      <c r="C110" t="s">
        <v>262</v>
      </c>
      <c r="D110" t="s">
        <v>33</v>
      </c>
      <c r="E110" t="str">
        <f t="shared" si="17"/>
        <v>400441</v>
      </c>
      <c r="F110" t="s">
        <v>65</v>
      </c>
      <c r="G110">
        <v>4</v>
      </c>
      <c r="H110">
        <v>0</v>
      </c>
      <c r="I110" t="s">
        <v>263</v>
      </c>
      <c r="J110" t="str">
        <f t="shared" si="18"/>
        <v>153000386</v>
      </c>
      <c r="K110" s="1">
        <v>48013</v>
      </c>
      <c r="M110" s="1">
        <v>46188</v>
      </c>
      <c r="N110" t="str">
        <f t="shared" si="19"/>
        <v>1329001933</v>
      </c>
      <c r="O110">
        <v>4</v>
      </c>
      <c r="P110" s="2">
        <v>46212.449305555558</v>
      </c>
      <c r="Q110" s="2">
        <v>46212.486273148148</v>
      </c>
      <c r="R110" s="2">
        <v>46212.449305555558</v>
      </c>
      <c r="S110">
        <v>0</v>
      </c>
      <c r="T110" t="s">
        <v>67</v>
      </c>
      <c r="U110" t="s">
        <v>67</v>
      </c>
      <c r="W110" t="str">
        <f t="shared" si="20"/>
        <v>400441</v>
      </c>
      <c r="X110" t="s">
        <v>41</v>
      </c>
      <c r="AD110" s="2">
        <v>46212.486261574071</v>
      </c>
    </row>
    <row r="111" spans="1:30" x14ac:dyDescent="0.35">
      <c r="A111" t="s">
        <v>30</v>
      </c>
      <c r="B111" t="s">
        <v>31</v>
      </c>
      <c r="C111" t="s">
        <v>264</v>
      </c>
      <c r="D111" t="s">
        <v>33</v>
      </c>
      <c r="E111" t="str">
        <f t="shared" si="17"/>
        <v>400441</v>
      </c>
      <c r="F111" t="s">
        <v>65</v>
      </c>
      <c r="G111">
        <v>4</v>
      </c>
      <c r="H111">
        <v>0</v>
      </c>
      <c r="I111" t="s">
        <v>265</v>
      </c>
      <c r="J111" t="str">
        <f t="shared" si="18"/>
        <v>153000386</v>
      </c>
      <c r="K111" s="1">
        <v>48013</v>
      </c>
      <c r="M111" s="1">
        <v>46188</v>
      </c>
      <c r="N111" t="str">
        <f t="shared" si="19"/>
        <v>1329001933</v>
      </c>
      <c r="O111">
        <v>4</v>
      </c>
      <c r="P111" s="2">
        <v>46212.449548611112</v>
      </c>
      <c r="Q111" s="2">
        <v>46212.487627314818</v>
      </c>
      <c r="R111" s="2">
        <v>46212.449548611112</v>
      </c>
      <c r="S111">
        <v>0</v>
      </c>
      <c r="T111" t="s">
        <v>67</v>
      </c>
      <c r="U111" t="s">
        <v>67</v>
      </c>
      <c r="W111" t="str">
        <f t="shared" si="20"/>
        <v>400441</v>
      </c>
      <c r="X111" t="s">
        <v>41</v>
      </c>
      <c r="AD111" s="2">
        <v>46212.487627314818</v>
      </c>
    </row>
    <row r="112" spans="1:30" x14ac:dyDescent="0.35">
      <c r="A112" t="s">
        <v>30</v>
      </c>
      <c r="B112" t="s">
        <v>31</v>
      </c>
      <c r="C112" t="s">
        <v>266</v>
      </c>
      <c r="D112" t="s">
        <v>33</v>
      </c>
      <c r="E112" t="str">
        <f t="shared" si="17"/>
        <v>400441</v>
      </c>
      <c r="F112" t="s">
        <v>65</v>
      </c>
      <c r="G112">
        <v>4</v>
      </c>
      <c r="H112">
        <v>0</v>
      </c>
      <c r="I112" t="s">
        <v>267</v>
      </c>
      <c r="J112" t="str">
        <f t="shared" si="18"/>
        <v>153000386</v>
      </c>
      <c r="K112" s="1">
        <v>48013</v>
      </c>
      <c r="M112" s="1">
        <v>46188</v>
      </c>
      <c r="N112" t="str">
        <f t="shared" si="19"/>
        <v>1329001933</v>
      </c>
      <c r="O112">
        <v>4</v>
      </c>
      <c r="P112" s="2">
        <v>46212.449803240743</v>
      </c>
      <c r="Q112" s="2">
        <v>46212.489155092589</v>
      </c>
      <c r="R112" s="2">
        <v>46212.449803240743</v>
      </c>
      <c r="S112">
        <v>0</v>
      </c>
      <c r="T112" t="s">
        <v>67</v>
      </c>
      <c r="U112" t="s">
        <v>67</v>
      </c>
      <c r="W112" t="str">
        <f t="shared" si="20"/>
        <v>400441</v>
      </c>
      <c r="X112" t="s">
        <v>41</v>
      </c>
      <c r="AD112" s="2">
        <v>46212.489155092589</v>
      </c>
    </row>
    <row r="113" spans="1:30" x14ac:dyDescent="0.35">
      <c r="A113" t="s">
        <v>30</v>
      </c>
      <c r="B113" t="s">
        <v>31</v>
      </c>
      <c r="C113" t="s">
        <v>268</v>
      </c>
      <c r="D113" t="s">
        <v>33</v>
      </c>
      <c r="E113" t="str">
        <f t="shared" si="17"/>
        <v>400441</v>
      </c>
      <c r="F113" t="s">
        <v>65</v>
      </c>
      <c r="G113">
        <v>4</v>
      </c>
      <c r="H113">
        <v>0</v>
      </c>
      <c r="I113" t="s">
        <v>269</v>
      </c>
      <c r="J113" t="str">
        <f>"153000412"</f>
        <v>153000412</v>
      </c>
      <c r="K113" s="1">
        <v>48022</v>
      </c>
      <c r="M113" s="1">
        <v>46197</v>
      </c>
      <c r="N113" t="str">
        <f t="shared" si="19"/>
        <v>1329001933</v>
      </c>
      <c r="O113">
        <v>4</v>
      </c>
      <c r="P113" s="2">
        <v>46212.450057870374</v>
      </c>
      <c r="Q113" s="2">
        <v>46212.490555555552</v>
      </c>
      <c r="R113" s="2">
        <v>46212.450057870374</v>
      </c>
      <c r="S113">
        <v>0</v>
      </c>
      <c r="T113" t="s">
        <v>67</v>
      </c>
      <c r="U113" t="s">
        <v>67</v>
      </c>
      <c r="W113" t="str">
        <f t="shared" si="20"/>
        <v>400441</v>
      </c>
      <c r="X113" t="s">
        <v>41</v>
      </c>
      <c r="AD113" s="2">
        <v>46212.490555555552</v>
      </c>
    </row>
    <row r="114" spans="1:30" x14ac:dyDescent="0.35">
      <c r="A114" t="s">
        <v>30</v>
      </c>
      <c r="B114" t="s">
        <v>31</v>
      </c>
      <c r="C114" t="s">
        <v>270</v>
      </c>
      <c r="D114" t="s">
        <v>33</v>
      </c>
      <c r="E114" t="str">
        <f t="shared" si="17"/>
        <v>400441</v>
      </c>
      <c r="F114" t="s">
        <v>65</v>
      </c>
      <c r="G114">
        <v>4</v>
      </c>
      <c r="H114">
        <v>0</v>
      </c>
      <c r="I114" t="s">
        <v>271</v>
      </c>
      <c r="J114" t="str">
        <f>"153000386"</f>
        <v>153000386</v>
      </c>
      <c r="K114" s="1">
        <v>48013</v>
      </c>
      <c r="M114" s="1">
        <v>46188</v>
      </c>
      <c r="N114" t="str">
        <f t="shared" si="19"/>
        <v>1329001933</v>
      </c>
      <c r="O114">
        <v>4</v>
      </c>
      <c r="P114" s="2">
        <v>46212.450312499997</v>
      </c>
      <c r="Q114" s="2">
        <v>46212.492800925924</v>
      </c>
      <c r="R114" s="2">
        <v>46212.450312499997</v>
      </c>
      <c r="S114">
        <v>0</v>
      </c>
      <c r="T114" t="s">
        <v>67</v>
      </c>
      <c r="U114" t="s">
        <v>67</v>
      </c>
      <c r="W114" t="str">
        <f t="shared" si="20"/>
        <v>400441</v>
      </c>
      <c r="X114" t="s">
        <v>41</v>
      </c>
      <c r="AD114" s="2">
        <v>46212.492800925924</v>
      </c>
    </row>
    <row r="115" spans="1:30" x14ac:dyDescent="0.35">
      <c r="A115" t="s">
        <v>30</v>
      </c>
      <c r="B115" t="s">
        <v>31</v>
      </c>
      <c r="C115" t="s">
        <v>272</v>
      </c>
      <c r="D115" t="s">
        <v>33</v>
      </c>
      <c r="E115" t="str">
        <f t="shared" si="17"/>
        <v>400441</v>
      </c>
      <c r="F115" t="s">
        <v>65</v>
      </c>
      <c r="G115">
        <v>4</v>
      </c>
      <c r="H115">
        <v>0</v>
      </c>
      <c r="I115" t="s">
        <v>273</v>
      </c>
      <c r="J115" t="str">
        <f>"153000386"</f>
        <v>153000386</v>
      </c>
      <c r="K115" s="1">
        <v>48013</v>
      </c>
      <c r="M115" s="1">
        <v>46188</v>
      </c>
      <c r="N115" t="str">
        <f t="shared" si="19"/>
        <v>1329001933</v>
      </c>
      <c r="O115">
        <v>4</v>
      </c>
      <c r="P115" s="2">
        <v>46212.44599537037</v>
      </c>
      <c r="Q115" s="2">
        <v>46212.493981481479</v>
      </c>
      <c r="R115" s="2">
        <v>46212.44599537037</v>
      </c>
      <c r="S115">
        <v>0</v>
      </c>
      <c r="T115" t="s">
        <v>67</v>
      </c>
      <c r="U115" t="s">
        <v>67</v>
      </c>
      <c r="W115" t="str">
        <f t="shared" si="20"/>
        <v>400441</v>
      </c>
      <c r="X115" t="s">
        <v>41</v>
      </c>
      <c r="AD115" s="2">
        <v>46212.493981481479</v>
      </c>
    </row>
    <row r="116" spans="1:30" x14ac:dyDescent="0.35">
      <c r="A116" t="s">
        <v>30</v>
      </c>
      <c r="B116" t="s">
        <v>31</v>
      </c>
      <c r="C116" t="s">
        <v>274</v>
      </c>
      <c r="D116" t="s">
        <v>33</v>
      </c>
      <c r="E116" t="str">
        <f t="shared" si="17"/>
        <v>400441</v>
      </c>
      <c r="F116" t="s">
        <v>65</v>
      </c>
      <c r="G116">
        <v>4</v>
      </c>
      <c r="H116">
        <v>0</v>
      </c>
      <c r="I116" t="s">
        <v>275</v>
      </c>
      <c r="J116" t="str">
        <f>"153000386"</f>
        <v>153000386</v>
      </c>
      <c r="K116" s="1">
        <v>48013</v>
      </c>
      <c r="M116" s="1">
        <v>46188</v>
      </c>
      <c r="N116" t="str">
        <f t="shared" si="19"/>
        <v>1329001933</v>
      </c>
      <c r="O116">
        <v>4</v>
      </c>
      <c r="P116" s="2">
        <v>46212.446423611109</v>
      </c>
      <c r="Q116" s="2">
        <v>46212.49659722222</v>
      </c>
      <c r="R116" s="2">
        <v>46212.446423611109</v>
      </c>
      <c r="S116">
        <v>0</v>
      </c>
      <c r="T116" t="s">
        <v>67</v>
      </c>
      <c r="U116" t="s">
        <v>67</v>
      </c>
      <c r="W116" t="str">
        <f t="shared" si="20"/>
        <v>400441</v>
      </c>
      <c r="X116" t="s">
        <v>41</v>
      </c>
      <c r="AD116" s="2">
        <v>46212.49659722222</v>
      </c>
    </row>
    <row r="117" spans="1:30" x14ac:dyDescent="0.35">
      <c r="A117" t="s">
        <v>30</v>
      </c>
      <c r="B117" t="s">
        <v>31</v>
      </c>
      <c r="C117" t="s">
        <v>276</v>
      </c>
      <c r="D117" t="s">
        <v>33</v>
      </c>
      <c r="E117" t="str">
        <f t="shared" si="17"/>
        <v>400441</v>
      </c>
      <c r="F117" t="s">
        <v>65</v>
      </c>
      <c r="G117">
        <v>4</v>
      </c>
      <c r="H117">
        <v>0</v>
      </c>
      <c r="I117" t="s">
        <v>277</v>
      </c>
      <c r="J117" t="str">
        <f>"153000386"</f>
        <v>153000386</v>
      </c>
      <c r="K117" s="1">
        <v>48013</v>
      </c>
      <c r="M117" s="1">
        <v>46188</v>
      </c>
      <c r="N117" t="str">
        <f t="shared" si="19"/>
        <v>1329001933</v>
      </c>
      <c r="O117">
        <v>4</v>
      </c>
      <c r="P117" s="2">
        <v>46212.446759259263</v>
      </c>
      <c r="Q117" s="2">
        <v>46212.541018518517</v>
      </c>
      <c r="R117" s="2">
        <v>46212.446759259263</v>
      </c>
      <c r="S117">
        <v>0</v>
      </c>
      <c r="T117" t="s">
        <v>67</v>
      </c>
      <c r="U117" t="s">
        <v>67</v>
      </c>
      <c r="W117" t="str">
        <f t="shared" si="20"/>
        <v>400441</v>
      </c>
      <c r="X117" t="s">
        <v>41</v>
      </c>
      <c r="AD117" s="2">
        <v>46212.541018518517</v>
      </c>
    </row>
    <row r="118" spans="1:30" x14ac:dyDescent="0.35">
      <c r="A118" t="s">
        <v>30</v>
      </c>
      <c r="B118" t="s">
        <v>31</v>
      </c>
      <c r="C118" t="s">
        <v>278</v>
      </c>
      <c r="D118" t="s">
        <v>33</v>
      </c>
      <c r="E118" t="str">
        <f>"400912"</f>
        <v>400912</v>
      </c>
      <c r="F118" t="s">
        <v>174</v>
      </c>
      <c r="G118">
        <v>4</v>
      </c>
      <c r="H118">
        <v>0</v>
      </c>
      <c r="I118" t="s">
        <v>279</v>
      </c>
      <c r="J118" t="str">
        <f>"400004565"</f>
        <v>400004565</v>
      </c>
      <c r="K118" s="1">
        <v>48021</v>
      </c>
      <c r="M118" s="1">
        <v>46196</v>
      </c>
      <c r="N118" t="str">
        <f t="shared" ref="N118:N130" si="21">"1329001932"</f>
        <v>1329001932</v>
      </c>
      <c r="O118">
        <v>4</v>
      </c>
      <c r="P118" s="2">
        <v>46212.471620370372</v>
      </c>
      <c r="Q118" s="2">
        <v>46212.542245370372</v>
      </c>
      <c r="R118" s="2">
        <v>46212.471620370372</v>
      </c>
      <c r="S118">
        <v>0</v>
      </c>
      <c r="T118" t="s">
        <v>192</v>
      </c>
      <c r="U118" t="s">
        <v>192</v>
      </c>
      <c r="W118" t="str">
        <f>"400912"</f>
        <v>400912</v>
      </c>
      <c r="X118" t="s">
        <v>41</v>
      </c>
      <c r="AD118" s="2">
        <v>46212.542245370372</v>
      </c>
    </row>
    <row r="119" spans="1:30" x14ac:dyDescent="0.35">
      <c r="A119" t="s">
        <v>30</v>
      </c>
      <c r="B119" t="s">
        <v>31</v>
      </c>
      <c r="C119" t="s">
        <v>280</v>
      </c>
      <c r="D119" t="s">
        <v>33</v>
      </c>
      <c r="E119" t="str">
        <f>"400904"</f>
        <v>400904</v>
      </c>
      <c r="F119" t="s">
        <v>167</v>
      </c>
      <c r="G119">
        <v>4</v>
      </c>
      <c r="H119">
        <v>0</v>
      </c>
      <c r="I119" t="s">
        <v>281</v>
      </c>
      <c r="J119" t="str">
        <f>"400004555"</f>
        <v>400004555</v>
      </c>
      <c r="K119" s="1">
        <v>48019</v>
      </c>
      <c r="M119" s="1">
        <v>46194</v>
      </c>
      <c r="N119" t="str">
        <f t="shared" si="21"/>
        <v>1329001932</v>
      </c>
      <c r="O119">
        <v>4</v>
      </c>
      <c r="P119" s="2">
        <v>46212.468993055554</v>
      </c>
      <c r="Q119" s="2">
        <v>46212.542650462965</v>
      </c>
      <c r="R119" s="2">
        <v>46212.468993055554</v>
      </c>
      <c r="S119">
        <v>0</v>
      </c>
      <c r="T119" t="s">
        <v>192</v>
      </c>
      <c r="U119" t="s">
        <v>192</v>
      </c>
      <c r="W119" t="str">
        <f>"400904"</f>
        <v>400904</v>
      </c>
      <c r="X119" t="s">
        <v>41</v>
      </c>
      <c r="AD119" s="2">
        <v>46212.542650462965</v>
      </c>
    </row>
    <row r="120" spans="1:30" x14ac:dyDescent="0.35">
      <c r="A120" t="s">
        <v>30</v>
      </c>
      <c r="B120" t="s">
        <v>31</v>
      </c>
      <c r="C120" t="s">
        <v>282</v>
      </c>
      <c r="D120" t="s">
        <v>33</v>
      </c>
      <c r="E120" t="str">
        <f>"400912"</f>
        <v>400912</v>
      </c>
      <c r="F120" t="s">
        <v>174</v>
      </c>
      <c r="G120">
        <v>4</v>
      </c>
      <c r="H120">
        <v>0</v>
      </c>
      <c r="I120" t="s">
        <v>283</v>
      </c>
      <c r="J120" t="str">
        <f>"400004566"</f>
        <v>400004566</v>
      </c>
      <c r="K120" s="1">
        <v>48022</v>
      </c>
      <c r="M120" s="1">
        <v>46197</v>
      </c>
      <c r="N120" t="str">
        <f t="shared" si="21"/>
        <v>1329001932</v>
      </c>
      <c r="O120">
        <v>4</v>
      </c>
      <c r="P120" s="2">
        <v>46212.471863425926</v>
      </c>
      <c r="Q120" s="2">
        <v>46212.543414351851</v>
      </c>
      <c r="R120" s="2">
        <v>46212.471863425926</v>
      </c>
      <c r="S120">
        <v>0</v>
      </c>
      <c r="T120" t="s">
        <v>192</v>
      </c>
      <c r="U120" t="s">
        <v>192</v>
      </c>
      <c r="W120" t="str">
        <f>"400912"</f>
        <v>400912</v>
      </c>
      <c r="X120" t="s">
        <v>41</v>
      </c>
      <c r="AD120" s="2">
        <v>46212.543414351851</v>
      </c>
    </row>
    <row r="121" spans="1:30" x14ac:dyDescent="0.35">
      <c r="A121" t="s">
        <v>30</v>
      </c>
      <c r="B121" t="s">
        <v>31</v>
      </c>
      <c r="C121" t="s">
        <v>284</v>
      </c>
      <c r="D121" t="s">
        <v>33</v>
      </c>
      <c r="E121" t="str">
        <f>"400912"</f>
        <v>400912</v>
      </c>
      <c r="F121" t="s">
        <v>174</v>
      </c>
      <c r="G121">
        <v>4</v>
      </c>
      <c r="H121">
        <v>0</v>
      </c>
      <c r="I121" t="s">
        <v>285</v>
      </c>
      <c r="J121" t="str">
        <f>"400004565"</f>
        <v>400004565</v>
      </c>
      <c r="K121" s="1">
        <v>48021</v>
      </c>
      <c r="M121" s="1">
        <v>46196</v>
      </c>
      <c r="N121" t="str">
        <f t="shared" si="21"/>
        <v>1329001932</v>
      </c>
      <c r="O121">
        <v>4</v>
      </c>
      <c r="P121" s="2">
        <v>46212.469386574077</v>
      </c>
      <c r="Q121" s="2">
        <v>46212.544189814813</v>
      </c>
      <c r="R121" s="2">
        <v>46212.469386574077</v>
      </c>
      <c r="S121">
        <v>0</v>
      </c>
      <c r="T121" t="s">
        <v>192</v>
      </c>
      <c r="U121" t="s">
        <v>192</v>
      </c>
      <c r="W121" t="str">
        <f>"400912"</f>
        <v>400912</v>
      </c>
      <c r="X121" t="s">
        <v>41</v>
      </c>
      <c r="AD121" s="2">
        <v>46212.544189814813</v>
      </c>
    </row>
    <row r="122" spans="1:30" x14ac:dyDescent="0.35">
      <c r="A122" t="s">
        <v>30</v>
      </c>
      <c r="B122" t="s">
        <v>31</v>
      </c>
      <c r="C122" t="s">
        <v>286</v>
      </c>
      <c r="D122" t="s">
        <v>33</v>
      </c>
      <c r="E122" t="str">
        <f>"400904"</f>
        <v>400904</v>
      </c>
      <c r="F122" t="s">
        <v>167</v>
      </c>
      <c r="G122">
        <v>4</v>
      </c>
      <c r="H122">
        <v>0</v>
      </c>
      <c r="I122" t="s">
        <v>287</v>
      </c>
      <c r="J122" t="str">
        <f>"400004556"</f>
        <v>400004556</v>
      </c>
      <c r="K122" s="1">
        <v>48019</v>
      </c>
      <c r="M122" s="1">
        <v>46194</v>
      </c>
      <c r="N122" t="str">
        <f t="shared" si="21"/>
        <v>1329001932</v>
      </c>
      <c r="O122">
        <v>4</v>
      </c>
      <c r="P122" s="2">
        <v>46212.472453703704</v>
      </c>
      <c r="Q122" s="2">
        <v>46212.545069444444</v>
      </c>
      <c r="R122" s="2">
        <v>46212.472453703704</v>
      </c>
      <c r="S122">
        <v>0</v>
      </c>
      <c r="T122" t="s">
        <v>192</v>
      </c>
      <c r="U122" t="s">
        <v>192</v>
      </c>
      <c r="W122" t="str">
        <f>"400904"</f>
        <v>400904</v>
      </c>
      <c r="X122" t="s">
        <v>41</v>
      </c>
      <c r="AD122" s="2">
        <v>46212.545069444444</v>
      </c>
    </row>
    <row r="123" spans="1:30" x14ac:dyDescent="0.35">
      <c r="A123" t="s">
        <v>30</v>
      </c>
      <c r="B123" t="s">
        <v>31</v>
      </c>
      <c r="C123" t="s">
        <v>288</v>
      </c>
      <c r="D123" t="s">
        <v>33</v>
      </c>
      <c r="E123" t="str">
        <f>"400912"</f>
        <v>400912</v>
      </c>
      <c r="F123" t="s">
        <v>174</v>
      </c>
      <c r="G123">
        <v>4</v>
      </c>
      <c r="H123">
        <v>0</v>
      </c>
      <c r="I123" t="s">
        <v>289</v>
      </c>
      <c r="J123" t="str">
        <f>"400004565"</f>
        <v>400004565</v>
      </c>
      <c r="K123" s="1">
        <v>48021</v>
      </c>
      <c r="M123" s="1">
        <v>46196</v>
      </c>
      <c r="N123" t="str">
        <f t="shared" si="21"/>
        <v>1329001932</v>
      </c>
      <c r="O123">
        <v>4</v>
      </c>
      <c r="P123" s="2">
        <v>46212.469861111109</v>
      </c>
      <c r="Q123" s="2">
        <v>46212.545914351853</v>
      </c>
      <c r="R123" s="2">
        <v>46212.469861111109</v>
      </c>
      <c r="S123">
        <v>0</v>
      </c>
      <c r="T123" t="s">
        <v>192</v>
      </c>
      <c r="U123" t="s">
        <v>192</v>
      </c>
      <c r="W123" t="str">
        <f>"400912"</f>
        <v>400912</v>
      </c>
      <c r="X123" t="s">
        <v>41</v>
      </c>
      <c r="AD123" s="2">
        <v>46212.545914351853</v>
      </c>
    </row>
    <row r="124" spans="1:30" x14ac:dyDescent="0.35">
      <c r="A124" t="s">
        <v>30</v>
      </c>
      <c r="B124" t="s">
        <v>31</v>
      </c>
      <c r="C124" t="s">
        <v>290</v>
      </c>
      <c r="D124" t="s">
        <v>33</v>
      </c>
      <c r="E124" t="str">
        <f>"400904"</f>
        <v>400904</v>
      </c>
      <c r="F124" t="s">
        <v>167</v>
      </c>
      <c r="G124">
        <v>4</v>
      </c>
      <c r="H124">
        <v>0</v>
      </c>
      <c r="I124" t="s">
        <v>291</v>
      </c>
      <c r="J124" t="str">
        <f>"400004559"</f>
        <v>400004559</v>
      </c>
      <c r="K124" s="1">
        <v>48020</v>
      </c>
      <c r="M124" s="1">
        <v>46195</v>
      </c>
      <c r="N124" t="str">
        <f t="shared" si="21"/>
        <v>1329001932</v>
      </c>
      <c r="O124">
        <v>4</v>
      </c>
      <c r="P124" s="2">
        <v>46212.470173611109</v>
      </c>
      <c r="Q124" s="2">
        <v>46212.546782407408</v>
      </c>
      <c r="R124" s="2">
        <v>46212.470173611109</v>
      </c>
      <c r="S124">
        <v>0</v>
      </c>
      <c r="T124" t="s">
        <v>192</v>
      </c>
      <c r="U124" t="s">
        <v>192</v>
      </c>
      <c r="W124" t="str">
        <f>"400904"</f>
        <v>400904</v>
      </c>
      <c r="X124" t="s">
        <v>41</v>
      </c>
      <c r="AD124" s="2">
        <v>46212.546782407408</v>
      </c>
    </row>
    <row r="125" spans="1:30" x14ac:dyDescent="0.35">
      <c r="A125" t="s">
        <v>30</v>
      </c>
      <c r="B125" t="s">
        <v>31</v>
      </c>
      <c r="C125" t="s">
        <v>292</v>
      </c>
      <c r="D125" t="s">
        <v>33</v>
      </c>
      <c r="E125" t="str">
        <f>"400912"</f>
        <v>400912</v>
      </c>
      <c r="F125" t="s">
        <v>174</v>
      </c>
      <c r="G125">
        <v>4</v>
      </c>
      <c r="H125">
        <v>0</v>
      </c>
      <c r="I125" t="s">
        <v>293</v>
      </c>
      <c r="J125" t="str">
        <f>"400004565"</f>
        <v>400004565</v>
      </c>
      <c r="K125" s="1">
        <v>48021</v>
      </c>
      <c r="M125" s="1">
        <v>46196</v>
      </c>
      <c r="N125" t="str">
        <f t="shared" si="21"/>
        <v>1329001932</v>
      </c>
      <c r="O125">
        <v>4</v>
      </c>
      <c r="P125" s="2">
        <v>46212.472777777781</v>
      </c>
      <c r="Q125" s="2">
        <v>46212.547662037039</v>
      </c>
      <c r="R125" s="2">
        <v>46212.472777777781</v>
      </c>
      <c r="S125">
        <v>0</v>
      </c>
      <c r="T125" t="s">
        <v>192</v>
      </c>
      <c r="U125" t="s">
        <v>192</v>
      </c>
      <c r="W125" t="str">
        <f>"400912"</f>
        <v>400912</v>
      </c>
      <c r="X125" t="s">
        <v>41</v>
      </c>
      <c r="AD125" s="2">
        <v>46212.547662037039</v>
      </c>
    </row>
    <row r="126" spans="1:30" x14ac:dyDescent="0.35">
      <c r="A126" t="s">
        <v>30</v>
      </c>
      <c r="B126" t="s">
        <v>31</v>
      </c>
      <c r="C126" t="s">
        <v>294</v>
      </c>
      <c r="D126" t="s">
        <v>33</v>
      </c>
      <c r="E126" t="str">
        <f>"400904"</f>
        <v>400904</v>
      </c>
      <c r="F126" t="s">
        <v>167</v>
      </c>
      <c r="G126">
        <v>4</v>
      </c>
      <c r="H126">
        <v>0</v>
      </c>
      <c r="I126" t="s">
        <v>295</v>
      </c>
      <c r="J126" t="str">
        <f>"400004555"</f>
        <v>400004555</v>
      </c>
      <c r="K126" s="1">
        <v>48019</v>
      </c>
      <c r="M126" s="1">
        <v>46194</v>
      </c>
      <c r="N126" t="str">
        <f t="shared" si="21"/>
        <v>1329001932</v>
      </c>
      <c r="O126">
        <v>4</v>
      </c>
      <c r="P126" s="2">
        <v>46212.473090277781</v>
      </c>
      <c r="Q126" s="2">
        <v>46212.548518518517</v>
      </c>
      <c r="R126" s="2">
        <v>46212.473090277781</v>
      </c>
      <c r="S126">
        <v>0</v>
      </c>
      <c r="T126" t="s">
        <v>192</v>
      </c>
      <c r="U126" t="s">
        <v>192</v>
      </c>
      <c r="W126" t="str">
        <f>"400904"</f>
        <v>400904</v>
      </c>
      <c r="X126" t="s">
        <v>41</v>
      </c>
      <c r="AD126" s="2">
        <v>46212.548518518517</v>
      </c>
    </row>
    <row r="127" spans="1:30" x14ac:dyDescent="0.35">
      <c r="A127" t="s">
        <v>30</v>
      </c>
      <c r="B127" t="s">
        <v>31</v>
      </c>
      <c r="C127" t="s">
        <v>296</v>
      </c>
      <c r="D127" t="s">
        <v>33</v>
      </c>
      <c r="E127" t="str">
        <f>"400912"</f>
        <v>400912</v>
      </c>
      <c r="F127" t="s">
        <v>174</v>
      </c>
      <c r="G127">
        <v>4</v>
      </c>
      <c r="H127">
        <v>0</v>
      </c>
      <c r="I127" t="s">
        <v>297</v>
      </c>
      <c r="J127" t="str">
        <f>"400004565"</f>
        <v>400004565</v>
      </c>
      <c r="K127" s="1">
        <v>48021</v>
      </c>
      <c r="M127" s="1">
        <v>46196</v>
      </c>
      <c r="N127" t="str">
        <f t="shared" si="21"/>
        <v>1329001932</v>
      </c>
      <c r="O127">
        <v>4</v>
      </c>
      <c r="P127" s="2">
        <v>46212.470462962963</v>
      </c>
      <c r="Q127" s="2">
        <v>46212.549629629626</v>
      </c>
      <c r="R127" s="2">
        <v>46212.470462962963</v>
      </c>
      <c r="S127">
        <v>0</v>
      </c>
      <c r="T127" t="s">
        <v>192</v>
      </c>
      <c r="U127" t="s">
        <v>192</v>
      </c>
      <c r="W127" t="str">
        <f>"400912"</f>
        <v>400912</v>
      </c>
      <c r="X127" t="s">
        <v>41</v>
      </c>
      <c r="AD127" s="2">
        <v>46212.549629629626</v>
      </c>
    </row>
    <row r="128" spans="1:30" x14ac:dyDescent="0.35">
      <c r="A128" t="s">
        <v>30</v>
      </c>
      <c r="B128" t="s">
        <v>31</v>
      </c>
      <c r="C128" t="s">
        <v>298</v>
      </c>
      <c r="D128" t="s">
        <v>33</v>
      </c>
      <c r="E128" t="str">
        <f>"400912"</f>
        <v>400912</v>
      </c>
      <c r="F128" t="s">
        <v>174</v>
      </c>
      <c r="G128">
        <v>4</v>
      </c>
      <c r="H128">
        <v>0</v>
      </c>
      <c r="I128" t="s">
        <v>299</v>
      </c>
      <c r="J128" t="str">
        <f>"400004565"</f>
        <v>400004565</v>
      </c>
      <c r="K128" s="1">
        <v>48021</v>
      </c>
      <c r="M128" s="1">
        <v>46196</v>
      </c>
      <c r="N128" t="str">
        <f t="shared" si="21"/>
        <v>1329001932</v>
      </c>
      <c r="O128">
        <v>4</v>
      </c>
      <c r="P128" s="2">
        <v>46212.473414351851</v>
      </c>
      <c r="Q128" s="2">
        <v>46212.550462962965</v>
      </c>
      <c r="R128" s="2">
        <v>46212.473414351851</v>
      </c>
      <c r="S128">
        <v>0</v>
      </c>
      <c r="T128" t="s">
        <v>192</v>
      </c>
      <c r="U128" t="s">
        <v>192</v>
      </c>
      <c r="W128" t="str">
        <f>"400912"</f>
        <v>400912</v>
      </c>
      <c r="X128" t="s">
        <v>41</v>
      </c>
      <c r="AD128" s="2">
        <v>46212.550462962965</v>
      </c>
    </row>
    <row r="129" spans="1:30" x14ac:dyDescent="0.35">
      <c r="A129" t="s">
        <v>30</v>
      </c>
      <c r="B129" t="s">
        <v>31</v>
      </c>
      <c r="C129" t="s">
        <v>300</v>
      </c>
      <c r="D129" t="s">
        <v>33</v>
      </c>
      <c r="E129" t="str">
        <f>"400904"</f>
        <v>400904</v>
      </c>
      <c r="F129" t="s">
        <v>167</v>
      </c>
      <c r="G129">
        <v>4</v>
      </c>
      <c r="H129">
        <v>0</v>
      </c>
      <c r="I129" t="s">
        <v>301</v>
      </c>
      <c r="J129" t="str">
        <f>"400004555"</f>
        <v>400004555</v>
      </c>
      <c r="K129" s="1">
        <v>48019</v>
      </c>
      <c r="M129" s="1">
        <v>46194</v>
      </c>
      <c r="N129" t="str">
        <f t="shared" si="21"/>
        <v>1329001932</v>
      </c>
      <c r="O129">
        <v>4</v>
      </c>
      <c r="P129" s="2">
        <v>46212.473715277774</v>
      </c>
      <c r="Q129" s="2">
        <v>46212.55133101852</v>
      </c>
      <c r="R129" s="2">
        <v>46212.473715277774</v>
      </c>
      <c r="S129">
        <v>0</v>
      </c>
      <c r="T129" t="s">
        <v>192</v>
      </c>
      <c r="U129" t="s">
        <v>192</v>
      </c>
      <c r="W129" t="str">
        <f>"400904"</f>
        <v>400904</v>
      </c>
      <c r="X129" t="s">
        <v>41</v>
      </c>
      <c r="AD129" s="2">
        <v>46212.55133101852</v>
      </c>
    </row>
    <row r="130" spans="1:30" x14ac:dyDescent="0.35">
      <c r="A130" t="s">
        <v>30</v>
      </c>
      <c r="B130" t="s">
        <v>31</v>
      </c>
      <c r="C130" t="s">
        <v>302</v>
      </c>
      <c r="D130" t="s">
        <v>33</v>
      </c>
      <c r="E130" t="str">
        <f>"400904"</f>
        <v>400904</v>
      </c>
      <c r="F130" t="s">
        <v>167</v>
      </c>
      <c r="G130">
        <v>4</v>
      </c>
      <c r="H130">
        <v>0</v>
      </c>
      <c r="I130" t="s">
        <v>303</v>
      </c>
      <c r="J130" t="str">
        <f>"400004559"</f>
        <v>400004559</v>
      </c>
      <c r="K130" s="1">
        <v>48020</v>
      </c>
      <c r="M130" s="1">
        <v>46195</v>
      </c>
      <c r="N130" t="str">
        <f t="shared" si="21"/>
        <v>1329001932</v>
      </c>
      <c r="O130">
        <v>4</v>
      </c>
      <c r="P130" s="2">
        <v>46212.470821759256</v>
      </c>
      <c r="Q130" s="2">
        <v>46212.553171296298</v>
      </c>
      <c r="R130" s="2">
        <v>46212.470821759256</v>
      </c>
      <c r="S130">
        <v>0</v>
      </c>
      <c r="T130" t="s">
        <v>192</v>
      </c>
      <c r="U130" t="s">
        <v>192</v>
      </c>
      <c r="W130" t="str">
        <f>"400904"</f>
        <v>400904</v>
      </c>
      <c r="X130" t="s">
        <v>41</v>
      </c>
      <c r="AD130" s="2">
        <v>46212.553171296298</v>
      </c>
    </row>
    <row r="131" spans="1:30" x14ac:dyDescent="0.35">
      <c r="A131" t="s">
        <v>30</v>
      </c>
      <c r="B131" t="s">
        <v>31</v>
      </c>
      <c r="C131" t="s">
        <v>304</v>
      </c>
      <c r="D131" t="s">
        <v>33</v>
      </c>
      <c r="E131" t="str">
        <f>"400441"</f>
        <v>400441</v>
      </c>
      <c r="F131" t="s">
        <v>65</v>
      </c>
      <c r="G131">
        <v>4</v>
      </c>
      <c r="H131">
        <v>0</v>
      </c>
      <c r="I131" t="s">
        <v>305</v>
      </c>
      <c r="J131" t="str">
        <f>"153000386"</f>
        <v>153000386</v>
      </c>
      <c r="K131" s="1">
        <v>48013</v>
      </c>
      <c r="M131" s="1">
        <v>46188</v>
      </c>
      <c r="N131" t="str">
        <f>"1329001933"</f>
        <v>1329001933</v>
      </c>
      <c r="O131">
        <v>4</v>
      </c>
      <c r="P131" s="2">
        <v>46212.443541666667</v>
      </c>
      <c r="Q131" s="2">
        <v>46212.556319444448</v>
      </c>
      <c r="R131" s="2">
        <v>46212.443541666667</v>
      </c>
      <c r="S131">
        <v>0</v>
      </c>
      <c r="T131" t="s">
        <v>67</v>
      </c>
      <c r="U131" t="s">
        <v>67</v>
      </c>
      <c r="W131" t="str">
        <f>"400441"</f>
        <v>400441</v>
      </c>
      <c r="X131" t="s">
        <v>41</v>
      </c>
      <c r="AD131" s="2">
        <v>46212.556319444448</v>
      </c>
    </row>
    <row r="132" spans="1:30" x14ac:dyDescent="0.35">
      <c r="A132" t="s">
        <v>30</v>
      </c>
      <c r="B132" t="s">
        <v>31</v>
      </c>
      <c r="C132" t="s">
        <v>306</v>
      </c>
      <c r="D132" t="s">
        <v>33</v>
      </c>
      <c r="E132" t="str">
        <f>"400912"</f>
        <v>400912</v>
      </c>
      <c r="F132" t="s">
        <v>174</v>
      </c>
      <c r="G132">
        <v>4</v>
      </c>
      <c r="H132">
        <v>0</v>
      </c>
      <c r="I132" t="s">
        <v>307</v>
      </c>
      <c r="J132" t="str">
        <f>"400004566"</f>
        <v>400004566</v>
      </c>
      <c r="K132" s="1">
        <v>48022</v>
      </c>
      <c r="M132" s="1">
        <v>46197</v>
      </c>
      <c r="N132" t="str">
        <f>"1329001932"</f>
        <v>1329001932</v>
      </c>
      <c r="O132">
        <v>4</v>
      </c>
      <c r="P132" s="2">
        <v>46212.459201388891</v>
      </c>
      <c r="Q132" s="2">
        <v>46212.558078703703</v>
      </c>
      <c r="R132" s="2">
        <v>46212.459201388891</v>
      </c>
      <c r="S132">
        <v>0</v>
      </c>
      <c r="T132" t="s">
        <v>192</v>
      </c>
      <c r="U132" t="s">
        <v>192</v>
      </c>
      <c r="W132" t="str">
        <f>"400912"</f>
        <v>400912</v>
      </c>
      <c r="X132" t="s">
        <v>41</v>
      </c>
      <c r="AD132" s="2">
        <v>46212.558078703703</v>
      </c>
    </row>
    <row r="133" spans="1:30" x14ac:dyDescent="0.35">
      <c r="A133" t="s">
        <v>30</v>
      </c>
      <c r="B133" t="s">
        <v>31</v>
      </c>
      <c r="C133" t="s">
        <v>308</v>
      </c>
      <c r="D133" t="s">
        <v>33</v>
      </c>
      <c r="E133" t="str">
        <f>"400912"</f>
        <v>400912</v>
      </c>
      <c r="F133" t="s">
        <v>174</v>
      </c>
      <c r="G133">
        <v>4</v>
      </c>
      <c r="H133">
        <v>0</v>
      </c>
      <c r="I133" t="s">
        <v>309</v>
      </c>
      <c r="J133" t="str">
        <f>"400004566"</f>
        <v>400004566</v>
      </c>
      <c r="K133" s="1">
        <v>48022</v>
      </c>
      <c r="M133" s="1">
        <v>46197</v>
      </c>
      <c r="N133" t="str">
        <f>"1329001932"</f>
        <v>1329001932</v>
      </c>
      <c r="O133">
        <v>4</v>
      </c>
      <c r="P133" s="2">
        <v>46212.471134259256</v>
      </c>
      <c r="Q133" s="2">
        <v>46212.558831018519</v>
      </c>
      <c r="R133" s="2">
        <v>46212.471134259256</v>
      </c>
      <c r="S133">
        <v>0</v>
      </c>
      <c r="T133" t="s">
        <v>192</v>
      </c>
      <c r="U133" t="s">
        <v>192</v>
      </c>
      <c r="W133" t="str">
        <f>"400912"</f>
        <v>400912</v>
      </c>
      <c r="X133" t="s">
        <v>41</v>
      </c>
      <c r="AD133" s="2">
        <v>46212.558831018519</v>
      </c>
    </row>
    <row r="134" spans="1:30" x14ac:dyDescent="0.35">
      <c r="A134" t="s">
        <v>30</v>
      </c>
      <c r="B134" t="s">
        <v>31</v>
      </c>
      <c r="C134" t="s">
        <v>310</v>
      </c>
      <c r="D134" t="s">
        <v>33</v>
      </c>
      <c r="E134" t="str">
        <f>"400912"</f>
        <v>400912</v>
      </c>
      <c r="F134" t="s">
        <v>174</v>
      </c>
      <c r="G134">
        <v>4</v>
      </c>
      <c r="H134">
        <v>0</v>
      </c>
      <c r="I134" t="s">
        <v>311</v>
      </c>
      <c r="J134" t="str">
        <f>"400004566"</f>
        <v>400004566</v>
      </c>
      <c r="K134" s="1">
        <v>48022</v>
      </c>
      <c r="M134" s="1">
        <v>46197</v>
      </c>
      <c r="N134" t="str">
        <f>"1329001932"</f>
        <v>1329001932</v>
      </c>
      <c r="O134">
        <v>4</v>
      </c>
      <c r="P134" s="2">
        <v>46212.459583333337</v>
      </c>
      <c r="Q134" s="2">
        <v>46212.559351851851</v>
      </c>
      <c r="R134" s="2">
        <v>46212.459583333337</v>
      </c>
      <c r="S134">
        <v>0</v>
      </c>
      <c r="T134" t="s">
        <v>192</v>
      </c>
      <c r="U134" t="s">
        <v>192</v>
      </c>
      <c r="W134" t="str">
        <f>"400912"</f>
        <v>400912</v>
      </c>
      <c r="X134" t="s">
        <v>41</v>
      </c>
      <c r="AD134" s="2">
        <v>46212.559351851851</v>
      </c>
    </row>
    <row r="135" spans="1:30" x14ac:dyDescent="0.35">
      <c r="A135" t="s">
        <v>30</v>
      </c>
      <c r="B135" t="s">
        <v>31</v>
      </c>
      <c r="C135" t="s">
        <v>312</v>
      </c>
      <c r="D135" t="s">
        <v>33</v>
      </c>
      <c r="E135" t="str">
        <f>"400904"</f>
        <v>400904</v>
      </c>
      <c r="F135" t="s">
        <v>167</v>
      </c>
      <c r="G135">
        <v>4</v>
      </c>
      <c r="H135">
        <v>0</v>
      </c>
      <c r="I135" t="s">
        <v>313</v>
      </c>
      <c r="J135" t="str">
        <f>"400004555"</f>
        <v>400004555</v>
      </c>
      <c r="K135" s="1">
        <v>48019</v>
      </c>
      <c r="M135" s="1">
        <v>46194</v>
      </c>
      <c r="N135" t="str">
        <f>"1329001932"</f>
        <v>1329001932</v>
      </c>
      <c r="O135">
        <v>4</v>
      </c>
      <c r="P135" s="2">
        <v>46212.475266203706</v>
      </c>
      <c r="Q135" s="2">
        <v>46212.559745370374</v>
      </c>
      <c r="R135" s="2">
        <v>46212.475266203706</v>
      </c>
      <c r="S135">
        <v>0</v>
      </c>
      <c r="T135" t="s">
        <v>192</v>
      </c>
      <c r="U135" t="s">
        <v>192</v>
      </c>
      <c r="W135" t="str">
        <f>"400904"</f>
        <v>400904</v>
      </c>
      <c r="X135" t="s">
        <v>41</v>
      </c>
      <c r="AD135" s="2">
        <v>46212.559745370374</v>
      </c>
    </row>
    <row r="136" spans="1:30" x14ac:dyDescent="0.35">
      <c r="A136" t="s">
        <v>30</v>
      </c>
      <c r="B136" t="s">
        <v>31</v>
      </c>
      <c r="C136" t="s">
        <v>314</v>
      </c>
      <c r="D136" t="s">
        <v>33</v>
      </c>
      <c r="E136" t="str">
        <f>"400904"</f>
        <v>400904</v>
      </c>
      <c r="F136" t="s">
        <v>167</v>
      </c>
      <c r="G136">
        <v>4</v>
      </c>
      <c r="H136">
        <v>0</v>
      </c>
      <c r="I136" t="s">
        <v>315</v>
      </c>
      <c r="J136" t="str">
        <f>"400004555"</f>
        <v>400004555</v>
      </c>
      <c r="K136" s="1">
        <v>48019</v>
      </c>
      <c r="M136" s="1">
        <v>46194</v>
      </c>
      <c r="N136" t="str">
        <f>"1329001932"</f>
        <v>1329001932</v>
      </c>
      <c r="O136">
        <v>4</v>
      </c>
      <c r="P136" s="2">
        <v>46212.46402777778</v>
      </c>
      <c r="Q136" s="2">
        <v>46212.560300925928</v>
      </c>
      <c r="R136" s="2">
        <v>46212.46402777778</v>
      </c>
      <c r="S136">
        <v>0</v>
      </c>
      <c r="T136" t="s">
        <v>192</v>
      </c>
      <c r="U136" t="s">
        <v>192</v>
      </c>
      <c r="W136" t="str">
        <f>"400904"</f>
        <v>400904</v>
      </c>
      <c r="X136" t="s">
        <v>41</v>
      </c>
      <c r="AD136" s="2">
        <v>46212.560300925928</v>
      </c>
    </row>
    <row r="137" spans="1:30" x14ac:dyDescent="0.35">
      <c r="A137" t="s">
        <v>30</v>
      </c>
      <c r="B137" t="s">
        <v>31</v>
      </c>
      <c r="C137" t="s">
        <v>316</v>
      </c>
      <c r="D137" t="s">
        <v>33</v>
      </c>
      <c r="E137" t="str">
        <f>"400441"</f>
        <v>400441</v>
      </c>
      <c r="F137" t="s">
        <v>65</v>
      </c>
      <c r="G137">
        <v>4</v>
      </c>
      <c r="H137">
        <v>0</v>
      </c>
      <c r="I137" t="s">
        <v>317</v>
      </c>
      <c r="J137" t="str">
        <f>"153000386"</f>
        <v>153000386</v>
      </c>
      <c r="K137" s="1">
        <v>48013</v>
      </c>
      <c r="M137" s="1">
        <v>46188</v>
      </c>
      <c r="N137" t="str">
        <f>"1329001933"</f>
        <v>1329001933</v>
      </c>
      <c r="O137">
        <v>4</v>
      </c>
      <c r="P137" s="2">
        <v>46212.439953703702</v>
      </c>
      <c r="Q137" s="2">
        <v>46212.560590277775</v>
      </c>
      <c r="R137" s="2">
        <v>46212.439953703702</v>
      </c>
      <c r="S137">
        <v>0</v>
      </c>
      <c r="T137" t="s">
        <v>67</v>
      </c>
      <c r="U137" t="s">
        <v>67</v>
      </c>
      <c r="W137" t="str">
        <f>"400441"</f>
        <v>400441</v>
      </c>
      <c r="X137" t="s">
        <v>41</v>
      </c>
      <c r="AD137" s="2">
        <v>46212.560590277775</v>
      </c>
    </row>
    <row r="138" spans="1:30" x14ac:dyDescent="0.35">
      <c r="A138" t="s">
        <v>30</v>
      </c>
      <c r="B138" t="s">
        <v>31</v>
      </c>
      <c r="C138" t="s">
        <v>318</v>
      </c>
      <c r="D138" t="s">
        <v>33</v>
      </c>
      <c r="E138" t="str">
        <f>"400904"</f>
        <v>400904</v>
      </c>
      <c r="F138" t="s">
        <v>167</v>
      </c>
      <c r="G138">
        <v>4</v>
      </c>
      <c r="H138">
        <v>0</v>
      </c>
      <c r="I138" t="s">
        <v>319</v>
      </c>
      <c r="J138" t="str">
        <f>"400004559"</f>
        <v>400004559</v>
      </c>
      <c r="K138" s="1">
        <v>48020</v>
      </c>
      <c r="M138" s="1">
        <v>46195</v>
      </c>
      <c r="N138" t="str">
        <f>"1329001932"</f>
        <v>1329001932</v>
      </c>
      <c r="O138">
        <v>4</v>
      </c>
      <c r="P138" s="2">
        <v>46212.464432870373</v>
      </c>
      <c r="Q138" s="2">
        <v>46212.561111111114</v>
      </c>
      <c r="R138" s="2">
        <v>46212.464432870373</v>
      </c>
      <c r="S138">
        <v>0</v>
      </c>
      <c r="T138" t="s">
        <v>192</v>
      </c>
      <c r="U138" t="s">
        <v>192</v>
      </c>
      <c r="W138" t="str">
        <f>"400904"</f>
        <v>400904</v>
      </c>
      <c r="X138" t="s">
        <v>41</v>
      </c>
      <c r="AD138" s="2">
        <v>46212.561111111114</v>
      </c>
    </row>
    <row r="139" spans="1:30" x14ac:dyDescent="0.35">
      <c r="A139" t="s">
        <v>30</v>
      </c>
      <c r="B139" t="s">
        <v>31</v>
      </c>
      <c r="C139" t="s">
        <v>320</v>
      </c>
      <c r="D139" t="s">
        <v>33</v>
      </c>
      <c r="E139" t="str">
        <f>"400904"</f>
        <v>400904</v>
      </c>
      <c r="F139" t="s">
        <v>167</v>
      </c>
      <c r="G139">
        <v>4</v>
      </c>
      <c r="H139">
        <v>0</v>
      </c>
      <c r="I139" t="s">
        <v>321</v>
      </c>
      <c r="J139" t="str">
        <f>"400004562"</f>
        <v>400004562</v>
      </c>
      <c r="K139" s="1">
        <v>48020</v>
      </c>
      <c r="M139" s="1">
        <v>46195</v>
      </c>
      <c r="N139" t="str">
        <f>"1329001932"</f>
        <v>1329001932</v>
      </c>
      <c r="O139">
        <v>4</v>
      </c>
      <c r="P139" s="2">
        <v>46212.466423611113</v>
      </c>
      <c r="Q139" s="2">
        <v>46212.562210648146</v>
      </c>
      <c r="R139" s="2">
        <v>46212.466423611113</v>
      </c>
      <c r="S139">
        <v>0</v>
      </c>
      <c r="T139" t="s">
        <v>192</v>
      </c>
      <c r="U139" t="s">
        <v>192</v>
      </c>
      <c r="W139" t="str">
        <f>"400904"</f>
        <v>400904</v>
      </c>
      <c r="X139" t="s">
        <v>41</v>
      </c>
      <c r="AD139" s="2">
        <v>46212.562210648146</v>
      </c>
    </row>
    <row r="140" spans="1:30" x14ac:dyDescent="0.35">
      <c r="A140" t="s">
        <v>30</v>
      </c>
      <c r="B140" t="s">
        <v>31</v>
      </c>
      <c r="C140" t="s">
        <v>322</v>
      </c>
      <c r="D140" t="s">
        <v>33</v>
      </c>
      <c r="E140" t="str">
        <f>"400904"</f>
        <v>400904</v>
      </c>
      <c r="F140" t="s">
        <v>167</v>
      </c>
      <c r="G140">
        <v>4</v>
      </c>
      <c r="H140">
        <v>0</v>
      </c>
      <c r="I140" t="s">
        <v>323</v>
      </c>
      <c r="J140" t="str">
        <f>"400004562"</f>
        <v>400004562</v>
      </c>
      <c r="K140" s="1">
        <v>48020</v>
      </c>
      <c r="M140" s="1">
        <v>46195</v>
      </c>
      <c r="N140" t="str">
        <f>"1329001932"</f>
        <v>1329001932</v>
      </c>
      <c r="O140">
        <v>4</v>
      </c>
      <c r="P140" s="2">
        <v>46212.467407407406</v>
      </c>
      <c r="Q140" s="2">
        <v>46212.563356481478</v>
      </c>
      <c r="R140" s="2">
        <v>46212.467407407406</v>
      </c>
      <c r="S140">
        <v>0</v>
      </c>
      <c r="T140" t="s">
        <v>192</v>
      </c>
      <c r="U140" t="s">
        <v>192</v>
      </c>
      <c r="W140" t="str">
        <f>"400904"</f>
        <v>400904</v>
      </c>
      <c r="X140" t="s">
        <v>41</v>
      </c>
      <c r="AD140" s="2">
        <v>46212.563356481478</v>
      </c>
    </row>
    <row r="141" spans="1:30" x14ac:dyDescent="0.35">
      <c r="A141" t="s">
        <v>30</v>
      </c>
      <c r="B141" t="s">
        <v>31</v>
      </c>
      <c r="C141" t="s">
        <v>324</v>
      </c>
      <c r="D141" t="s">
        <v>33</v>
      </c>
      <c r="E141" t="str">
        <f>"400441"</f>
        <v>400441</v>
      </c>
      <c r="F141" t="s">
        <v>65</v>
      </c>
      <c r="G141">
        <v>4</v>
      </c>
      <c r="H141">
        <v>0</v>
      </c>
      <c r="I141" t="s">
        <v>325</v>
      </c>
      <c r="J141" t="str">
        <f>"153000412"</f>
        <v>153000412</v>
      </c>
      <c r="K141" s="1">
        <v>48022</v>
      </c>
      <c r="M141" s="1">
        <v>46197</v>
      </c>
      <c r="N141" t="str">
        <f>"1329001933"</f>
        <v>1329001933</v>
      </c>
      <c r="O141">
        <v>4</v>
      </c>
      <c r="P141" s="2">
        <v>46212.44427083333</v>
      </c>
      <c r="Q141" s="2">
        <v>46212.564444444448</v>
      </c>
      <c r="R141" s="2">
        <v>46212.44427083333</v>
      </c>
      <c r="S141">
        <v>0</v>
      </c>
      <c r="T141" t="s">
        <v>67</v>
      </c>
      <c r="U141" t="s">
        <v>67</v>
      </c>
      <c r="W141" t="str">
        <f>"400441"</f>
        <v>400441</v>
      </c>
      <c r="X141" t="s">
        <v>41</v>
      </c>
      <c r="AD141" s="2">
        <v>46212.564444444448</v>
      </c>
    </row>
    <row r="142" spans="1:30" x14ac:dyDescent="0.35">
      <c r="A142" t="s">
        <v>30</v>
      </c>
      <c r="B142" t="s">
        <v>31</v>
      </c>
      <c r="C142" t="s">
        <v>326</v>
      </c>
      <c r="D142" t="s">
        <v>33</v>
      </c>
      <c r="E142" t="str">
        <f>"400904"</f>
        <v>400904</v>
      </c>
      <c r="F142" t="s">
        <v>167</v>
      </c>
      <c r="G142">
        <v>4</v>
      </c>
      <c r="H142">
        <v>0</v>
      </c>
      <c r="I142" t="s">
        <v>327</v>
      </c>
      <c r="J142" t="str">
        <f>"400004559"</f>
        <v>400004559</v>
      </c>
      <c r="K142" s="1">
        <v>48020</v>
      </c>
      <c r="M142" s="1">
        <v>46195</v>
      </c>
      <c r="N142" t="str">
        <f>"1329001932"</f>
        <v>1329001932</v>
      </c>
      <c r="O142">
        <v>4</v>
      </c>
      <c r="P142" s="2">
        <v>46212.467743055553</v>
      </c>
      <c r="Q142" s="2">
        <v>46212.56454861111</v>
      </c>
      <c r="R142" s="2">
        <v>46212.467743055553</v>
      </c>
      <c r="S142">
        <v>0</v>
      </c>
      <c r="T142" t="s">
        <v>192</v>
      </c>
      <c r="U142" t="s">
        <v>192</v>
      </c>
      <c r="W142" t="str">
        <f>"400904"</f>
        <v>400904</v>
      </c>
      <c r="X142" t="s">
        <v>41</v>
      </c>
      <c r="AD142" s="2">
        <v>46212.56454861111</v>
      </c>
    </row>
    <row r="143" spans="1:30" x14ac:dyDescent="0.35">
      <c r="A143" t="s">
        <v>30</v>
      </c>
      <c r="B143" t="s">
        <v>31</v>
      </c>
      <c r="C143" t="s">
        <v>328</v>
      </c>
      <c r="D143" t="s">
        <v>33</v>
      </c>
      <c r="E143" t="str">
        <f>"400904"</f>
        <v>400904</v>
      </c>
      <c r="F143" t="s">
        <v>167</v>
      </c>
      <c r="G143">
        <v>4</v>
      </c>
      <c r="H143">
        <v>0</v>
      </c>
      <c r="I143" t="s">
        <v>329</v>
      </c>
      <c r="J143" t="str">
        <f>"400004559"</f>
        <v>400004559</v>
      </c>
      <c r="K143" s="1">
        <v>48020</v>
      </c>
      <c r="M143" s="1">
        <v>46195</v>
      </c>
      <c r="N143" t="str">
        <f>"1329001932"</f>
        <v>1329001932</v>
      </c>
      <c r="O143">
        <v>4</v>
      </c>
      <c r="P143" s="2">
        <v>46212.468078703707</v>
      </c>
      <c r="Q143" s="2">
        <v>46212.565567129626</v>
      </c>
      <c r="R143" s="2">
        <v>46212.468078703707</v>
      </c>
      <c r="S143">
        <v>0</v>
      </c>
      <c r="T143" t="s">
        <v>192</v>
      </c>
      <c r="U143" t="s">
        <v>192</v>
      </c>
      <c r="W143" t="str">
        <f>"400904"</f>
        <v>400904</v>
      </c>
      <c r="X143" t="s">
        <v>41</v>
      </c>
      <c r="AD143" s="2">
        <v>46212.565567129626</v>
      </c>
    </row>
    <row r="144" spans="1:30" x14ac:dyDescent="0.35">
      <c r="A144" t="s">
        <v>30</v>
      </c>
      <c r="B144" t="s">
        <v>31</v>
      </c>
      <c r="C144" t="s">
        <v>330</v>
      </c>
      <c r="D144" t="s">
        <v>33</v>
      </c>
      <c r="E144" t="str">
        <f>"400441"</f>
        <v>400441</v>
      </c>
      <c r="F144" t="s">
        <v>65</v>
      </c>
      <c r="G144">
        <v>4</v>
      </c>
      <c r="H144">
        <v>0</v>
      </c>
      <c r="I144" t="s">
        <v>331</v>
      </c>
      <c r="J144" t="str">
        <f>"153000412"</f>
        <v>153000412</v>
      </c>
      <c r="K144" s="1">
        <v>48022</v>
      </c>
      <c r="M144" s="1">
        <v>46197</v>
      </c>
      <c r="N144" t="str">
        <f>"1329001933"</f>
        <v>1329001933</v>
      </c>
      <c r="O144">
        <v>4</v>
      </c>
      <c r="P144" s="2">
        <v>46212.444560185184</v>
      </c>
      <c r="Q144" s="2">
        <v>46212.566030092596</v>
      </c>
      <c r="R144" s="2">
        <v>46212.444560185184</v>
      </c>
      <c r="S144">
        <v>0</v>
      </c>
      <c r="T144" t="s">
        <v>67</v>
      </c>
      <c r="U144" t="s">
        <v>67</v>
      </c>
      <c r="W144" t="str">
        <f>"400441"</f>
        <v>400441</v>
      </c>
      <c r="X144" t="s">
        <v>41</v>
      </c>
      <c r="AD144" s="2">
        <v>46212.566030092596</v>
      </c>
    </row>
    <row r="145" spans="1:30" x14ac:dyDescent="0.35">
      <c r="A145" t="s">
        <v>30</v>
      </c>
      <c r="B145" t="s">
        <v>31</v>
      </c>
      <c r="C145" t="s">
        <v>332</v>
      </c>
      <c r="D145" t="s">
        <v>33</v>
      </c>
      <c r="E145" t="str">
        <f>"400904"</f>
        <v>400904</v>
      </c>
      <c r="F145" t="s">
        <v>167</v>
      </c>
      <c r="G145">
        <v>4</v>
      </c>
      <c r="H145">
        <v>0</v>
      </c>
      <c r="I145" t="s">
        <v>333</v>
      </c>
      <c r="J145" t="str">
        <f>"400004559"</f>
        <v>400004559</v>
      </c>
      <c r="K145" s="1">
        <v>48020</v>
      </c>
      <c r="M145" s="1">
        <v>46195</v>
      </c>
      <c r="N145" t="str">
        <f>"1329001932"</f>
        <v>1329001932</v>
      </c>
      <c r="O145">
        <v>4</v>
      </c>
      <c r="P145" s="2">
        <v>46212.468402777777</v>
      </c>
      <c r="Q145" s="2">
        <v>46212.566631944443</v>
      </c>
      <c r="R145" s="2">
        <v>46212.468402777777</v>
      </c>
      <c r="S145">
        <v>0</v>
      </c>
      <c r="T145" t="s">
        <v>192</v>
      </c>
      <c r="U145" t="s">
        <v>192</v>
      </c>
      <c r="W145" t="str">
        <f>"400904"</f>
        <v>400904</v>
      </c>
      <c r="X145" t="s">
        <v>41</v>
      </c>
      <c r="AD145" s="2">
        <v>46212.566631944443</v>
      </c>
    </row>
    <row r="146" spans="1:30" x14ac:dyDescent="0.35">
      <c r="A146" t="s">
        <v>30</v>
      </c>
      <c r="B146" t="s">
        <v>31</v>
      </c>
      <c r="C146" t="s">
        <v>334</v>
      </c>
      <c r="D146" t="s">
        <v>33</v>
      </c>
      <c r="E146" t="str">
        <f>"400912"</f>
        <v>400912</v>
      </c>
      <c r="F146" t="s">
        <v>174</v>
      </c>
      <c r="G146">
        <v>4</v>
      </c>
      <c r="H146">
        <v>0</v>
      </c>
      <c r="I146" t="s">
        <v>335</v>
      </c>
      <c r="J146" t="str">
        <f>"400004566"</f>
        <v>400004566</v>
      </c>
      <c r="K146" s="1">
        <v>48022</v>
      </c>
      <c r="M146" s="1">
        <v>46197</v>
      </c>
      <c r="N146" t="str">
        <f>"1329001932"</f>
        <v>1329001932</v>
      </c>
      <c r="O146">
        <v>4</v>
      </c>
      <c r="P146" s="2">
        <v>46212.459988425922</v>
      </c>
      <c r="Q146" s="2">
        <v>46212.568124999998</v>
      </c>
      <c r="R146" s="2">
        <v>46212.459988425922</v>
      </c>
      <c r="S146">
        <v>0</v>
      </c>
      <c r="T146" t="s">
        <v>192</v>
      </c>
      <c r="U146" t="s">
        <v>192</v>
      </c>
      <c r="W146" t="str">
        <f>"400912"</f>
        <v>400912</v>
      </c>
      <c r="X146" t="s">
        <v>41</v>
      </c>
      <c r="AD146" s="2">
        <v>46212.568124999998</v>
      </c>
    </row>
    <row r="147" spans="1:30" x14ac:dyDescent="0.35">
      <c r="A147" t="s">
        <v>30</v>
      </c>
      <c r="B147" t="s">
        <v>31</v>
      </c>
      <c r="C147" t="s">
        <v>336</v>
      </c>
      <c r="D147" t="s">
        <v>33</v>
      </c>
      <c r="E147" t="str">
        <f>"400912"</f>
        <v>400912</v>
      </c>
      <c r="F147" t="s">
        <v>174</v>
      </c>
      <c r="G147">
        <v>4</v>
      </c>
      <c r="H147">
        <v>0</v>
      </c>
      <c r="I147" t="s">
        <v>337</v>
      </c>
      <c r="J147" t="str">
        <f>"400004566"</f>
        <v>400004566</v>
      </c>
      <c r="K147" s="1">
        <v>48022</v>
      </c>
      <c r="M147" s="1">
        <v>46197</v>
      </c>
      <c r="N147" t="str">
        <f>"1329001932"</f>
        <v>1329001932</v>
      </c>
      <c r="O147">
        <v>4</v>
      </c>
      <c r="P147" s="2">
        <v>46212.460347222222</v>
      </c>
      <c r="Q147" s="2">
        <v>46212.569641203707</v>
      </c>
      <c r="R147" s="2">
        <v>46212.460347222222</v>
      </c>
      <c r="S147">
        <v>0</v>
      </c>
      <c r="T147" t="s">
        <v>192</v>
      </c>
      <c r="U147" t="s">
        <v>192</v>
      </c>
      <c r="V147" t="s">
        <v>338</v>
      </c>
      <c r="W147" t="str">
        <f>"400912"</f>
        <v>400912</v>
      </c>
      <c r="X147" t="s">
        <v>41</v>
      </c>
      <c r="AD147" s="2">
        <v>46212.569513888891</v>
      </c>
    </row>
    <row r="148" spans="1:30" x14ac:dyDescent="0.35">
      <c r="A148" t="s">
        <v>30</v>
      </c>
      <c r="B148" t="s">
        <v>31</v>
      </c>
      <c r="C148" t="s">
        <v>339</v>
      </c>
      <c r="D148" t="s">
        <v>33</v>
      </c>
      <c r="E148" t="str">
        <f>"400441"</f>
        <v>400441</v>
      </c>
      <c r="F148" t="s">
        <v>65</v>
      </c>
      <c r="G148">
        <v>4</v>
      </c>
      <c r="H148">
        <v>0</v>
      </c>
      <c r="I148" t="s">
        <v>340</v>
      </c>
      <c r="J148" t="str">
        <f>"153000412"</f>
        <v>153000412</v>
      </c>
      <c r="K148" s="1">
        <v>48022</v>
      </c>
      <c r="M148" s="1">
        <v>46197</v>
      </c>
      <c r="N148" t="str">
        <f>"1329001933"</f>
        <v>1329001933</v>
      </c>
      <c r="O148">
        <v>4</v>
      </c>
      <c r="P148" s="2">
        <v>46212.441493055558</v>
      </c>
      <c r="Q148" s="2">
        <v>46212.570081018515</v>
      </c>
      <c r="R148" s="2">
        <v>46212.441493055558</v>
      </c>
      <c r="S148">
        <v>0</v>
      </c>
      <c r="T148" t="s">
        <v>67</v>
      </c>
      <c r="U148" t="s">
        <v>67</v>
      </c>
      <c r="W148" t="str">
        <f>"400441"</f>
        <v>400441</v>
      </c>
      <c r="X148" t="s">
        <v>41</v>
      </c>
      <c r="AD148" s="2">
        <v>46212.570081018515</v>
      </c>
    </row>
    <row r="149" spans="1:30" x14ac:dyDescent="0.35">
      <c r="A149" t="s">
        <v>30</v>
      </c>
      <c r="B149" t="s">
        <v>31</v>
      </c>
      <c r="C149" t="s">
        <v>341</v>
      </c>
      <c r="D149" t="s">
        <v>33</v>
      </c>
      <c r="E149" t="str">
        <f>"400912"</f>
        <v>400912</v>
      </c>
      <c r="F149" t="s">
        <v>174</v>
      </c>
      <c r="G149">
        <v>4</v>
      </c>
      <c r="H149">
        <v>0</v>
      </c>
      <c r="I149" t="s">
        <v>342</v>
      </c>
      <c r="J149" t="str">
        <f>"400004569"</f>
        <v>400004569</v>
      </c>
      <c r="K149" s="1">
        <v>48022</v>
      </c>
      <c r="M149" s="1">
        <v>46197</v>
      </c>
      <c r="N149" t="str">
        <f>"1329001932"</f>
        <v>1329001932</v>
      </c>
      <c r="O149">
        <v>4</v>
      </c>
      <c r="P149" s="2">
        <v>46212.461076388892</v>
      </c>
      <c r="Q149" s="2">
        <v>46212.570787037039</v>
      </c>
      <c r="R149" s="2">
        <v>46212.461076388892</v>
      </c>
      <c r="S149">
        <v>0</v>
      </c>
      <c r="T149" t="s">
        <v>192</v>
      </c>
      <c r="U149" t="s">
        <v>192</v>
      </c>
      <c r="W149" t="str">
        <f>"400912"</f>
        <v>400912</v>
      </c>
      <c r="X149" t="s">
        <v>41</v>
      </c>
      <c r="AD149" s="2">
        <v>46212.570787037039</v>
      </c>
    </row>
    <row r="150" spans="1:30" x14ac:dyDescent="0.35">
      <c r="A150" t="s">
        <v>30</v>
      </c>
      <c r="B150" t="s">
        <v>31</v>
      </c>
      <c r="C150" t="s">
        <v>343</v>
      </c>
      <c r="D150" t="s">
        <v>33</v>
      </c>
      <c r="E150" t="str">
        <f>"400441"</f>
        <v>400441</v>
      </c>
      <c r="F150" t="s">
        <v>65</v>
      </c>
      <c r="G150">
        <v>4</v>
      </c>
      <c r="H150">
        <v>0</v>
      </c>
      <c r="I150" t="s">
        <v>344</v>
      </c>
      <c r="J150" t="str">
        <f>"153000412"</f>
        <v>153000412</v>
      </c>
      <c r="K150" s="1">
        <v>48022</v>
      </c>
      <c r="M150" s="1">
        <v>46197</v>
      </c>
      <c r="N150" t="str">
        <f>"1329001933"</f>
        <v>1329001933</v>
      </c>
      <c r="O150">
        <v>4</v>
      </c>
      <c r="P150" s="2">
        <v>46212.441840277781</v>
      </c>
      <c r="Q150" s="2">
        <v>46212.571909722225</v>
      </c>
      <c r="R150" s="2">
        <v>46212.441840277781</v>
      </c>
      <c r="S150">
        <v>0</v>
      </c>
      <c r="T150" t="s">
        <v>67</v>
      </c>
      <c r="U150" t="s">
        <v>67</v>
      </c>
      <c r="W150" t="str">
        <f>"400441"</f>
        <v>400441</v>
      </c>
      <c r="X150" t="s">
        <v>41</v>
      </c>
      <c r="AD150" s="2">
        <v>46212.571909722225</v>
      </c>
    </row>
    <row r="151" spans="1:30" x14ac:dyDescent="0.35">
      <c r="A151" t="s">
        <v>30</v>
      </c>
      <c r="B151" t="s">
        <v>31</v>
      </c>
      <c r="C151" t="s">
        <v>345</v>
      </c>
      <c r="D151" t="s">
        <v>33</v>
      </c>
      <c r="E151" t="str">
        <f>"400904"</f>
        <v>400904</v>
      </c>
      <c r="F151" t="s">
        <v>167</v>
      </c>
      <c r="G151">
        <v>4</v>
      </c>
      <c r="H151">
        <v>0</v>
      </c>
      <c r="I151" t="s">
        <v>346</v>
      </c>
      <c r="J151" t="str">
        <f>"400004559"</f>
        <v>400004559</v>
      </c>
      <c r="K151" s="1">
        <v>48020</v>
      </c>
      <c r="M151" s="1">
        <v>46195</v>
      </c>
      <c r="N151" t="str">
        <f>"1329001932"</f>
        <v>1329001932</v>
      </c>
      <c r="O151">
        <v>4</v>
      </c>
      <c r="P151" s="2">
        <v>46212.461597222224</v>
      </c>
      <c r="Q151" s="2">
        <v>46212.571921296294</v>
      </c>
      <c r="R151" s="2">
        <v>46212.461597222224</v>
      </c>
      <c r="S151">
        <v>0</v>
      </c>
      <c r="T151" t="s">
        <v>192</v>
      </c>
      <c r="U151" t="s">
        <v>192</v>
      </c>
      <c r="W151" t="str">
        <f>"400904"</f>
        <v>400904</v>
      </c>
      <c r="X151" t="s">
        <v>41</v>
      </c>
      <c r="AD151" s="2">
        <v>46212.571921296294</v>
      </c>
    </row>
    <row r="152" spans="1:30" x14ac:dyDescent="0.35">
      <c r="A152" t="s">
        <v>30</v>
      </c>
      <c r="B152" t="s">
        <v>31</v>
      </c>
      <c r="C152" t="s">
        <v>347</v>
      </c>
      <c r="D152" t="s">
        <v>33</v>
      </c>
      <c r="E152" t="str">
        <f t="shared" ref="E152:E161" si="22">"400441"</f>
        <v>400441</v>
      </c>
      <c r="F152" t="s">
        <v>65</v>
      </c>
      <c r="G152">
        <v>4</v>
      </c>
      <c r="H152">
        <v>0</v>
      </c>
      <c r="I152" t="s">
        <v>348</v>
      </c>
      <c r="J152" t="str">
        <f>"153000412"</f>
        <v>153000412</v>
      </c>
      <c r="K152" s="1">
        <v>48022</v>
      </c>
      <c r="M152" s="1">
        <v>46197</v>
      </c>
      <c r="N152" t="str">
        <f t="shared" ref="N152:N161" si="23">"1329001933"</f>
        <v>1329001933</v>
      </c>
      <c r="O152">
        <v>4</v>
      </c>
      <c r="P152" s="2">
        <v>46212.442256944443</v>
      </c>
      <c r="Q152" s="2">
        <v>46212.57304398148</v>
      </c>
      <c r="R152" s="2">
        <v>46212.442256944443</v>
      </c>
      <c r="S152">
        <v>0</v>
      </c>
      <c r="T152" t="s">
        <v>67</v>
      </c>
      <c r="U152" t="s">
        <v>67</v>
      </c>
      <c r="W152" t="str">
        <f t="shared" ref="W152:W161" si="24">"400441"</f>
        <v>400441</v>
      </c>
      <c r="X152" t="s">
        <v>41</v>
      </c>
      <c r="AD152" s="2">
        <v>46212.57304398148</v>
      </c>
    </row>
    <row r="153" spans="1:30" x14ac:dyDescent="0.35">
      <c r="A153" t="s">
        <v>30</v>
      </c>
      <c r="B153" t="s">
        <v>31</v>
      </c>
      <c r="C153" t="s">
        <v>349</v>
      </c>
      <c r="D153" t="s">
        <v>33</v>
      </c>
      <c r="E153" t="str">
        <f t="shared" si="22"/>
        <v>400441</v>
      </c>
      <c r="F153" t="s">
        <v>65</v>
      </c>
      <c r="G153">
        <v>4</v>
      </c>
      <c r="H153">
        <v>0</v>
      </c>
      <c r="I153" t="s">
        <v>350</v>
      </c>
      <c r="J153" t="str">
        <f>"153000412"</f>
        <v>153000412</v>
      </c>
      <c r="K153" s="1">
        <v>48022</v>
      </c>
      <c r="M153" s="1">
        <v>46197</v>
      </c>
      <c r="N153" t="str">
        <f t="shared" si="23"/>
        <v>1329001933</v>
      </c>
      <c r="O153">
        <v>4</v>
      </c>
      <c r="P153" s="2">
        <v>46212.447060185186</v>
      </c>
      <c r="Q153" s="2">
        <v>46212.573298611111</v>
      </c>
      <c r="R153" s="2">
        <v>46212.447060185186</v>
      </c>
      <c r="S153">
        <v>0</v>
      </c>
      <c r="T153" t="s">
        <v>67</v>
      </c>
      <c r="U153" t="s">
        <v>67</v>
      </c>
      <c r="W153" t="str">
        <f t="shared" si="24"/>
        <v>400441</v>
      </c>
      <c r="X153" t="s">
        <v>41</v>
      </c>
      <c r="AD153" s="2">
        <v>46212.573298611111</v>
      </c>
    </row>
    <row r="154" spans="1:30" x14ac:dyDescent="0.35">
      <c r="A154" t="s">
        <v>30</v>
      </c>
      <c r="B154" t="s">
        <v>31</v>
      </c>
      <c r="C154" t="s">
        <v>351</v>
      </c>
      <c r="D154" t="s">
        <v>33</v>
      </c>
      <c r="E154" t="str">
        <f t="shared" si="22"/>
        <v>400441</v>
      </c>
      <c r="F154" t="s">
        <v>65</v>
      </c>
      <c r="G154">
        <v>4</v>
      </c>
      <c r="H154">
        <v>0</v>
      </c>
      <c r="I154" t="s">
        <v>352</v>
      </c>
      <c r="J154" t="str">
        <f>"153000412"</f>
        <v>153000412</v>
      </c>
      <c r="K154" s="1">
        <v>48022</v>
      </c>
      <c r="M154" s="1">
        <v>46197</v>
      </c>
      <c r="N154" t="str">
        <f t="shared" si="23"/>
        <v>1329001933</v>
      </c>
      <c r="O154">
        <v>4</v>
      </c>
      <c r="P154" s="2">
        <v>46212.442604166667</v>
      </c>
      <c r="Q154" s="2">
        <v>46212.57439814815</v>
      </c>
      <c r="R154" s="2">
        <v>46212.442604166667</v>
      </c>
      <c r="S154">
        <v>0</v>
      </c>
      <c r="T154" t="s">
        <v>67</v>
      </c>
      <c r="U154" t="s">
        <v>67</v>
      </c>
      <c r="W154" t="str">
        <f t="shared" si="24"/>
        <v>400441</v>
      </c>
      <c r="X154" t="s">
        <v>41</v>
      </c>
      <c r="AD154" s="2">
        <v>46212.57439814815</v>
      </c>
    </row>
    <row r="155" spans="1:30" x14ac:dyDescent="0.35">
      <c r="A155" t="s">
        <v>30</v>
      </c>
      <c r="B155" t="s">
        <v>31</v>
      </c>
      <c r="C155" t="s">
        <v>353</v>
      </c>
      <c r="D155" t="s">
        <v>33</v>
      </c>
      <c r="E155" t="str">
        <f t="shared" si="22"/>
        <v>400441</v>
      </c>
      <c r="F155" t="s">
        <v>65</v>
      </c>
      <c r="G155">
        <v>4</v>
      </c>
      <c r="H155">
        <v>0</v>
      </c>
      <c r="I155" t="s">
        <v>354</v>
      </c>
      <c r="J155" t="str">
        <f>"153000412"</f>
        <v>153000412</v>
      </c>
      <c r="K155" s="1">
        <v>48022</v>
      </c>
      <c r="M155" s="1">
        <v>46197</v>
      </c>
      <c r="N155" t="str">
        <f t="shared" si="23"/>
        <v>1329001933</v>
      </c>
      <c r="O155">
        <v>4</v>
      </c>
      <c r="P155" s="2">
        <v>46212.444849537038</v>
      </c>
      <c r="Q155" s="2">
        <v>46212.57472222222</v>
      </c>
      <c r="R155" s="2">
        <v>46212.444849537038</v>
      </c>
      <c r="S155">
        <v>0</v>
      </c>
      <c r="T155" t="s">
        <v>67</v>
      </c>
      <c r="U155" t="s">
        <v>67</v>
      </c>
      <c r="W155" t="str">
        <f t="shared" si="24"/>
        <v>400441</v>
      </c>
      <c r="X155" t="s">
        <v>41</v>
      </c>
      <c r="AD155" s="2">
        <v>46212.57472222222</v>
      </c>
    </row>
    <row r="156" spans="1:30" x14ac:dyDescent="0.35">
      <c r="A156" t="s">
        <v>30</v>
      </c>
      <c r="B156" t="s">
        <v>31</v>
      </c>
      <c r="C156" t="s">
        <v>355</v>
      </c>
      <c r="D156" t="s">
        <v>33</v>
      </c>
      <c r="E156" t="str">
        <f t="shared" si="22"/>
        <v>400441</v>
      </c>
      <c r="F156" t="s">
        <v>65</v>
      </c>
      <c r="G156">
        <v>4</v>
      </c>
      <c r="H156">
        <v>0</v>
      </c>
      <c r="I156" t="s">
        <v>356</v>
      </c>
      <c r="J156" t="str">
        <f>"153000412"</f>
        <v>153000412</v>
      </c>
      <c r="K156" s="1">
        <v>48022</v>
      </c>
      <c r="M156" s="1">
        <v>46197</v>
      </c>
      <c r="N156" t="str">
        <f t="shared" si="23"/>
        <v>1329001933</v>
      </c>
      <c r="O156">
        <v>4</v>
      </c>
      <c r="P156" s="2">
        <v>46212.442928240744</v>
      </c>
      <c r="Q156" s="2">
        <v>46212.575555555559</v>
      </c>
      <c r="R156" s="2">
        <v>46212.442928240744</v>
      </c>
      <c r="S156">
        <v>0</v>
      </c>
      <c r="T156" t="s">
        <v>67</v>
      </c>
      <c r="U156" t="s">
        <v>67</v>
      </c>
      <c r="W156" t="str">
        <f t="shared" si="24"/>
        <v>400441</v>
      </c>
      <c r="X156" t="s">
        <v>41</v>
      </c>
      <c r="AD156" s="2">
        <v>46212.575555555559</v>
      </c>
    </row>
    <row r="157" spans="1:30" x14ac:dyDescent="0.35">
      <c r="A157" t="s">
        <v>30</v>
      </c>
      <c r="B157" t="s">
        <v>31</v>
      </c>
      <c r="C157" t="s">
        <v>357</v>
      </c>
      <c r="D157" t="s">
        <v>33</v>
      </c>
      <c r="E157" t="str">
        <f t="shared" si="22"/>
        <v>400441</v>
      </c>
      <c r="F157" t="s">
        <v>65</v>
      </c>
      <c r="G157">
        <v>4</v>
      </c>
      <c r="H157">
        <v>0</v>
      </c>
      <c r="I157" t="s">
        <v>358</v>
      </c>
      <c r="J157" t="str">
        <f>"153000386"</f>
        <v>153000386</v>
      </c>
      <c r="K157" s="1">
        <v>48013</v>
      </c>
      <c r="M157" s="1">
        <v>46188</v>
      </c>
      <c r="N157" t="str">
        <f t="shared" si="23"/>
        <v>1329001933</v>
      </c>
      <c r="O157">
        <v>4</v>
      </c>
      <c r="P157" s="2">
        <v>46212.447326388887</v>
      </c>
      <c r="Q157" s="2">
        <v>46212.576192129629</v>
      </c>
      <c r="R157" s="2">
        <v>46212.447326388887</v>
      </c>
      <c r="S157">
        <v>0</v>
      </c>
      <c r="T157" t="s">
        <v>67</v>
      </c>
      <c r="U157" t="s">
        <v>67</v>
      </c>
      <c r="W157" t="str">
        <f t="shared" si="24"/>
        <v>400441</v>
      </c>
      <c r="X157" t="s">
        <v>41</v>
      </c>
      <c r="AD157" s="2">
        <v>46212.576192129629</v>
      </c>
    </row>
    <row r="158" spans="1:30" x14ac:dyDescent="0.35">
      <c r="A158" t="s">
        <v>30</v>
      </c>
      <c r="B158" t="s">
        <v>31</v>
      </c>
      <c r="C158" t="s">
        <v>359</v>
      </c>
      <c r="D158" t="s">
        <v>33</v>
      </c>
      <c r="E158" t="str">
        <f t="shared" si="22"/>
        <v>400441</v>
      </c>
      <c r="F158" t="s">
        <v>65</v>
      </c>
      <c r="G158">
        <v>4</v>
      </c>
      <c r="H158">
        <v>0</v>
      </c>
      <c r="I158" t="s">
        <v>360</v>
      </c>
      <c r="J158" t="str">
        <f>"153000412"</f>
        <v>153000412</v>
      </c>
      <c r="K158" s="1">
        <v>48022</v>
      </c>
      <c r="M158" s="1">
        <v>46197</v>
      </c>
      <c r="N158" t="str">
        <f t="shared" si="23"/>
        <v>1329001933</v>
      </c>
      <c r="O158">
        <v>4</v>
      </c>
      <c r="P158" s="2">
        <v>46212.445185185185</v>
      </c>
      <c r="Q158" s="2">
        <v>46212.576608796298</v>
      </c>
      <c r="R158" s="2">
        <v>46212.445185185185</v>
      </c>
      <c r="S158">
        <v>0</v>
      </c>
      <c r="T158" t="s">
        <v>67</v>
      </c>
      <c r="U158" t="s">
        <v>67</v>
      </c>
      <c r="W158" t="str">
        <f t="shared" si="24"/>
        <v>400441</v>
      </c>
      <c r="X158" t="s">
        <v>41</v>
      </c>
      <c r="AD158" s="2">
        <v>46212.576608796298</v>
      </c>
    </row>
    <row r="159" spans="1:30" x14ac:dyDescent="0.35">
      <c r="A159" t="s">
        <v>30</v>
      </c>
      <c r="B159" t="s">
        <v>31</v>
      </c>
      <c r="C159" t="s">
        <v>361</v>
      </c>
      <c r="D159" t="s">
        <v>33</v>
      </c>
      <c r="E159" t="str">
        <f t="shared" si="22"/>
        <v>400441</v>
      </c>
      <c r="F159" t="s">
        <v>65</v>
      </c>
      <c r="G159">
        <v>4</v>
      </c>
      <c r="H159">
        <v>0</v>
      </c>
      <c r="I159" t="s">
        <v>362</v>
      </c>
      <c r="J159" t="str">
        <f>"153000412"</f>
        <v>153000412</v>
      </c>
      <c r="K159" s="1">
        <v>48022</v>
      </c>
      <c r="M159" s="1">
        <v>46197</v>
      </c>
      <c r="N159" t="str">
        <f t="shared" si="23"/>
        <v>1329001933</v>
      </c>
      <c r="O159">
        <v>4</v>
      </c>
      <c r="P159" s="2">
        <v>46212.445497685185</v>
      </c>
      <c r="Q159" s="2">
        <v>46212.577766203707</v>
      </c>
      <c r="R159" s="2">
        <v>46212.445497685185</v>
      </c>
      <c r="S159">
        <v>0</v>
      </c>
      <c r="T159" t="s">
        <v>67</v>
      </c>
      <c r="U159" t="s">
        <v>67</v>
      </c>
      <c r="W159" t="str">
        <f t="shared" si="24"/>
        <v>400441</v>
      </c>
      <c r="X159" t="s">
        <v>41</v>
      </c>
      <c r="AD159" s="2">
        <v>46212.577766203707</v>
      </c>
    </row>
    <row r="160" spans="1:30" x14ac:dyDescent="0.35">
      <c r="A160" t="s">
        <v>30</v>
      </c>
      <c r="B160" t="s">
        <v>31</v>
      </c>
      <c r="C160" t="s">
        <v>363</v>
      </c>
      <c r="D160" t="s">
        <v>33</v>
      </c>
      <c r="E160" t="str">
        <f t="shared" si="22"/>
        <v>400441</v>
      </c>
      <c r="F160" t="s">
        <v>65</v>
      </c>
      <c r="G160">
        <v>4</v>
      </c>
      <c r="H160">
        <v>0</v>
      </c>
      <c r="I160" t="s">
        <v>364</v>
      </c>
      <c r="J160" t="str">
        <f>"153000412"</f>
        <v>153000412</v>
      </c>
      <c r="K160" s="1">
        <v>48022</v>
      </c>
      <c r="M160" s="1">
        <v>46197</v>
      </c>
      <c r="N160" t="str">
        <f t="shared" si="23"/>
        <v>1329001933</v>
      </c>
      <c r="O160">
        <v>4</v>
      </c>
      <c r="P160" s="2">
        <v>46212.447592592594</v>
      </c>
      <c r="Q160" s="2">
        <v>46212.577974537038</v>
      </c>
      <c r="R160" s="2">
        <v>46212.447592592594</v>
      </c>
      <c r="S160">
        <v>0</v>
      </c>
      <c r="T160" t="s">
        <v>67</v>
      </c>
      <c r="U160" t="s">
        <v>67</v>
      </c>
      <c r="W160" t="str">
        <f t="shared" si="24"/>
        <v>400441</v>
      </c>
      <c r="X160" t="s">
        <v>41</v>
      </c>
      <c r="AD160" s="2">
        <v>46212.577974537038</v>
      </c>
    </row>
    <row r="161" spans="1:30" x14ac:dyDescent="0.35">
      <c r="A161" t="s">
        <v>30</v>
      </c>
      <c r="B161" t="s">
        <v>31</v>
      </c>
      <c r="C161" t="s">
        <v>365</v>
      </c>
      <c r="D161" t="s">
        <v>33</v>
      </c>
      <c r="E161" t="str">
        <f t="shared" si="22"/>
        <v>400441</v>
      </c>
      <c r="F161" t="s">
        <v>65</v>
      </c>
      <c r="G161">
        <v>4</v>
      </c>
      <c r="H161">
        <v>0</v>
      </c>
      <c r="I161" t="s">
        <v>366</v>
      </c>
      <c r="J161" t="str">
        <f>"153000412"</f>
        <v>153000412</v>
      </c>
      <c r="K161" s="1">
        <v>48022</v>
      </c>
      <c r="M161" s="1">
        <v>46197</v>
      </c>
      <c r="N161" t="str">
        <f t="shared" si="23"/>
        <v>1329001933</v>
      </c>
      <c r="O161">
        <v>4</v>
      </c>
      <c r="P161" s="2">
        <v>46212.447893518518</v>
      </c>
      <c r="Q161" s="2">
        <v>46212.579571759263</v>
      </c>
      <c r="R161" s="2">
        <v>46212.447893518518</v>
      </c>
      <c r="S161">
        <v>0</v>
      </c>
      <c r="T161" t="s">
        <v>67</v>
      </c>
      <c r="U161" t="s">
        <v>67</v>
      </c>
      <c r="W161" t="str">
        <f t="shared" si="24"/>
        <v>400441</v>
      </c>
      <c r="X161" t="s">
        <v>41</v>
      </c>
      <c r="AD161" s="2">
        <v>46212.579571759263</v>
      </c>
    </row>
    <row r="162" spans="1:30" x14ac:dyDescent="0.35">
      <c r="A162" t="s">
        <v>30</v>
      </c>
      <c r="B162" t="s">
        <v>31</v>
      </c>
      <c r="C162" t="s">
        <v>367</v>
      </c>
      <c r="D162" t="s">
        <v>33</v>
      </c>
      <c r="E162" t="str">
        <f>"400912"</f>
        <v>400912</v>
      </c>
      <c r="F162" t="s">
        <v>174</v>
      </c>
      <c r="G162">
        <v>3</v>
      </c>
      <c r="H162">
        <v>0</v>
      </c>
      <c r="I162" t="s">
        <v>368</v>
      </c>
      <c r="J162" t="str">
        <f>"400004565"</f>
        <v>400004565</v>
      </c>
      <c r="K162" s="1">
        <v>48021</v>
      </c>
      <c r="M162" s="1">
        <v>46196</v>
      </c>
      <c r="N162" t="str">
        <f>"1329001932"</f>
        <v>1329001932</v>
      </c>
      <c r="O162">
        <v>3</v>
      </c>
      <c r="P162" s="2">
        <v>46212.463067129633</v>
      </c>
      <c r="Q162" s="2">
        <v>46212.590729166666</v>
      </c>
      <c r="R162" s="2">
        <v>46212.463067129633</v>
      </c>
      <c r="S162">
        <v>0</v>
      </c>
      <c r="T162" t="s">
        <v>192</v>
      </c>
      <c r="U162" t="s">
        <v>192</v>
      </c>
      <c r="W162" t="str">
        <f>"400912"</f>
        <v>400912</v>
      </c>
      <c r="X162" t="s">
        <v>41</v>
      </c>
      <c r="AD162" s="2">
        <v>46212.590729166666</v>
      </c>
    </row>
    <row r="163" spans="1:30" x14ac:dyDescent="0.35">
      <c r="A163" t="s">
        <v>30</v>
      </c>
      <c r="B163" t="s">
        <v>31</v>
      </c>
      <c r="C163" t="s">
        <v>369</v>
      </c>
      <c r="D163" t="s">
        <v>33</v>
      </c>
      <c r="E163" t="str">
        <f>"400912"</f>
        <v>400912</v>
      </c>
      <c r="F163" t="s">
        <v>174</v>
      </c>
      <c r="G163">
        <v>2</v>
      </c>
      <c r="H163">
        <v>0</v>
      </c>
      <c r="I163" t="s">
        <v>370</v>
      </c>
      <c r="J163" t="str">
        <f>"400004569"</f>
        <v>400004569</v>
      </c>
      <c r="K163" s="1">
        <v>48022</v>
      </c>
      <c r="M163" s="1">
        <v>46197</v>
      </c>
      <c r="N163" t="str">
        <f>"1329001932"</f>
        <v>1329001932</v>
      </c>
      <c r="O163">
        <v>2</v>
      </c>
      <c r="P163" s="2">
        <v>46212.474872685183</v>
      </c>
      <c r="Q163" s="2">
        <v>46212.592407407406</v>
      </c>
      <c r="R163" s="2">
        <v>46212.474872685183</v>
      </c>
      <c r="S163">
        <v>0</v>
      </c>
      <c r="T163" t="s">
        <v>192</v>
      </c>
      <c r="U163" t="s">
        <v>192</v>
      </c>
      <c r="W163" t="str">
        <f>"400912"</f>
        <v>400912</v>
      </c>
      <c r="X163" t="s">
        <v>41</v>
      </c>
      <c r="AD163" s="2">
        <v>46212.592407407406</v>
      </c>
    </row>
    <row r="164" spans="1:30" x14ac:dyDescent="0.35">
      <c r="A164" t="s">
        <v>30</v>
      </c>
      <c r="B164" t="s">
        <v>31</v>
      </c>
      <c r="C164" t="s">
        <v>371</v>
      </c>
      <c r="D164" t="s">
        <v>33</v>
      </c>
      <c r="E164" t="str">
        <f>"400912"</f>
        <v>400912</v>
      </c>
      <c r="F164" t="s">
        <v>174</v>
      </c>
      <c r="G164">
        <v>1</v>
      </c>
      <c r="H164">
        <v>0</v>
      </c>
      <c r="I164" t="s">
        <v>372</v>
      </c>
      <c r="J164" t="str">
        <f>"400004557"</f>
        <v>400004557</v>
      </c>
      <c r="K164" s="1">
        <v>48020</v>
      </c>
      <c r="M164" s="1">
        <v>46195</v>
      </c>
      <c r="N164" t="str">
        <f>"1329001932"</f>
        <v>1329001932</v>
      </c>
      <c r="O164">
        <v>1</v>
      </c>
      <c r="P164" s="2">
        <v>46212.463460648149</v>
      </c>
      <c r="Q164" s="2">
        <v>46212.593807870369</v>
      </c>
      <c r="R164" s="2">
        <v>46212.463460648149</v>
      </c>
      <c r="S164">
        <v>0</v>
      </c>
      <c r="T164" t="s">
        <v>192</v>
      </c>
      <c r="U164" t="s">
        <v>192</v>
      </c>
      <c r="W164" t="str">
        <f>"400912"</f>
        <v>400912</v>
      </c>
      <c r="X164" t="s">
        <v>41</v>
      </c>
      <c r="AD164" s="2">
        <v>46212.593807870369</v>
      </c>
    </row>
    <row r="165" spans="1:30" x14ac:dyDescent="0.35">
      <c r="A165" t="s">
        <v>30</v>
      </c>
      <c r="B165" t="s">
        <v>31</v>
      </c>
      <c r="C165" t="s">
        <v>373</v>
      </c>
      <c r="D165" t="s">
        <v>33</v>
      </c>
      <c r="E165" t="str">
        <f>"400912"</f>
        <v>400912</v>
      </c>
      <c r="F165" t="s">
        <v>174</v>
      </c>
      <c r="G165">
        <v>2</v>
      </c>
      <c r="H165">
        <v>0</v>
      </c>
      <c r="I165" t="s">
        <v>374</v>
      </c>
      <c r="J165" t="str">
        <f>"400004566"</f>
        <v>400004566</v>
      </c>
      <c r="K165" s="1">
        <v>48022</v>
      </c>
      <c r="M165" s="1">
        <v>46197</v>
      </c>
      <c r="N165" t="str">
        <f>"1329001932"</f>
        <v>1329001932</v>
      </c>
      <c r="O165">
        <v>2</v>
      </c>
      <c r="P165" s="2">
        <v>46212.47446759259</v>
      </c>
      <c r="Q165" s="2">
        <v>46212.595497685186</v>
      </c>
      <c r="R165" s="2">
        <v>46212.47446759259</v>
      </c>
      <c r="S165">
        <v>0</v>
      </c>
      <c r="T165" t="s">
        <v>192</v>
      </c>
      <c r="U165" t="s">
        <v>192</v>
      </c>
      <c r="W165" t="str">
        <f>"400912"</f>
        <v>400912</v>
      </c>
      <c r="X165" t="s">
        <v>41</v>
      </c>
      <c r="AD165" s="2">
        <v>46212.595497685186</v>
      </c>
    </row>
    <row r="166" spans="1:30" x14ac:dyDescent="0.35">
      <c r="A166" t="s">
        <v>30</v>
      </c>
      <c r="B166" t="s">
        <v>31</v>
      </c>
      <c r="C166" t="s">
        <v>375</v>
      </c>
      <c r="D166" t="s">
        <v>33</v>
      </c>
      <c r="E166" t="str">
        <f t="shared" ref="E166:E187" si="25">"400417"</f>
        <v>400417</v>
      </c>
      <c r="F166" t="s">
        <v>376</v>
      </c>
      <c r="G166">
        <v>24</v>
      </c>
      <c r="H166">
        <v>0</v>
      </c>
      <c r="I166" t="s">
        <v>377</v>
      </c>
      <c r="J166" t="str">
        <f t="shared" ref="J166:J187" si="26">"153000398"</f>
        <v>153000398</v>
      </c>
      <c r="K166" s="1">
        <v>48011</v>
      </c>
      <c r="M166" s="1">
        <v>46186</v>
      </c>
      <c r="N166" t="str">
        <f t="shared" ref="N166:N187" si="27">"1329001931"</f>
        <v>1329001931</v>
      </c>
      <c r="O166">
        <v>24</v>
      </c>
      <c r="P166" s="2">
        <v>46212.622673611113</v>
      </c>
      <c r="Q166" s="2">
        <v>46212.623564814814</v>
      </c>
      <c r="R166" s="2">
        <v>46212.622673611113</v>
      </c>
      <c r="S166">
        <v>0</v>
      </c>
      <c r="T166" t="s">
        <v>192</v>
      </c>
      <c r="U166" t="s">
        <v>192</v>
      </c>
      <c r="W166" t="str">
        <f t="shared" ref="W166:W187" si="28">"400417"</f>
        <v>400417</v>
      </c>
      <c r="X166" t="s">
        <v>378</v>
      </c>
      <c r="AD166" s="2">
        <v>46212.623564814814</v>
      </c>
    </row>
    <row r="167" spans="1:30" x14ac:dyDescent="0.35">
      <c r="A167" t="s">
        <v>30</v>
      </c>
      <c r="B167" t="s">
        <v>31</v>
      </c>
      <c r="C167" t="s">
        <v>379</v>
      </c>
      <c r="D167" t="s">
        <v>33</v>
      </c>
      <c r="E167" t="str">
        <f t="shared" si="25"/>
        <v>400417</v>
      </c>
      <c r="F167" t="s">
        <v>376</v>
      </c>
      <c r="G167">
        <v>24</v>
      </c>
      <c r="H167">
        <v>0</v>
      </c>
      <c r="I167" t="s">
        <v>380</v>
      </c>
      <c r="J167" t="str">
        <f t="shared" si="26"/>
        <v>153000398</v>
      </c>
      <c r="K167" s="1">
        <v>48011</v>
      </c>
      <c r="M167" s="1">
        <v>46186</v>
      </c>
      <c r="N167" t="str">
        <f t="shared" si="27"/>
        <v>1329001931</v>
      </c>
      <c r="O167">
        <v>24</v>
      </c>
      <c r="P167" s="2">
        <v>46212.623472222222</v>
      </c>
      <c r="Q167" s="2">
        <v>46212.624212962961</v>
      </c>
      <c r="R167" s="2">
        <v>46212.623472222222</v>
      </c>
      <c r="S167">
        <v>0</v>
      </c>
      <c r="T167" t="s">
        <v>192</v>
      </c>
      <c r="U167" t="s">
        <v>192</v>
      </c>
      <c r="W167" t="str">
        <f t="shared" si="28"/>
        <v>400417</v>
      </c>
      <c r="X167" t="s">
        <v>378</v>
      </c>
      <c r="AD167" s="2">
        <v>46212.624212962961</v>
      </c>
    </row>
    <row r="168" spans="1:30" x14ac:dyDescent="0.35">
      <c r="A168" t="s">
        <v>30</v>
      </c>
      <c r="B168" t="s">
        <v>31</v>
      </c>
      <c r="C168" t="s">
        <v>381</v>
      </c>
      <c r="D168" t="s">
        <v>33</v>
      </c>
      <c r="E168" t="str">
        <f t="shared" si="25"/>
        <v>400417</v>
      </c>
      <c r="F168" t="s">
        <v>376</v>
      </c>
      <c r="G168">
        <v>24</v>
      </c>
      <c r="H168">
        <v>0</v>
      </c>
      <c r="I168" t="s">
        <v>382</v>
      </c>
      <c r="J168" t="str">
        <f t="shared" si="26"/>
        <v>153000398</v>
      </c>
      <c r="K168" s="1">
        <v>48011</v>
      </c>
      <c r="M168" s="1">
        <v>46186</v>
      </c>
      <c r="N168" t="str">
        <f t="shared" si="27"/>
        <v>1329001931</v>
      </c>
      <c r="O168">
        <v>24</v>
      </c>
      <c r="P168" s="2">
        <v>46212.623796296299</v>
      </c>
      <c r="Q168" s="2">
        <v>46212.6249537037</v>
      </c>
      <c r="R168" s="2">
        <v>46212.623796296299</v>
      </c>
      <c r="S168">
        <v>0</v>
      </c>
      <c r="T168" t="s">
        <v>192</v>
      </c>
      <c r="U168" t="s">
        <v>192</v>
      </c>
      <c r="W168" t="str">
        <f t="shared" si="28"/>
        <v>400417</v>
      </c>
      <c r="X168" t="s">
        <v>378</v>
      </c>
      <c r="AD168" s="2">
        <v>46212.6249537037</v>
      </c>
    </row>
    <row r="169" spans="1:30" x14ac:dyDescent="0.35">
      <c r="A169" t="s">
        <v>30</v>
      </c>
      <c r="B169" t="s">
        <v>31</v>
      </c>
      <c r="C169" t="s">
        <v>383</v>
      </c>
      <c r="D169" t="s">
        <v>33</v>
      </c>
      <c r="E169" t="str">
        <f t="shared" si="25"/>
        <v>400417</v>
      </c>
      <c r="F169" t="s">
        <v>376</v>
      </c>
      <c r="G169">
        <v>24</v>
      </c>
      <c r="H169">
        <v>0</v>
      </c>
      <c r="I169" t="s">
        <v>384</v>
      </c>
      <c r="J169" t="str">
        <f t="shared" si="26"/>
        <v>153000398</v>
      </c>
      <c r="K169" s="1">
        <v>48011</v>
      </c>
      <c r="M169" s="1">
        <v>46186</v>
      </c>
      <c r="N169" t="str">
        <f t="shared" si="27"/>
        <v>1329001931</v>
      </c>
      <c r="O169">
        <v>24</v>
      </c>
      <c r="P169" s="2">
        <v>46212.624155092592</v>
      </c>
      <c r="Q169" s="2">
        <v>46212.625636574077</v>
      </c>
      <c r="R169" s="2">
        <v>46212.624155092592</v>
      </c>
      <c r="S169">
        <v>0</v>
      </c>
      <c r="T169" t="s">
        <v>192</v>
      </c>
      <c r="U169" t="s">
        <v>192</v>
      </c>
      <c r="W169" t="str">
        <f t="shared" si="28"/>
        <v>400417</v>
      </c>
      <c r="X169" t="s">
        <v>378</v>
      </c>
      <c r="AD169" s="2">
        <v>46212.625636574077</v>
      </c>
    </row>
    <row r="170" spans="1:30" x14ac:dyDescent="0.35">
      <c r="A170" t="s">
        <v>30</v>
      </c>
      <c r="B170" t="s">
        <v>31</v>
      </c>
      <c r="C170" t="s">
        <v>385</v>
      </c>
      <c r="D170" t="s">
        <v>33</v>
      </c>
      <c r="E170" t="str">
        <f t="shared" si="25"/>
        <v>400417</v>
      </c>
      <c r="F170" t="s">
        <v>376</v>
      </c>
      <c r="G170">
        <v>24</v>
      </c>
      <c r="H170">
        <v>0</v>
      </c>
      <c r="I170" t="s">
        <v>386</v>
      </c>
      <c r="J170" t="str">
        <f t="shared" si="26"/>
        <v>153000398</v>
      </c>
      <c r="K170" s="1">
        <v>48011</v>
      </c>
      <c r="M170" s="1">
        <v>46186</v>
      </c>
      <c r="N170" t="str">
        <f t="shared" si="27"/>
        <v>1329001931</v>
      </c>
      <c r="O170">
        <v>24</v>
      </c>
      <c r="P170" s="2">
        <v>46212.624467592592</v>
      </c>
      <c r="Q170" s="2">
        <v>46212.626342592594</v>
      </c>
      <c r="R170" s="2">
        <v>46212.624467592592</v>
      </c>
      <c r="S170">
        <v>0</v>
      </c>
      <c r="T170" t="s">
        <v>192</v>
      </c>
      <c r="U170" t="s">
        <v>192</v>
      </c>
      <c r="W170" t="str">
        <f t="shared" si="28"/>
        <v>400417</v>
      </c>
      <c r="X170" t="s">
        <v>378</v>
      </c>
      <c r="AD170" s="2">
        <v>46212.626342592594</v>
      </c>
    </row>
    <row r="171" spans="1:30" x14ac:dyDescent="0.35">
      <c r="A171" t="s">
        <v>30</v>
      </c>
      <c r="B171" t="s">
        <v>31</v>
      </c>
      <c r="C171" t="s">
        <v>387</v>
      </c>
      <c r="D171" t="s">
        <v>33</v>
      </c>
      <c r="E171" t="str">
        <f t="shared" si="25"/>
        <v>400417</v>
      </c>
      <c r="F171" t="s">
        <v>376</v>
      </c>
      <c r="G171">
        <v>24</v>
      </c>
      <c r="H171">
        <v>0</v>
      </c>
      <c r="I171" t="s">
        <v>388</v>
      </c>
      <c r="J171" t="str">
        <f t="shared" si="26"/>
        <v>153000398</v>
      </c>
      <c r="K171" s="1">
        <v>48011</v>
      </c>
      <c r="M171" s="1">
        <v>46186</v>
      </c>
      <c r="N171" t="str">
        <f t="shared" si="27"/>
        <v>1329001931</v>
      </c>
      <c r="O171">
        <v>24</v>
      </c>
      <c r="P171" s="2">
        <v>46212.624756944446</v>
      </c>
      <c r="Q171" s="2">
        <v>46212.62709490741</v>
      </c>
      <c r="R171" s="2">
        <v>46212.624756944446</v>
      </c>
      <c r="S171">
        <v>0</v>
      </c>
      <c r="T171" t="s">
        <v>192</v>
      </c>
      <c r="U171" t="s">
        <v>192</v>
      </c>
      <c r="W171" t="str">
        <f t="shared" si="28"/>
        <v>400417</v>
      </c>
      <c r="X171" t="s">
        <v>378</v>
      </c>
      <c r="AD171" s="2">
        <v>46212.62709490741</v>
      </c>
    </row>
    <row r="172" spans="1:30" x14ac:dyDescent="0.35">
      <c r="A172" t="s">
        <v>30</v>
      </c>
      <c r="B172" t="s">
        <v>31</v>
      </c>
      <c r="C172" t="s">
        <v>389</v>
      </c>
      <c r="D172" t="s">
        <v>33</v>
      </c>
      <c r="E172" t="str">
        <f t="shared" si="25"/>
        <v>400417</v>
      </c>
      <c r="F172" t="s">
        <v>376</v>
      </c>
      <c r="G172">
        <v>24</v>
      </c>
      <c r="H172">
        <v>0</v>
      </c>
      <c r="I172" t="s">
        <v>390</v>
      </c>
      <c r="J172" t="str">
        <f t="shared" si="26"/>
        <v>153000398</v>
      </c>
      <c r="K172" s="1">
        <v>48011</v>
      </c>
      <c r="M172" s="1">
        <v>46186</v>
      </c>
      <c r="N172" t="str">
        <f t="shared" si="27"/>
        <v>1329001931</v>
      </c>
      <c r="O172">
        <v>24</v>
      </c>
      <c r="P172" s="2">
        <v>46212.6250462963</v>
      </c>
      <c r="Q172" s="2">
        <v>46212.628194444442</v>
      </c>
      <c r="R172" s="2">
        <v>46212.6250462963</v>
      </c>
      <c r="S172">
        <v>0</v>
      </c>
      <c r="T172" t="s">
        <v>192</v>
      </c>
      <c r="U172" t="s">
        <v>192</v>
      </c>
      <c r="W172" t="str">
        <f t="shared" si="28"/>
        <v>400417</v>
      </c>
      <c r="X172" t="s">
        <v>378</v>
      </c>
      <c r="AD172" s="2">
        <v>46212.628194444442</v>
      </c>
    </row>
    <row r="173" spans="1:30" x14ac:dyDescent="0.35">
      <c r="A173" t="s">
        <v>30</v>
      </c>
      <c r="B173" t="s">
        <v>31</v>
      </c>
      <c r="C173" t="s">
        <v>391</v>
      </c>
      <c r="D173" t="s">
        <v>33</v>
      </c>
      <c r="E173" t="str">
        <f t="shared" si="25"/>
        <v>400417</v>
      </c>
      <c r="F173" t="s">
        <v>376</v>
      </c>
      <c r="G173">
        <v>24</v>
      </c>
      <c r="H173">
        <v>0</v>
      </c>
      <c r="I173" t="s">
        <v>392</v>
      </c>
      <c r="J173" t="str">
        <f t="shared" si="26"/>
        <v>153000398</v>
      </c>
      <c r="K173" s="1">
        <v>48011</v>
      </c>
      <c r="M173" s="1">
        <v>46186</v>
      </c>
      <c r="N173" t="str">
        <f t="shared" si="27"/>
        <v>1329001931</v>
      </c>
      <c r="O173">
        <v>24</v>
      </c>
      <c r="P173" s="2">
        <v>46212.62537037037</v>
      </c>
      <c r="Q173" s="2">
        <v>46212.628946759258</v>
      </c>
      <c r="R173" s="2">
        <v>46212.62537037037</v>
      </c>
      <c r="S173">
        <v>0</v>
      </c>
      <c r="T173" t="s">
        <v>192</v>
      </c>
      <c r="U173" t="s">
        <v>192</v>
      </c>
      <c r="W173" t="str">
        <f t="shared" si="28"/>
        <v>400417</v>
      </c>
      <c r="X173" t="s">
        <v>378</v>
      </c>
      <c r="AD173" s="2">
        <v>46212.628946759258</v>
      </c>
    </row>
    <row r="174" spans="1:30" x14ac:dyDescent="0.35">
      <c r="A174" t="s">
        <v>30</v>
      </c>
      <c r="B174" t="s">
        <v>31</v>
      </c>
      <c r="C174" t="s">
        <v>393</v>
      </c>
      <c r="D174" t="s">
        <v>33</v>
      </c>
      <c r="E174" t="str">
        <f t="shared" si="25"/>
        <v>400417</v>
      </c>
      <c r="F174" t="s">
        <v>376</v>
      </c>
      <c r="G174">
        <v>24</v>
      </c>
      <c r="H174">
        <v>0</v>
      </c>
      <c r="I174" t="s">
        <v>394</v>
      </c>
      <c r="J174" t="str">
        <f t="shared" si="26"/>
        <v>153000398</v>
      </c>
      <c r="K174" s="1">
        <v>48011</v>
      </c>
      <c r="M174" s="1">
        <v>46186</v>
      </c>
      <c r="N174" t="str">
        <f t="shared" si="27"/>
        <v>1329001931</v>
      </c>
      <c r="O174">
        <v>24</v>
      </c>
      <c r="P174" s="2">
        <v>46212.625798611109</v>
      </c>
      <c r="Q174" s="2">
        <v>46212.629675925928</v>
      </c>
      <c r="R174" s="2">
        <v>46212.625798611109</v>
      </c>
      <c r="S174">
        <v>0</v>
      </c>
      <c r="T174" t="s">
        <v>192</v>
      </c>
      <c r="U174" t="s">
        <v>192</v>
      </c>
      <c r="W174" t="str">
        <f t="shared" si="28"/>
        <v>400417</v>
      </c>
      <c r="X174" t="s">
        <v>378</v>
      </c>
      <c r="AD174" s="2">
        <v>46212.629675925928</v>
      </c>
    </row>
    <row r="175" spans="1:30" x14ac:dyDescent="0.35">
      <c r="A175" t="s">
        <v>30</v>
      </c>
      <c r="B175" t="s">
        <v>31</v>
      </c>
      <c r="C175" t="s">
        <v>395</v>
      </c>
      <c r="D175" t="s">
        <v>33</v>
      </c>
      <c r="E175" t="str">
        <f t="shared" si="25"/>
        <v>400417</v>
      </c>
      <c r="F175" t="s">
        <v>376</v>
      </c>
      <c r="G175">
        <v>24</v>
      </c>
      <c r="H175">
        <v>0</v>
      </c>
      <c r="I175" t="s">
        <v>396</v>
      </c>
      <c r="J175" t="str">
        <f t="shared" si="26"/>
        <v>153000398</v>
      </c>
      <c r="K175" s="1">
        <v>48011</v>
      </c>
      <c r="M175" s="1">
        <v>46186</v>
      </c>
      <c r="N175" t="str">
        <f t="shared" si="27"/>
        <v>1329001931</v>
      </c>
      <c r="O175">
        <v>24</v>
      </c>
      <c r="P175" s="2">
        <v>46212.626099537039</v>
      </c>
      <c r="Q175" s="2">
        <v>46212.630347222221</v>
      </c>
      <c r="R175" s="2">
        <v>46212.626099537039</v>
      </c>
      <c r="S175">
        <v>0</v>
      </c>
      <c r="T175" t="s">
        <v>192</v>
      </c>
      <c r="U175" t="s">
        <v>192</v>
      </c>
      <c r="W175" t="str">
        <f t="shared" si="28"/>
        <v>400417</v>
      </c>
      <c r="X175" t="s">
        <v>378</v>
      </c>
      <c r="AD175" s="2">
        <v>46212.630347222221</v>
      </c>
    </row>
    <row r="176" spans="1:30" x14ac:dyDescent="0.35">
      <c r="A176" t="s">
        <v>30</v>
      </c>
      <c r="B176" t="s">
        <v>31</v>
      </c>
      <c r="C176" t="s">
        <v>397</v>
      </c>
      <c r="D176" t="s">
        <v>33</v>
      </c>
      <c r="E176" t="str">
        <f t="shared" si="25"/>
        <v>400417</v>
      </c>
      <c r="F176" t="s">
        <v>376</v>
      </c>
      <c r="G176">
        <v>24</v>
      </c>
      <c r="H176">
        <v>0</v>
      </c>
      <c r="I176" t="s">
        <v>398</v>
      </c>
      <c r="J176" t="str">
        <f t="shared" si="26"/>
        <v>153000398</v>
      </c>
      <c r="K176" s="1">
        <v>48011</v>
      </c>
      <c r="M176" s="1">
        <v>46186</v>
      </c>
      <c r="N176" t="str">
        <f t="shared" si="27"/>
        <v>1329001931</v>
      </c>
      <c r="O176">
        <v>24</v>
      </c>
      <c r="P176" s="2">
        <v>46212.626377314817</v>
      </c>
      <c r="Q176" s="2">
        <v>46212.631099537037</v>
      </c>
      <c r="R176" s="2">
        <v>46212.626377314817</v>
      </c>
      <c r="S176">
        <v>0</v>
      </c>
      <c r="T176" t="s">
        <v>192</v>
      </c>
      <c r="U176" t="s">
        <v>192</v>
      </c>
      <c r="W176" t="str">
        <f t="shared" si="28"/>
        <v>400417</v>
      </c>
      <c r="X176" t="s">
        <v>378</v>
      </c>
      <c r="AD176" s="2">
        <v>46212.631099537037</v>
      </c>
    </row>
    <row r="177" spans="1:30" x14ac:dyDescent="0.35">
      <c r="A177" t="s">
        <v>30</v>
      </c>
      <c r="B177" t="s">
        <v>31</v>
      </c>
      <c r="C177" t="s">
        <v>399</v>
      </c>
      <c r="D177" t="s">
        <v>33</v>
      </c>
      <c r="E177" t="str">
        <f t="shared" si="25"/>
        <v>400417</v>
      </c>
      <c r="F177" t="s">
        <v>376</v>
      </c>
      <c r="G177">
        <v>24</v>
      </c>
      <c r="H177">
        <v>0</v>
      </c>
      <c r="I177" t="s">
        <v>400</v>
      </c>
      <c r="J177" t="str">
        <f t="shared" si="26"/>
        <v>153000398</v>
      </c>
      <c r="K177" s="1">
        <v>48011</v>
      </c>
      <c r="M177" s="1">
        <v>46186</v>
      </c>
      <c r="N177" t="str">
        <f t="shared" si="27"/>
        <v>1329001931</v>
      </c>
      <c r="O177">
        <v>24</v>
      </c>
      <c r="P177" s="2">
        <v>46212.626655092594</v>
      </c>
      <c r="Q177" s="2">
        <v>46212.631909722222</v>
      </c>
      <c r="R177" s="2">
        <v>46212.626655092594</v>
      </c>
      <c r="S177">
        <v>0</v>
      </c>
      <c r="T177" t="s">
        <v>192</v>
      </c>
      <c r="U177" t="s">
        <v>192</v>
      </c>
      <c r="W177" t="str">
        <f t="shared" si="28"/>
        <v>400417</v>
      </c>
      <c r="X177" t="s">
        <v>378</v>
      </c>
      <c r="AD177" s="2">
        <v>46212.631909722222</v>
      </c>
    </row>
    <row r="178" spans="1:30" x14ac:dyDescent="0.35">
      <c r="A178" t="s">
        <v>30</v>
      </c>
      <c r="B178" t="s">
        <v>31</v>
      </c>
      <c r="C178" t="s">
        <v>401</v>
      </c>
      <c r="D178" t="s">
        <v>33</v>
      </c>
      <c r="E178" t="str">
        <f t="shared" si="25"/>
        <v>400417</v>
      </c>
      <c r="F178" t="s">
        <v>376</v>
      </c>
      <c r="G178">
        <v>24</v>
      </c>
      <c r="H178">
        <v>0</v>
      </c>
      <c r="I178" t="s">
        <v>402</v>
      </c>
      <c r="J178" t="str">
        <f t="shared" si="26"/>
        <v>153000398</v>
      </c>
      <c r="K178" s="1">
        <v>48011</v>
      </c>
      <c r="M178" s="1">
        <v>46186</v>
      </c>
      <c r="N178" t="str">
        <f t="shared" si="27"/>
        <v>1329001931</v>
      </c>
      <c r="O178">
        <v>24</v>
      </c>
      <c r="P178" s="2">
        <v>46212.626932870371</v>
      </c>
      <c r="Q178" s="2">
        <v>46212.632662037038</v>
      </c>
      <c r="R178" s="2">
        <v>46212.626932870371</v>
      </c>
      <c r="S178">
        <v>0</v>
      </c>
      <c r="T178" t="s">
        <v>192</v>
      </c>
      <c r="U178" t="s">
        <v>192</v>
      </c>
      <c r="W178" t="str">
        <f t="shared" si="28"/>
        <v>400417</v>
      </c>
      <c r="X178" t="s">
        <v>378</v>
      </c>
      <c r="AD178" s="2">
        <v>46212.632662037038</v>
      </c>
    </row>
    <row r="179" spans="1:30" x14ac:dyDescent="0.35">
      <c r="A179" t="s">
        <v>30</v>
      </c>
      <c r="B179" t="s">
        <v>31</v>
      </c>
      <c r="C179" t="s">
        <v>403</v>
      </c>
      <c r="D179" t="s">
        <v>33</v>
      </c>
      <c r="E179" t="str">
        <f t="shared" si="25"/>
        <v>400417</v>
      </c>
      <c r="F179" t="s">
        <v>376</v>
      </c>
      <c r="G179">
        <v>24</v>
      </c>
      <c r="H179">
        <v>0</v>
      </c>
      <c r="I179" t="s">
        <v>404</v>
      </c>
      <c r="J179" t="str">
        <f t="shared" si="26"/>
        <v>153000398</v>
      </c>
      <c r="K179" s="1">
        <v>48011</v>
      </c>
      <c r="M179" s="1">
        <v>46186</v>
      </c>
      <c r="N179" t="str">
        <f t="shared" si="27"/>
        <v>1329001931</v>
      </c>
      <c r="O179">
        <v>24</v>
      </c>
      <c r="P179" s="2">
        <v>46212.627187500002</v>
      </c>
      <c r="Q179" s="2">
        <v>46212.633379629631</v>
      </c>
      <c r="R179" s="2">
        <v>46212.627187500002</v>
      </c>
      <c r="S179">
        <v>0</v>
      </c>
      <c r="T179" t="s">
        <v>192</v>
      </c>
      <c r="U179" t="s">
        <v>192</v>
      </c>
      <c r="W179" t="str">
        <f t="shared" si="28"/>
        <v>400417</v>
      </c>
      <c r="X179" t="s">
        <v>378</v>
      </c>
      <c r="AD179" s="2">
        <v>46212.633379629631</v>
      </c>
    </row>
    <row r="180" spans="1:30" x14ac:dyDescent="0.35">
      <c r="A180" t="s">
        <v>30</v>
      </c>
      <c r="B180" t="s">
        <v>31</v>
      </c>
      <c r="C180" t="s">
        <v>405</v>
      </c>
      <c r="D180" t="s">
        <v>33</v>
      </c>
      <c r="E180" t="str">
        <f t="shared" si="25"/>
        <v>400417</v>
      </c>
      <c r="F180" t="s">
        <v>376</v>
      </c>
      <c r="G180">
        <v>24</v>
      </c>
      <c r="H180">
        <v>0</v>
      </c>
      <c r="I180" t="s">
        <v>406</v>
      </c>
      <c r="J180" t="str">
        <f t="shared" si="26"/>
        <v>153000398</v>
      </c>
      <c r="K180" s="1">
        <v>48011</v>
      </c>
      <c r="M180" s="1">
        <v>46186</v>
      </c>
      <c r="N180" t="str">
        <f t="shared" si="27"/>
        <v>1329001931</v>
      </c>
      <c r="O180">
        <v>24</v>
      </c>
      <c r="P180" s="2">
        <v>46212.627546296295</v>
      </c>
      <c r="Q180" s="2">
        <v>46212.634247685186</v>
      </c>
      <c r="R180" s="2">
        <v>46212.627546296295</v>
      </c>
      <c r="S180">
        <v>0</v>
      </c>
      <c r="T180" t="s">
        <v>192</v>
      </c>
      <c r="U180" t="s">
        <v>192</v>
      </c>
      <c r="W180" t="str">
        <f t="shared" si="28"/>
        <v>400417</v>
      </c>
      <c r="X180" t="s">
        <v>378</v>
      </c>
      <c r="AD180" s="2">
        <v>46212.634247685186</v>
      </c>
    </row>
    <row r="181" spans="1:30" x14ac:dyDescent="0.35">
      <c r="A181" t="s">
        <v>30</v>
      </c>
      <c r="B181" t="s">
        <v>31</v>
      </c>
      <c r="C181" t="s">
        <v>407</v>
      </c>
      <c r="D181" t="s">
        <v>33</v>
      </c>
      <c r="E181" t="str">
        <f t="shared" si="25"/>
        <v>400417</v>
      </c>
      <c r="F181" t="s">
        <v>376</v>
      </c>
      <c r="G181">
        <v>24</v>
      </c>
      <c r="H181">
        <v>0</v>
      </c>
      <c r="I181" t="s">
        <v>408</v>
      </c>
      <c r="J181" t="str">
        <f t="shared" si="26"/>
        <v>153000398</v>
      </c>
      <c r="K181" s="1">
        <v>48011</v>
      </c>
      <c r="M181" s="1">
        <v>46186</v>
      </c>
      <c r="N181" t="str">
        <f t="shared" si="27"/>
        <v>1329001931</v>
      </c>
      <c r="O181">
        <v>24</v>
      </c>
      <c r="P181" s="2">
        <v>46212.627858796295</v>
      </c>
      <c r="Q181" s="2">
        <v>46212.635162037041</v>
      </c>
      <c r="R181" s="2">
        <v>46212.627858796295</v>
      </c>
      <c r="S181">
        <v>0</v>
      </c>
      <c r="T181" t="s">
        <v>192</v>
      </c>
      <c r="U181" t="s">
        <v>192</v>
      </c>
      <c r="W181" t="str">
        <f t="shared" si="28"/>
        <v>400417</v>
      </c>
      <c r="X181" t="s">
        <v>378</v>
      </c>
      <c r="AD181" s="2">
        <v>46212.635150462964</v>
      </c>
    </row>
    <row r="182" spans="1:30" x14ac:dyDescent="0.35">
      <c r="A182" t="s">
        <v>30</v>
      </c>
      <c r="B182" t="s">
        <v>31</v>
      </c>
      <c r="C182" t="s">
        <v>409</v>
      </c>
      <c r="D182" t="s">
        <v>33</v>
      </c>
      <c r="E182" t="str">
        <f t="shared" si="25"/>
        <v>400417</v>
      </c>
      <c r="F182" t="s">
        <v>376</v>
      </c>
      <c r="G182">
        <v>24</v>
      </c>
      <c r="H182">
        <v>0</v>
      </c>
      <c r="I182" t="s">
        <v>410</v>
      </c>
      <c r="J182" t="str">
        <f t="shared" si="26"/>
        <v>153000398</v>
      </c>
      <c r="K182" s="1">
        <v>48011</v>
      </c>
      <c r="M182" s="1">
        <v>46186</v>
      </c>
      <c r="N182" t="str">
        <f t="shared" si="27"/>
        <v>1329001931</v>
      </c>
      <c r="O182">
        <v>24</v>
      </c>
      <c r="P182" s="2">
        <v>46212.628287037034</v>
      </c>
      <c r="Q182" s="2">
        <v>46212.635891203703</v>
      </c>
      <c r="R182" s="2">
        <v>46212.628287037034</v>
      </c>
      <c r="S182">
        <v>0</v>
      </c>
      <c r="T182" t="s">
        <v>192</v>
      </c>
      <c r="U182" t="s">
        <v>192</v>
      </c>
      <c r="W182" t="str">
        <f t="shared" si="28"/>
        <v>400417</v>
      </c>
      <c r="X182" t="s">
        <v>378</v>
      </c>
      <c r="AD182" s="2">
        <v>46212.635891203703</v>
      </c>
    </row>
    <row r="183" spans="1:30" x14ac:dyDescent="0.35">
      <c r="A183" t="s">
        <v>30</v>
      </c>
      <c r="B183" t="s">
        <v>31</v>
      </c>
      <c r="C183" t="s">
        <v>411</v>
      </c>
      <c r="D183" t="s">
        <v>33</v>
      </c>
      <c r="E183" t="str">
        <f t="shared" si="25"/>
        <v>400417</v>
      </c>
      <c r="F183" t="s">
        <v>376</v>
      </c>
      <c r="G183">
        <v>24</v>
      </c>
      <c r="H183">
        <v>0</v>
      </c>
      <c r="I183" t="s">
        <v>412</v>
      </c>
      <c r="J183" t="str">
        <f t="shared" si="26"/>
        <v>153000398</v>
      </c>
      <c r="K183" s="1">
        <v>48011</v>
      </c>
      <c r="M183" s="1">
        <v>46186</v>
      </c>
      <c r="N183" t="str">
        <f t="shared" si="27"/>
        <v>1329001931</v>
      </c>
      <c r="O183">
        <v>24</v>
      </c>
      <c r="P183" s="2">
        <v>46212.628564814811</v>
      </c>
      <c r="Q183" s="2">
        <v>46212.636736111112</v>
      </c>
      <c r="R183" s="2">
        <v>46212.628564814811</v>
      </c>
      <c r="S183">
        <v>0</v>
      </c>
      <c r="T183" t="s">
        <v>192</v>
      </c>
      <c r="U183" t="s">
        <v>192</v>
      </c>
      <c r="W183" t="str">
        <f t="shared" si="28"/>
        <v>400417</v>
      </c>
      <c r="X183" t="s">
        <v>378</v>
      </c>
      <c r="AD183" s="2">
        <v>46212.636736111112</v>
      </c>
    </row>
    <row r="184" spans="1:30" x14ac:dyDescent="0.35">
      <c r="A184" t="s">
        <v>30</v>
      </c>
      <c r="B184" t="s">
        <v>31</v>
      </c>
      <c r="C184" t="s">
        <v>413</v>
      </c>
      <c r="D184" t="s">
        <v>33</v>
      </c>
      <c r="E184" t="str">
        <f t="shared" si="25"/>
        <v>400417</v>
      </c>
      <c r="F184" t="s">
        <v>376</v>
      </c>
      <c r="G184">
        <v>24</v>
      </c>
      <c r="H184">
        <v>0</v>
      </c>
      <c r="I184" t="s">
        <v>414</v>
      </c>
      <c r="J184" t="str">
        <f t="shared" si="26"/>
        <v>153000398</v>
      </c>
      <c r="K184" s="1">
        <v>48011</v>
      </c>
      <c r="M184" s="1">
        <v>46186</v>
      </c>
      <c r="N184" t="str">
        <f t="shared" si="27"/>
        <v>1329001931</v>
      </c>
      <c r="O184">
        <v>24</v>
      </c>
      <c r="P184" s="2">
        <v>46212.629212962966</v>
      </c>
      <c r="Q184" s="2">
        <v>46212.638379629629</v>
      </c>
      <c r="R184" s="2">
        <v>46212.629212962966</v>
      </c>
      <c r="S184">
        <v>0</v>
      </c>
      <c r="T184" t="s">
        <v>192</v>
      </c>
      <c r="U184" t="s">
        <v>192</v>
      </c>
      <c r="W184" t="str">
        <f t="shared" si="28"/>
        <v>400417</v>
      </c>
      <c r="X184" t="s">
        <v>378</v>
      </c>
      <c r="AD184" s="2">
        <v>46212.638379629629</v>
      </c>
    </row>
    <row r="185" spans="1:30" x14ac:dyDescent="0.35">
      <c r="A185" t="s">
        <v>30</v>
      </c>
      <c r="B185" t="s">
        <v>31</v>
      </c>
      <c r="C185" t="s">
        <v>415</v>
      </c>
      <c r="D185" t="s">
        <v>33</v>
      </c>
      <c r="E185" t="str">
        <f t="shared" si="25"/>
        <v>400417</v>
      </c>
      <c r="F185" t="s">
        <v>376</v>
      </c>
      <c r="G185">
        <v>24</v>
      </c>
      <c r="H185">
        <v>0</v>
      </c>
      <c r="I185" t="s">
        <v>416</v>
      </c>
      <c r="J185" t="str">
        <f t="shared" si="26"/>
        <v>153000398</v>
      </c>
      <c r="K185" s="1">
        <v>48011</v>
      </c>
      <c r="M185" s="1">
        <v>46186</v>
      </c>
      <c r="N185" t="str">
        <f t="shared" si="27"/>
        <v>1329001931</v>
      </c>
      <c r="O185">
        <v>24</v>
      </c>
      <c r="P185" s="2">
        <v>46212.629513888889</v>
      </c>
      <c r="Q185" s="2">
        <v>46212.642511574071</v>
      </c>
      <c r="R185" s="2">
        <v>46212.629513888889</v>
      </c>
      <c r="S185">
        <v>0</v>
      </c>
      <c r="T185" t="s">
        <v>192</v>
      </c>
      <c r="U185" t="s">
        <v>192</v>
      </c>
      <c r="W185" t="str">
        <f t="shared" si="28"/>
        <v>400417</v>
      </c>
      <c r="X185" t="s">
        <v>378</v>
      </c>
      <c r="AD185" s="2">
        <v>46212.642511574071</v>
      </c>
    </row>
    <row r="186" spans="1:30" x14ac:dyDescent="0.35">
      <c r="A186" t="s">
        <v>30</v>
      </c>
      <c r="B186" t="s">
        <v>31</v>
      </c>
      <c r="C186" t="s">
        <v>417</v>
      </c>
      <c r="D186" t="s">
        <v>33</v>
      </c>
      <c r="E186" t="str">
        <f t="shared" si="25"/>
        <v>400417</v>
      </c>
      <c r="F186" t="s">
        <v>376</v>
      </c>
      <c r="G186">
        <v>24</v>
      </c>
      <c r="H186">
        <v>0</v>
      </c>
      <c r="I186" t="s">
        <v>418</v>
      </c>
      <c r="J186" t="str">
        <f t="shared" si="26"/>
        <v>153000398</v>
      </c>
      <c r="K186" s="1">
        <v>48011</v>
      </c>
      <c r="M186" s="1">
        <v>46186</v>
      </c>
      <c r="N186" t="str">
        <f t="shared" si="27"/>
        <v>1329001931</v>
      </c>
      <c r="O186">
        <v>24</v>
      </c>
      <c r="P186" s="2">
        <v>46212.62976851852</v>
      </c>
      <c r="Q186" s="2">
        <v>46212.643252314818</v>
      </c>
      <c r="R186" s="2">
        <v>46212.62976851852</v>
      </c>
      <c r="S186">
        <v>0</v>
      </c>
      <c r="T186" t="s">
        <v>192</v>
      </c>
      <c r="U186" t="s">
        <v>192</v>
      </c>
      <c r="W186" t="str">
        <f t="shared" si="28"/>
        <v>400417</v>
      </c>
      <c r="X186" t="s">
        <v>378</v>
      </c>
      <c r="AD186" s="2">
        <v>46212.643252314818</v>
      </c>
    </row>
    <row r="187" spans="1:30" x14ac:dyDescent="0.35">
      <c r="A187" t="s">
        <v>30</v>
      </c>
      <c r="B187" t="s">
        <v>31</v>
      </c>
      <c r="C187" t="s">
        <v>419</v>
      </c>
      <c r="D187" t="s">
        <v>33</v>
      </c>
      <c r="E187" t="str">
        <f t="shared" si="25"/>
        <v>400417</v>
      </c>
      <c r="F187" t="s">
        <v>376</v>
      </c>
      <c r="G187">
        <v>24</v>
      </c>
      <c r="H187">
        <v>0</v>
      </c>
      <c r="I187" t="s">
        <v>420</v>
      </c>
      <c r="J187" t="str">
        <f t="shared" si="26"/>
        <v>153000398</v>
      </c>
      <c r="K187" s="1">
        <v>48011</v>
      </c>
      <c r="M187" s="1">
        <v>46186</v>
      </c>
      <c r="N187" t="str">
        <f t="shared" si="27"/>
        <v>1329001931</v>
      </c>
      <c r="O187">
        <v>24</v>
      </c>
      <c r="P187" s="2">
        <v>46212.630057870374</v>
      </c>
      <c r="Q187" s="2">
        <v>46212.643912037034</v>
      </c>
      <c r="R187" s="2">
        <v>46212.630057870374</v>
      </c>
      <c r="S187">
        <v>0</v>
      </c>
      <c r="T187" t="s">
        <v>192</v>
      </c>
      <c r="U187" t="s">
        <v>192</v>
      </c>
      <c r="W187" t="str">
        <f t="shared" si="28"/>
        <v>400417</v>
      </c>
      <c r="X187" t="s">
        <v>378</v>
      </c>
      <c r="AD187" s="2">
        <v>46212.643912037034</v>
      </c>
    </row>
    <row r="188" spans="1:30" x14ac:dyDescent="0.35">
      <c r="A188" t="s">
        <v>30</v>
      </c>
      <c r="B188" t="s">
        <v>31</v>
      </c>
      <c r="C188" t="s">
        <v>421</v>
      </c>
      <c r="D188" t="s">
        <v>33</v>
      </c>
      <c r="E188" t="str">
        <f>"400441"</f>
        <v>400441</v>
      </c>
      <c r="F188" t="s">
        <v>65</v>
      </c>
      <c r="G188">
        <v>4</v>
      </c>
      <c r="H188">
        <v>0</v>
      </c>
      <c r="I188" t="s">
        <v>422</v>
      </c>
      <c r="J188" t="str">
        <f>"153000412"</f>
        <v>153000412</v>
      </c>
      <c r="K188" s="1">
        <v>48022</v>
      </c>
      <c r="M188" s="1">
        <v>46197</v>
      </c>
      <c r="N188" t="str">
        <f>"1329001933"</f>
        <v>1329001933</v>
      </c>
      <c r="O188">
        <v>4</v>
      </c>
      <c r="P188" s="2">
        <v>46212.443969907406</v>
      </c>
      <c r="Q188" s="2">
        <v>46214.624988425923</v>
      </c>
      <c r="R188" s="2">
        <v>46212.443969907406</v>
      </c>
      <c r="S188">
        <v>0</v>
      </c>
      <c r="T188" t="s">
        <v>67</v>
      </c>
      <c r="U188" t="s">
        <v>67</v>
      </c>
      <c r="W188" t="str">
        <f>"400441"</f>
        <v>400441</v>
      </c>
      <c r="X188" t="s">
        <v>41</v>
      </c>
      <c r="AD188" s="2">
        <v>46214.624988425923</v>
      </c>
    </row>
    <row r="189" spans="1:30" x14ac:dyDescent="0.35">
      <c r="A189" t="s">
        <v>30</v>
      </c>
      <c r="B189" t="s">
        <v>31</v>
      </c>
      <c r="C189" t="s">
        <v>423</v>
      </c>
      <c r="D189" t="s">
        <v>33</v>
      </c>
      <c r="E189" t="str">
        <f>"400445"</f>
        <v>400445</v>
      </c>
      <c r="F189" t="s">
        <v>424</v>
      </c>
      <c r="G189">
        <v>4</v>
      </c>
      <c r="H189">
        <v>0</v>
      </c>
      <c r="I189" t="s">
        <v>425</v>
      </c>
      <c r="J189" t="str">
        <f>"153000304"</f>
        <v>153000304</v>
      </c>
      <c r="K189" s="1">
        <v>47976</v>
      </c>
      <c r="M189" s="1">
        <v>46151</v>
      </c>
      <c r="N189" t="str">
        <f>"1329001937"</f>
        <v>1329001937</v>
      </c>
      <c r="O189">
        <v>4</v>
      </c>
      <c r="P189" s="2">
        <v>46214.503877314812</v>
      </c>
      <c r="Q189" s="2">
        <v>46214.663946759261</v>
      </c>
      <c r="R189" s="2">
        <v>46214.503877314812</v>
      </c>
      <c r="S189">
        <v>0</v>
      </c>
      <c r="T189" t="s">
        <v>67</v>
      </c>
      <c r="U189" t="s">
        <v>67</v>
      </c>
      <c r="W189" t="str">
        <f>"400445"</f>
        <v>400445</v>
      </c>
      <c r="X189" t="s">
        <v>41</v>
      </c>
      <c r="AD189" s="2">
        <v>46214.663946759261</v>
      </c>
    </row>
    <row r="190" spans="1:30" x14ac:dyDescent="0.35">
      <c r="A190" t="s">
        <v>30</v>
      </c>
      <c r="B190" t="s">
        <v>31</v>
      </c>
      <c r="C190" t="s">
        <v>426</v>
      </c>
      <c r="D190" t="s">
        <v>33</v>
      </c>
      <c r="E190" t="str">
        <f>"400445"</f>
        <v>400445</v>
      </c>
      <c r="F190" t="s">
        <v>424</v>
      </c>
      <c r="G190">
        <v>4</v>
      </c>
      <c r="H190">
        <v>0</v>
      </c>
      <c r="I190" t="s">
        <v>427</v>
      </c>
      <c r="J190" t="str">
        <f>"153000304"</f>
        <v>153000304</v>
      </c>
      <c r="K190" s="1">
        <v>47976</v>
      </c>
      <c r="M190" s="1">
        <v>46151</v>
      </c>
      <c r="N190" t="str">
        <f>"1329001937"</f>
        <v>1329001937</v>
      </c>
      <c r="O190">
        <v>4</v>
      </c>
      <c r="P190" s="2">
        <v>46214.504016203704</v>
      </c>
      <c r="Q190" s="2">
        <v>46214.664884259262</v>
      </c>
      <c r="R190" s="2">
        <v>46214.504016203704</v>
      </c>
      <c r="S190">
        <v>0</v>
      </c>
      <c r="T190" t="s">
        <v>67</v>
      </c>
      <c r="U190" t="s">
        <v>67</v>
      </c>
      <c r="W190" t="str">
        <f>"400445"</f>
        <v>400445</v>
      </c>
      <c r="X190" t="s">
        <v>41</v>
      </c>
      <c r="AD190" s="2">
        <v>46214.664884259262</v>
      </c>
    </row>
    <row r="191" spans="1:30" x14ac:dyDescent="0.35">
      <c r="A191" t="s">
        <v>30</v>
      </c>
      <c r="B191" t="s">
        <v>31</v>
      </c>
      <c r="C191" t="s">
        <v>428</v>
      </c>
      <c r="D191" t="s">
        <v>33</v>
      </c>
      <c r="E191" t="str">
        <f t="shared" ref="E191:E205" si="29">"400514"</f>
        <v>400514</v>
      </c>
      <c r="F191" t="s">
        <v>429</v>
      </c>
      <c r="G191">
        <v>4</v>
      </c>
      <c r="H191">
        <v>0</v>
      </c>
      <c r="I191" t="s">
        <v>430</v>
      </c>
      <c r="J191" t="str">
        <f>"153000381"</f>
        <v>153000381</v>
      </c>
      <c r="K191" s="1">
        <v>48009</v>
      </c>
      <c r="M191" s="1">
        <v>46184</v>
      </c>
      <c r="N191" t="str">
        <f t="shared" ref="N191:N205" si="30">"1329001938"</f>
        <v>1329001938</v>
      </c>
      <c r="O191">
        <v>4</v>
      </c>
      <c r="P191" s="2">
        <v>46214.507789351854</v>
      </c>
      <c r="Q191" s="2">
        <v>46214.666539351849</v>
      </c>
      <c r="R191" s="2">
        <v>46214.507789351854</v>
      </c>
      <c r="S191">
        <v>0</v>
      </c>
      <c r="T191" t="s">
        <v>67</v>
      </c>
      <c r="U191" t="s">
        <v>67</v>
      </c>
      <c r="W191" t="str">
        <f t="shared" ref="W191:W205" si="31">"400514"</f>
        <v>400514</v>
      </c>
      <c r="X191" t="s">
        <v>41</v>
      </c>
      <c r="AD191" s="2">
        <v>46214.666539351849</v>
      </c>
    </row>
    <row r="192" spans="1:30" x14ac:dyDescent="0.35">
      <c r="A192" t="s">
        <v>30</v>
      </c>
      <c r="B192" t="s">
        <v>31</v>
      </c>
      <c r="C192" t="s">
        <v>431</v>
      </c>
      <c r="D192" t="s">
        <v>33</v>
      </c>
      <c r="E192" t="str">
        <f t="shared" si="29"/>
        <v>400514</v>
      </c>
      <c r="F192" t="s">
        <v>429</v>
      </c>
      <c r="G192">
        <v>4</v>
      </c>
      <c r="H192">
        <v>0</v>
      </c>
      <c r="I192" t="s">
        <v>432</v>
      </c>
      <c r="J192" t="str">
        <f>"153000381"</f>
        <v>153000381</v>
      </c>
      <c r="K192" s="1">
        <v>48009</v>
      </c>
      <c r="M192" s="1">
        <v>46184</v>
      </c>
      <c r="N192" t="str">
        <f t="shared" si="30"/>
        <v>1329001938</v>
      </c>
      <c r="O192">
        <v>4</v>
      </c>
      <c r="P192" s="2">
        <v>46214.507916666669</v>
      </c>
      <c r="Q192" s="2">
        <v>46214.667939814812</v>
      </c>
      <c r="R192" s="2">
        <v>46214.507916666669</v>
      </c>
      <c r="S192">
        <v>0</v>
      </c>
      <c r="T192" t="s">
        <v>67</v>
      </c>
      <c r="U192" t="s">
        <v>67</v>
      </c>
      <c r="W192" t="str">
        <f t="shared" si="31"/>
        <v>400514</v>
      </c>
      <c r="X192" t="s">
        <v>41</v>
      </c>
      <c r="AD192" s="2">
        <v>46214.667939814812</v>
      </c>
    </row>
    <row r="193" spans="1:30" x14ac:dyDescent="0.35">
      <c r="A193" t="s">
        <v>30</v>
      </c>
      <c r="B193" t="s">
        <v>31</v>
      </c>
      <c r="C193" t="s">
        <v>433</v>
      </c>
      <c r="D193" t="s">
        <v>33</v>
      </c>
      <c r="E193" t="str">
        <f t="shared" si="29"/>
        <v>400514</v>
      </c>
      <c r="F193" t="s">
        <v>429</v>
      </c>
      <c r="G193">
        <v>4</v>
      </c>
      <c r="H193">
        <v>0</v>
      </c>
      <c r="I193" t="s">
        <v>434</v>
      </c>
      <c r="J193" t="str">
        <f>"153000381"</f>
        <v>153000381</v>
      </c>
      <c r="K193" s="1">
        <v>48009</v>
      </c>
      <c r="M193" s="1">
        <v>46184</v>
      </c>
      <c r="N193" t="str">
        <f t="shared" si="30"/>
        <v>1329001938</v>
      </c>
      <c r="O193">
        <v>4</v>
      </c>
      <c r="P193" s="2">
        <v>46214.507627314815</v>
      </c>
      <c r="Q193" s="2">
        <v>46214.670081018521</v>
      </c>
      <c r="R193" s="2">
        <v>46214.507627314815</v>
      </c>
      <c r="S193">
        <v>0</v>
      </c>
      <c r="T193" t="s">
        <v>67</v>
      </c>
      <c r="U193" t="s">
        <v>67</v>
      </c>
      <c r="W193" t="str">
        <f t="shared" si="31"/>
        <v>400514</v>
      </c>
      <c r="X193" t="s">
        <v>41</v>
      </c>
      <c r="AD193" s="2">
        <v>46214.670081018521</v>
      </c>
    </row>
    <row r="194" spans="1:30" x14ac:dyDescent="0.35">
      <c r="A194" t="s">
        <v>30</v>
      </c>
      <c r="B194" t="s">
        <v>31</v>
      </c>
      <c r="C194" t="s">
        <v>435</v>
      </c>
      <c r="D194" t="s">
        <v>33</v>
      </c>
      <c r="E194" t="str">
        <f t="shared" si="29"/>
        <v>400514</v>
      </c>
      <c r="F194" t="s">
        <v>429</v>
      </c>
      <c r="G194">
        <v>4</v>
      </c>
      <c r="H194">
        <v>0</v>
      </c>
      <c r="I194" t="s">
        <v>436</v>
      </c>
      <c r="J194" t="str">
        <f>"153000406"</f>
        <v>153000406</v>
      </c>
      <c r="K194" s="1">
        <v>48016</v>
      </c>
      <c r="M194" s="1">
        <v>46191</v>
      </c>
      <c r="N194" t="str">
        <f t="shared" si="30"/>
        <v>1329001938</v>
      </c>
      <c r="O194">
        <v>4</v>
      </c>
      <c r="P194" s="2">
        <v>46214.507557870369</v>
      </c>
      <c r="Q194" s="2">
        <v>46214.671990740739</v>
      </c>
      <c r="R194" s="2">
        <v>46214.507557870369</v>
      </c>
      <c r="S194">
        <v>0</v>
      </c>
      <c r="T194" t="s">
        <v>67</v>
      </c>
      <c r="U194" t="s">
        <v>67</v>
      </c>
      <c r="W194" t="str">
        <f t="shared" si="31"/>
        <v>400514</v>
      </c>
      <c r="X194" t="s">
        <v>41</v>
      </c>
      <c r="AD194" s="2">
        <v>46214.671990740739</v>
      </c>
    </row>
    <row r="195" spans="1:30" x14ac:dyDescent="0.35">
      <c r="A195" t="s">
        <v>30</v>
      </c>
      <c r="B195" t="s">
        <v>31</v>
      </c>
      <c r="C195" t="s">
        <v>437</v>
      </c>
      <c r="D195" t="s">
        <v>33</v>
      </c>
      <c r="E195" t="str">
        <f t="shared" si="29"/>
        <v>400514</v>
      </c>
      <c r="F195" t="s">
        <v>429</v>
      </c>
      <c r="G195">
        <v>4</v>
      </c>
      <c r="H195">
        <v>0</v>
      </c>
      <c r="I195" t="s">
        <v>438</v>
      </c>
      <c r="J195" t="str">
        <f>"153000381"</f>
        <v>153000381</v>
      </c>
      <c r="K195" s="1">
        <v>48009</v>
      </c>
      <c r="M195" s="1">
        <v>46184</v>
      </c>
      <c r="N195" t="str">
        <f t="shared" si="30"/>
        <v>1329001938</v>
      </c>
      <c r="O195">
        <v>4</v>
      </c>
      <c r="P195" s="2">
        <v>46214.507407407407</v>
      </c>
      <c r="Q195" s="2">
        <v>46214.672175925924</v>
      </c>
      <c r="R195" s="2">
        <v>46214.507407407407</v>
      </c>
      <c r="S195">
        <v>0</v>
      </c>
      <c r="T195" t="s">
        <v>67</v>
      </c>
      <c r="U195" t="s">
        <v>67</v>
      </c>
      <c r="W195" t="str">
        <f t="shared" si="31"/>
        <v>400514</v>
      </c>
      <c r="X195" t="s">
        <v>41</v>
      </c>
      <c r="AD195" s="2">
        <v>46214.672175925924</v>
      </c>
    </row>
    <row r="196" spans="1:30" x14ac:dyDescent="0.35">
      <c r="A196" t="s">
        <v>30</v>
      </c>
      <c r="B196" t="s">
        <v>31</v>
      </c>
      <c r="C196" t="s">
        <v>439</v>
      </c>
      <c r="D196" t="s">
        <v>33</v>
      </c>
      <c r="E196" t="str">
        <f t="shared" si="29"/>
        <v>400514</v>
      </c>
      <c r="F196" t="s">
        <v>429</v>
      </c>
      <c r="G196">
        <v>4</v>
      </c>
      <c r="H196">
        <v>0</v>
      </c>
      <c r="I196" t="s">
        <v>440</v>
      </c>
      <c r="J196" t="str">
        <f>"153000406"</f>
        <v>153000406</v>
      </c>
      <c r="K196" s="1">
        <v>48016</v>
      </c>
      <c r="M196" s="1">
        <v>46191</v>
      </c>
      <c r="N196" t="str">
        <f t="shared" si="30"/>
        <v>1329001938</v>
      </c>
      <c r="O196">
        <v>4</v>
      </c>
      <c r="P196" s="2">
        <v>46214.507245370369</v>
      </c>
      <c r="Q196" s="2">
        <v>46214.673009259262</v>
      </c>
      <c r="R196" s="2">
        <v>46214.507245370369</v>
      </c>
      <c r="S196">
        <v>0</v>
      </c>
      <c r="T196" t="s">
        <v>67</v>
      </c>
      <c r="U196" t="s">
        <v>67</v>
      </c>
      <c r="W196" t="str">
        <f t="shared" si="31"/>
        <v>400514</v>
      </c>
      <c r="X196" t="s">
        <v>41</v>
      </c>
      <c r="AD196" s="2">
        <v>46214.673009259262</v>
      </c>
    </row>
    <row r="197" spans="1:30" x14ac:dyDescent="0.35">
      <c r="A197" t="s">
        <v>30</v>
      </c>
      <c r="B197" t="s">
        <v>31</v>
      </c>
      <c r="C197" t="s">
        <v>441</v>
      </c>
      <c r="D197" t="s">
        <v>33</v>
      </c>
      <c r="E197" t="str">
        <f t="shared" si="29"/>
        <v>400514</v>
      </c>
      <c r="F197" t="s">
        <v>429</v>
      </c>
      <c r="G197">
        <v>4</v>
      </c>
      <c r="H197">
        <v>0</v>
      </c>
      <c r="I197" t="s">
        <v>442</v>
      </c>
      <c r="J197" t="str">
        <f>"153000381"</f>
        <v>153000381</v>
      </c>
      <c r="K197" s="1">
        <v>48009</v>
      </c>
      <c r="M197" s="1">
        <v>46184</v>
      </c>
      <c r="N197" t="str">
        <f t="shared" si="30"/>
        <v>1329001938</v>
      </c>
      <c r="O197">
        <v>4</v>
      </c>
      <c r="P197" s="2">
        <v>46214.507326388892</v>
      </c>
      <c r="Q197" s="2">
        <v>46214.673275462963</v>
      </c>
      <c r="R197" s="2">
        <v>46214.507326388892</v>
      </c>
      <c r="S197">
        <v>0</v>
      </c>
      <c r="T197" t="s">
        <v>67</v>
      </c>
      <c r="U197" t="s">
        <v>67</v>
      </c>
      <c r="W197" t="str">
        <f t="shared" si="31"/>
        <v>400514</v>
      </c>
      <c r="X197" t="s">
        <v>41</v>
      </c>
      <c r="AD197" s="2">
        <v>46214.673275462963</v>
      </c>
    </row>
    <row r="198" spans="1:30" x14ac:dyDescent="0.35">
      <c r="A198" t="s">
        <v>30</v>
      </c>
      <c r="B198" t="s">
        <v>31</v>
      </c>
      <c r="C198" t="s">
        <v>443</v>
      </c>
      <c r="D198" t="s">
        <v>33</v>
      </c>
      <c r="E198" t="str">
        <f t="shared" si="29"/>
        <v>400514</v>
      </c>
      <c r="F198" t="s">
        <v>429</v>
      </c>
      <c r="G198">
        <v>4</v>
      </c>
      <c r="H198">
        <v>0</v>
      </c>
      <c r="I198" t="s">
        <v>444</v>
      </c>
      <c r="J198" t="str">
        <f>"153000406"</f>
        <v>153000406</v>
      </c>
      <c r="K198" s="1">
        <v>48016</v>
      </c>
      <c r="M198" s="1">
        <v>46191</v>
      </c>
      <c r="N198" t="str">
        <f t="shared" si="30"/>
        <v>1329001938</v>
      </c>
      <c r="O198">
        <v>4</v>
      </c>
      <c r="P198" s="2">
        <v>46214.507488425923</v>
      </c>
      <c r="Q198" s="2">
        <v>46214.674016203702</v>
      </c>
      <c r="R198" s="2">
        <v>46214.507488425923</v>
      </c>
      <c r="S198">
        <v>0</v>
      </c>
      <c r="T198" t="s">
        <v>67</v>
      </c>
      <c r="U198" t="s">
        <v>67</v>
      </c>
      <c r="W198" t="str">
        <f t="shared" si="31"/>
        <v>400514</v>
      </c>
      <c r="X198" t="s">
        <v>41</v>
      </c>
      <c r="AD198" s="2">
        <v>46214.674016203702</v>
      </c>
    </row>
    <row r="199" spans="1:30" x14ac:dyDescent="0.35">
      <c r="A199" t="s">
        <v>30</v>
      </c>
      <c r="B199" t="s">
        <v>31</v>
      </c>
      <c r="C199" t="s">
        <v>445</v>
      </c>
      <c r="D199" t="s">
        <v>33</v>
      </c>
      <c r="E199" t="str">
        <f t="shared" si="29"/>
        <v>400514</v>
      </c>
      <c r="F199" t="s">
        <v>429</v>
      </c>
      <c r="G199">
        <v>4</v>
      </c>
      <c r="H199">
        <v>0</v>
      </c>
      <c r="I199" t="s">
        <v>446</v>
      </c>
      <c r="J199" t="str">
        <f>"153000406"</f>
        <v>153000406</v>
      </c>
      <c r="K199" s="1">
        <v>48016</v>
      </c>
      <c r="M199" s="1">
        <v>46191</v>
      </c>
      <c r="N199" t="str">
        <f t="shared" si="30"/>
        <v>1329001938</v>
      </c>
      <c r="O199">
        <v>4</v>
      </c>
      <c r="P199" s="2">
        <v>46214.507094907407</v>
      </c>
      <c r="Q199" s="2">
        <v>46214.674166666664</v>
      </c>
      <c r="R199" s="2">
        <v>46214.507094907407</v>
      </c>
      <c r="S199">
        <v>0</v>
      </c>
      <c r="T199" t="s">
        <v>67</v>
      </c>
      <c r="U199" t="s">
        <v>67</v>
      </c>
      <c r="W199" t="str">
        <f t="shared" si="31"/>
        <v>400514</v>
      </c>
      <c r="X199" t="s">
        <v>41</v>
      </c>
      <c r="AD199" s="2">
        <v>46214.674155092594</v>
      </c>
    </row>
    <row r="200" spans="1:30" x14ac:dyDescent="0.35">
      <c r="A200" t="s">
        <v>30</v>
      </c>
      <c r="B200" t="s">
        <v>31</v>
      </c>
      <c r="C200" t="s">
        <v>447</v>
      </c>
      <c r="D200" t="s">
        <v>33</v>
      </c>
      <c r="E200" t="str">
        <f t="shared" si="29"/>
        <v>400514</v>
      </c>
      <c r="F200" t="s">
        <v>429</v>
      </c>
      <c r="G200">
        <v>4</v>
      </c>
      <c r="H200">
        <v>0</v>
      </c>
      <c r="I200" t="s">
        <v>117</v>
      </c>
      <c r="J200" t="str">
        <f>"153000406"</f>
        <v>153000406</v>
      </c>
      <c r="K200" s="1">
        <v>48016</v>
      </c>
      <c r="M200" s="1">
        <v>46191</v>
      </c>
      <c r="N200" t="str">
        <f t="shared" si="30"/>
        <v>1329001938</v>
      </c>
      <c r="O200">
        <v>4</v>
      </c>
      <c r="P200" s="2">
        <v>46214.506597222222</v>
      </c>
      <c r="Q200" s="2">
        <v>46214.677083333336</v>
      </c>
      <c r="R200" s="2">
        <v>46214.506597222222</v>
      </c>
      <c r="S200">
        <v>0</v>
      </c>
      <c r="T200" t="s">
        <v>67</v>
      </c>
      <c r="U200" t="s">
        <v>67</v>
      </c>
      <c r="V200" t="s">
        <v>448</v>
      </c>
      <c r="W200" t="str">
        <f t="shared" si="31"/>
        <v>400514</v>
      </c>
      <c r="X200" t="s">
        <v>41</v>
      </c>
      <c r="AD200" s="2">
        <v>46214.675115740742</v>
      </c>
    </row>
    <row r="201" spans="1:30" x14ac:dyDescent="0.35">
      <c r="A201" t="s">
        <v>30</v>
      </c>
      <c r="B201" t="s">
        <v>31</v>
      </c>
      <c r="C201" t="s">
        <v>449</v>
      </c>
      <c r="D201" t="s">
        <v>33</v>
      </c>
      <c r="E201" t="str">
        <f t="shared" si="29"/>
        <v>400514</v>
      </c>
      <c r="F201" t="s">
        <v>429</v>
      </c>
      <c r="G201">
        <v>4</v>
      </c>
      <c r="H201">
        <v>0</v>
      </c>
      <c r="I201" t="s">
        <v>450</v>
      </c>
      <c r="J201" t="str">
        <f>"153000406"</f>
        <v>153000406</v>
      </c>
      <c r="K201" s="1">
        <v>48016</v>
      </c>
      <c r="M201" s="1">
        <v>46191</v>
      </c>
      <c r="N201" t="str">
        <f t="shared" si="30"/>
        <v>1329001938</v>
      </c>
      <c r="O201">
        <v>4</v>
      </c>
      <c r="P201" s="2">
        <v>46214.506805555553</v>
      </c>
      <c r="Q201" s="2">
        <v>46214.677453703705</v>
      </c>
      <c r="R201" s="2">
        <v>46214.506805555553</v>
      </c>
      <c r="S201">
        <v>0</v>
      </c>
      <c r="T201" t="s">
        <v>67</v>
      </c>
      <c r="U201" t="s">
        <v>67</v>
      </c>
      <c r="W201" t="str">
        <f t="shared" si="31"/>
        <v>400514</v>
      </c>
      <c r="X201" t="s">
        <v>41</v>
      </c>
      <c r="AD201" s="2">
        <v>46214.677453703705</v>
      </c>
    </row>
    <row r="202" spans="1:30" x14ac:dyDescent="0.35">
      <c r="A202" t="s">
        <v>30</v>
      </c>
      <c r="B202" t="s">
        <v>31</v>
      </c>
      <c r="C202" t="s">
        <v>451</v>
      </c>
      <c r="D202" t="s">
        <v>33</v>
      </c>
      <c r="E202" t="str">
        <f t="shared" si="29"/>
        <v>400514</v>
      </c>
      <c r="F202" t="s">
        <v>429</v>
      </c>
      <c r="G202">
        <v>4</v>
      </c>
      <c r="H202">
        <v>0</v>
      </c>
      <c r="I202" t="s">
        <v>452</v>
      </c>
      <c r="J202" t="str">
        <f>"153000381"</f>
        <v>153000381</v>
      </c>
      <c r="K202" s="1">
        <v>48009</v>
      </c>
      <c r="M202" s="1">
        <v>46184</v>
      </c>
      <c r="N202" t="str">
        <f t="shared" si="30"/>
        <v>1329001938</v>
      </c>
      <c r="O202">
        <v>4</v>
      </c>
      <c r="P202" s="2">
        <v>46214.506724537037</v>
      </c>
      <c r="Q202" s="2">
        <v>46214.679247685184</v>
      </c>
      <c r="R202" s="2">
        <v>46214.506724537037</v>
      </c>
      <c r="S202">
        <v>0</v>
      </c>
      <c r="T202" t="s">
        <v>67</v>
      </c>
      <c r="U202" t="s">
        <v>67</v>
      </c>
      <c r="W202" t="str">
        <f t="shared" si="31"/>
        <v>400514</v>
      </c>
      <c r="X202" t="s">
        <v>41</v>
      </c>
      <c r="AD202" s="2">
        <v>46214.679247685184</v>
      </c>
    </row>
    <row r="203" spans="1:30" x14ac:dyDescent="0.35">
      <c r="A203" t="s">
        <v>30</v>
      </c>
      <c r="B203" t="s">
        <v>31</v>
      </c>
      <c r="C203" t="s">
        <v>453</v>
      </c>
      <c r="D203" t="s">
        <v>33</v>
      </c>
      <c r="E203" t="str">
        <f t="shared" si="29"/>
        <v>400514</v>
      </c>
      <c r="F203" t="s">
        <v>429</v>
      </c>
      <c r="G203">
        <v>4</v>
      </c>
      <c r="H203">
        <v>0</v>
      </c>
      <c r="I203" t="s">
        <v>454</v>
      </c>
      <c r="J203" t="str">
        <f>"153000406"</f>
        <v>153000406</v>
      </c>
      <c r="K203" s="1">
        <v>48016</v>
      </c>
      <c r="M203" s="1">
        <v>46191</v>
      </c>
      <c r="N203" t="str">
        <f t="shared" si="30"/>
        <v>1329001938</v>
      </c>
      <c r="O203">
        <v>4</v>
      </c>
      <c r="P203" s="2">
        <v>46214.507164351853</v>
      </c>
      <c r="Q203" s="2">
        <v>46214.679976851854</v>
      </c>
      <c r="R203" s="2">
        <v>46214.507164351853</v>
      </c>
      <c r="S203">
        <v>0</v>
      </c>
      <c r="T203" t="s">
        <v>67</v>
      </c>
      <c r="U203" t="s">
        <v>67</v>
      </c>
      <c r="W203" t="str">
        <f t="shared" si="31"/>
        <v>400514</v>
      </c>
      <c r="X203" t="s">
        <v>41</v>
      </c>
      <c r="AD203" s="2">
        <v>46214.679976851854</v>
      </c>
    </row>
    <row r="204" spans="1:30" x14ac:dyDescent="0.35">
      <c r="A204" t="s">
        <v>30</v>
      </c>
      <c r="B204" t="s">
        <v>31</v>
      </c>
      <c r="C204" t="s">
        <v>455</v>
      </c>
      <c r="D204" t="s">
        <v>33</v>
      </c>
      <c r="E204" t="str">
        <f t="shared" si="29"/>
        <v>400514</v>
      </c>
      <c r="F204" t="s">
        <v>429</v>
      </c>
      <c r="G204">
        <v>4</v>
      </c>
      <c r="H204">
        <v>0</v>
      </c>
      <c r="I204" t="s">
        <v>456</v>
      </c>
      <c r="J204" t="str">
        <f>"153000381"</f>
        <v>153000381</v>
      </c>
      <c r="K204" s="1">
        <v>48009</v>
      </c>
      <c r="M204" s="1">
        <v>46184</v>
      </c>
      <c r="N204" t="str">
        <f t="shared" si="30"/>
        <v>1329001938</v>
      </c>
      <c r="O204">
        <v>4</v>
      </c>
      <c r="P204" s="2">
        <v>46214.506469907406</v>
      </c>
      <c r="Q204" s="2">
        <v>46214.680717592593</v>
      </c>
      <c r="R204" s="2">
        <v>46214.506469907406</v>
      </c>
      <c r="S204">
        <v>0</v>
      </c>
      <c r="T204" t="s">
        <v>67</v>
      </c>
      <c r="U204" t="s">
        <v>67</v>
      </c>
      <c r="W204" t="str">
        <f t="shared" si="31"/>
        <v>400514</v>
      </c>
      <c r="X204" t="s">
        <v>41</v>
      </c>
      <c r="AD204" s="2">
        <v>46214.680717592593</v>
      </c>
    </row>
    <row r="205" spans="1:30" x14ac:dyDescent="0.35">
      <c r="A205" t="s">
        <v>30</v>
      </c>
      <c r="B205" t="s">
        <v>31</v>
      </c>
      <c r="C205" t="s">
        <v>457</v>
      </c>
      <c r="D205" t="s">
        <v>33</v>
      </c>
      <c r="E205" t="str">
        <f t="shared" si="29"/>
        <v>400514</v>
      </c>
      <c r="F205" t="s">
        <v>429</v>
      </c>
      <c r="G205">
        <v>4</v>
      </c>
      <c r="H205">
        <v>0</v>
      </c>
      <c r="I205" t="s">
        <v>458</v>
      </c>
      <c r="J205" t="str">
        <f>"153000406"</f>
        <v>153000406</v>
      </c>
      <c r="K205" s="1">
        <v>48016</v>
      </c>
      <c r="M205" s="1">
        <v>46191</v>
      </c>
      <c r="N205" t="str">
        <f t="shared" si="30"/>
        <v>1329001938</v>
      </c>
      <c r="O205">
        <v>4</v>
      </c>
      <c r="P205" s="2">
        <v>46214.507002314815</v>
      </c>
      <c r="Q205" s="2">
        <v>46214.682175925926</v>
      </c>
      <c r="R205" s="2">
        <v>46214.507002314815</v>
      </c>
      <c r="S205">
        <v>0</v>
      </c>
      <c r="T205" t="s">
        <v>67</v>
      </c>
      <c r="U205" t="s">
        <v>67</v>
      </c>
      <c r="V205" t="s">
        <v>459</v>
      </c>
      <c r="W205" t="str">
        <f t="shared" si="31"/>
        <v>400514</v>
      </c>
      <c r="X205" t="s">
        <v>41</v>
      </c>
      <c r="AD205" s="2">
        <v>46214.681319444448</v>
      </c>
    </row>
    <row r="206" spans="1:30" x14ac:dyDescent="0.35">
      <c r="A206" t="s">
        <v>30</v>
      </c>
      <c r="B206" t="s">
        <v>31</v>
      </c>
      <c r="C206" t="s">
        <v>460</v>
      </c>
      <c r="D206" t="s">
        <v>33</v>
      </c>
      <c r="E206" t="str">
        <f>"400912"</f>
        <v>400912</v>
      </c>
      <c r="F206" t="s">
        <v>174</v>
      </c>
      <c r="G206">
        <v>1</v>
      </c>
      <c r="H206">
        <v>0</v>
      </c>
      <c r="I206" t="s">
        <v>461</v>
      </c>
      <c r="J206" t="str">
        <f>"400004522"</f>
        <v>400004522</v>
      </c>
      <c r="K206" s="1">
        <v>48007</v>
      </c>
      <c r="M206" s="1">
        <v>46182</v>
      </c>
      <c r="N206" t="str">
        <f>"1329001918"</f>
        <v>1329001918</v>
      </c>
      <c r="O206">
        <v>1</v>
      </c>
      <c r="P206" s="2">
        <v>46210.608935185184</v>
      </c>
      <c r="Q206" s="2">
        <v>46214.68613425926</v>
      </c>
      <c r="R206" s="2">
        <v>46210.608935185184</v>
      </c>
      <c r="S206">
        <v>0</v>
      </c>
      <c r="T206" t="s">
        <v>67</v>
      </c>
      <c r="U206" t="s">
        <v>67</v>
      </c>
      <c r="W206" t="str">
        <f>"400912"</f>
        <v>400912</v>
      </c>
      <c r="X206" t="s">
        <v>41</v>
      </c>
      <c r="AD206" s="2">
        <v>46214.68613425926</v>
      </c>
    </row>
    <row r="207" spans="1:30" x14ac:dyDescent="0.35">
      <c r="A207" t="s">
        <v>30</v>
      </c>
      <c r="B207" t="s">
        <v>31</v>
      </c>
      <c r="C207" t="s">
        <v>462</v>
      </c>
      <c r="D207" t="s">
        <v>33</v>
      </c>
      <c r="E207" t="str">
        <f>"400912"</f>
        <v>400912</v>
      </c>
      <c r="F207" t="s">
        <v>174</v>
      </c>
      <c r="G207">
        <v>1</v>
      </c>
      <c r="H207">
        <v>0</v>
      </c>
      <c r="I207" t="s">
        <v>463</v>
      </c>
      <c r="J207" t="str">
        <f>"400004550"</f>
        <v>400004550</v>
      </c>
      <c r="K207" s="1">
        <v>48018</v>
      </c>
      <c r="M207" s="1">
        <v>46193</v>
      </c>
      <c r="N207" t="str">
        <f>"1329001918"</f>
        <v>1329001918</v>
      </c>
      <c r="O207">
        <v>1</v>
      </c>
      <c r="P207" s="2">
        <v>46210.608275462961</v>
      </c>
      <c r="Q207" s="2">
        <v>46214.6874537037</v>
      </c>
      <c r="R207" s="2">
        <v>46210.608275462961</v>
      </c>
      <c r="S207">
        <v>0</v>
      </c>
      <c r="T207" t="s">
        <v>67</v>
      </c>
      <c r="U207" t="s">
        <v>67</v>
      </c>
      <c r="V207" t="s">
        <v>464</v>
      </c>
      <c r="W207" t="str">
        <f>"400912"</f>
        <v>400912</v>
      </c>
      <c r="X207" t="s">
        <v>41</v>
      </c>
      <c r="AD207" s="2">
        <v>46210.639004629629</v>
      </c>
    </row>
    <row r="208" spans="1:30" x14ac:dyDescent="0.35">
      <c r="A208" t="s">
        <v>30</v>
      </c>
      <c r="B208" t="s">
        <v>31</v>
      </c>
      <c r="C208" t="s">
        <v>465</v>
      </c>
      <c r="D208" t="s">
        <v>33</v>
      </c>
      <c r="E208" t="str">
        <f>"400912"</f>
        <v>400912</v>
      </c>
      <c r="F208" t="s">
        <v>174</v>
      </c>
      <c r="G208">
        <v>2</v>
      </c>
      <c r="H208">
        <v>0</v>
      </c>
      <c r="I208" t="s">
        <v>466</v>
      </c>
      <c r="J208" t="str">
        <f>"400004539"</f>
        <v>400004539</v>
      </c>
      <c r="K208" s="1">
        <v>48012</v>
      </c>
      <c r="M208" s="1">
        <v>46187</v>
      </c>
      <c r="N208" t="str">
        <f>"1329001918"</f>
        <v>1329001918</v>
      </c>
      <c r="O208">
        <v>2</v>
      </c>
      <c r="P208" s="2">
        <v>46210.607673611114</v>
      </c>
      <c r="Q208" s="2">
        <v>46214.691724537035</v>
      </c>
      <c r="R208" s="2">
        <v>46210.607673611114</v>
      </c>
      <c r="S208">
        <v>0</v>
      </c>
      <c r="T208" t="s">
        <v>67</v>
      </c>
      <c r="U208" t="s">
        <v>67</v>
      </c>
      <c r="V208" t="s">
        <v>467</v>
      </c>
      <c r="W208" t="str">
        <f>"400912"</f>
        <v>400912</v>
      </c>
      <c r="X208" t="s">
        <v>41</v>
      </c>
      <c r="AD208" s="2">
        <v>46210.63894675926</v>
      </c>
    </row>
    <row r="209" spans="1:30" x14ac:dyDescent="0.35">
      <c r="A209" t="s">
        <v>30</v>
      </c>
      <c r="B209" t="s">
        <v>31</v>
      </c>
      <c r="C209" t="s">
        <v>468</v>
      </c>
      <c r="D209" t="s">
        <v>33</v>
      </c>
      <c r="E209" t="str">
        <f>"400441"</f>
        <v>400441</v>
      </c>
      <c r="F209" t="s">
        <v>65</v>
      </c>
      <c r="G209">
        <v>4</v>
      </c>
      <c r="H209">
        <v>0</v>
      </c>
      <c r="I209" t="s">
        <v>469</v>
      </c>
      <c r="J209" t="str">
        <f>"153000416"</f>
        <v>153000416</v>
      </c>
      <c r="K209" s="1">
        <v>48023</v>
      </c>
      <c r="M209" s="1">
        <v>46198</v>
      </c>
      <c r="N209" t="str">
        <f t="shared" ref="N209:N233" si="32">"1329001937"</f>
        <v>1329001937</v>
      </c>
      <c r="O209">
        <v>4</v>
      </c>
      <c r="P209" s="2">
        <v>46214.500844907408</v>
      </c>
      <c r="Q209" s="2">
        <v>46214.695254629631</v>
      </c>
      <c r="R209" s="2">
        <v>46214.500844907408</v>
      </c>
      <c r="S209">
        <v>0</v>
      </c>
      <c r="T209" t="s">
        <v>67</v>
      </c>
      <c r="U209" t="s">
        <v>67</v>
      </c>
      <c r="W209" t="str">
        <f>"400441"</f>
        <v>400441</v>
      </c>
      <c r="X209" t="s">
        <v>41</v>
      </c>
      <c r="AD209" s="2">
        <v>46214.695254629631</v>
      </c>
    </row>
    <row r="210" spans="1:30" x14ac:dyDescent="0.35">
      <c r="A210" t="s">
        <v>30</v>
      </c>
      <c r="B210" t="s">
        <v>31</v>
      </c>
      <c r="C210" t="s">
        <v>470</v>
      </c>
      <c r="D210" t="s">
        <v>33</v>
      </c>
      <c r="E210" t="str">
        <f>"400445"</f>
        <v>400445</v>
      </c>
      <c r="F210" t="s">
        <v>424</v>
      </c>
      <c r="G210">
        <v>4</v>
      </c>
      <c r="H210">
        <v>0</v>
      </c>
      <c r="I210" t="s">
        <v>471</v>
      </c>
      <c r="J210" t="str">
        <f>"153000304"</f>
        <v>153000304</v>
      </c>
      <c r="K210" s="1">
        <v>47976</v>
      </c>
      <c r="M210" s="1">
        <v>46151</v>
      </c>
      <c r="N210" t="str">
        <f t="shared" si="32"/>
        <v>1329001937</v>
      </c>
      <c r="O210">
        <v>4</v>
      </c>
      <c r="P210" s="2">
        <v>46214.501030092593</v>
      </c>
      <c r="Q210" s="2">
        <v>46214.6953125</v>
      </c>
      <c r="R210" s="2">
        <v>46214.501030092593</v>
      </c>
      <c r="S210">
        <v>0</v>
      </c>
      <c r="T210" t="s">
        <v>67</v>
      </c>
      <c r="U210" t="s">
        <v>67</v>
      </c>
      <c r="W210" t="str">
        <f>"400445"</f>
        <v>400445</v>
      </c>
      <c r="X210" t="s">
        <v>41</v>
      </c>
      <c r="AD210" s="2">
        <v>46214.6953125</v>
      </c>
    </row>
    <row r="211" spans="1:30" x14ac:dyDescent="0.35">
      <c r="A211" t="s">
        <v>30</v>
      </c>
      <c r="B211" t="s">
        <v>31</v>
      </c>
      <c r="C211" t="s">
        <v>472</v>
      </c>
      <c r="D211" t="s">
        <v>33</v>
      </c>
      <c r="E211" t="str">
        <f t="shared" ref="E211:E226" si="33">"400441"</f>
        <v>400441</v>
      </c>
      <c r="F211" t="s">
        <v>65</v>
      </c>
      <c r="G211">
        <v>4</v>
      </c>
      <c r="H211">
        <v>0</v>
      </c>
      <c r="I211" t="s">
        <v>473</v>
      </c>
      <c r="J211" t="str">
        <f t="shared" ref="J211:J226" si="34">"153000416"</f>
        <v>153000416</v>
      </c>
      <c r="K211" s="1">
        <v>48023</v>
      </c>
      <c r="M211" s="1">
        <v>46198</v>
      </c>
      <c r="N211" t="str">
        <f t="shared" si="32"/>
        <v>1329001937</v>
      </c>
      <c r="O211">
        <v>4</v>
      </c>
      <c r="P211" s="2">
        <v>46214.500752314816</v>
      </c>
      <c r="Q211" s="2">
        <v>46214.6953587963</v>
      </c>
      <c r="R211" s="2">
        <v>46214.500752314816</v>
      </c>
      <c r="S211">
        <v>0</v>
      </c>
      <c r="T211" t="s">
        <v>67</v>
      </c>
      <c r="U211" t="s">
        <v>67</v>
      </c>
      <c r="W211" t="str">
        <f t="shared" ref="W211:W226" si="35">"400441"</f>
        <v>400441</v>
      </c>
      <c r="X211" t="s">
        <v>41</v>
      </c>
      <c r="AD211" s="2">
        <v>46214.6953587963</v>
      </c>
    </row>
    <row r="212" spans="1:30" x14ac:dyDescent="0.35">
      <c r="A212" t="s">
        <v>30</v>
      </c>
      <c r="B212" t="s">
        <v>31</v>
      </c>
      <c r="C212" t="s">
        <v>474</v>
      </c>
      <c r="D212" t="s">
        <v>33</v>
      </c>
      <c r="E212" t="str">
        <f t="shared" si="33"/>
        <v>400441</v>
      </c>
      <c r="F212" t="s">
        <v>65</v>
      </c>
      <c r="G212">
        <v>4</v>
      </c>
      <c r="H212">
        <v>0</v>
      </c>
      <c r="I212" t="s">
        <v>475</v>
      </c>
      <c r="J212" t="str">
        <f t="shared" si="34"/>
        <v>153000416</v>
      </c>
      <c r="K212" s="1">
        <v>48023</v>
      </c>
      <c r="M212" s="1">
        <v>46198</v>
      </c>
      <c r="N212" t="str">
        <f t="shared" si="32"/>
        <v>1329001937</v>
      </c>
      <c r="O212">
        <v>4</v>
      </c>
      <c r="P212" s="2">
        <v>46214.501157407409</v>
      </c>
      <c r="Q212" s="2">
        <v>46214.695451388892</v>
      </c>
      <c r="R212" s="2">
        <v>46214.501157407409</v>
      </c>
      <c r="S212">
        <v>0</v>
      </c>
      <c r="T212" t="s">
        <v>67</v>
      </c>
      <c r="U212" t="s">
        <v>67</v>
      </c>
      <c r="W212" t="str">
        <f t="shared" si="35"/>
        <v>400441</v>
      </c>
      <c r="X212" t="s">
        <v>41</v>
      </c>
      <c r="AD212" s="2">
        <v>46214.695451388892</v>
      </c>
    </row>
    <row r="213" spans="1:30" x14ac:dyDescent="0.35">
      <c r="A213" t="s">
        <v>30</v>
      </c>
      <c r="B213" t="s">
        <v>31</v>
      </c>
      <c r="C213" t="s">
        <v>476</v>
      </c>
      <c r="D213" t="s">
        <v>33</v>
      </c>
      <c r="E213" t="str">
        <f t="shared" si="33"/>
        <v>400441</v>
      </c>
      <c r="F213" t="s">
        <v>65</v>
      </c>
      <c r="G213">
        <v>4</v>
      </c>
      <c r="H213">
        <v>0</v>
      </c>
      <c r="I213" t="s">
        <v>477</v>
      </c>
      <c r="J213" t="str">
        <f t="shared" si="34"/>
        <v>153000416</v>
      </c>
      <c r="K213" s="1">
        <v>48023</v>
      </c>
      <c r="M213" s="1">
        <v>46198</v>
      </c>
      <c r="N213" t="str">
        <f t="shared" si="32"/>
        <v>1329001937</v>
      </c>
      <c r="O213">
        <v>4</v>
      </c>
      <c r="P213" s="2">
        <v>46214.502627314818</v>
      </c>
      <c r="Q213" s="2">
        <v>46214.695509259262</v>
      </c>
      <c r="R213" s="2">
        <v>46214.502627314818</v>
      </c>
      <c r="S213">
        <v>0</v>
      </c>
      <c r="T213" t="s">
        <v>67</v>
      </c>
      <c r="U213" t="s">
        <v>67</v>
      </c>
      <c r="W213" t="str">
        <f t="shared" si="35"/>
        <v>400441</v>
      </c>
      <c r="X213" t="s">
        <v>41</v>
      </c>
      <c r="AD213" s="2">
        <v>46214.695509259262</v>
      </c>
    </row>
    <row r="214" spans="1:30" x14ac:dyDescent="0.35">
      <c r="A214" t="s">
        <v>30</v>
      </c>
      <c r="B214" t="s">
        <v>31</v>
      </c>
      <c r="C214" t="s">
        <v>478</v>
      </c>
      <c r="D214" t="s">
        <v>33</v>
      </c>
      <c r="E214" t="str">
        <f t="shared" si="33"/>
        <v>400441</v>
      </c>
      <c r="F214" t="s">
        <v>65</v>
      </c>
      <c r="G214">
        <v>4</v>
      </c>
      <c r="H214">
        <v>0</v>
      </c>
      <c r="I214" t="s">
        <v>479</v>
      </c>
      <c r="J214" t="str">
        <f t="shared" si="34"/>
        <v>153000416</v>
      </c>
      <c r="K214" s="1">
        <v>48023</v>
      </c>
      <c r="M214" s="1">
        <v>46198</v>
      </c>
      <c r="N214" t="str">
        <f t="shared" si="32"/>
        <v>1329001937</v>
      </c>
      <c r="O214">
        <v>4</v>
      </c>
      <c r="P214" s="2">
        <v>46214.502974537034</v>
      </c>
      <c r="Q214" s="2">
        <v>46214.6955787037</v>
      </c>
      <c r="R214" s="2">
        <v>46214.502974537034</v>
      </c>
      <c r="S214">
        <v>0</v>
      </c>
      <c r="T214" t="s">
        <v>67</v>
      </c>
      <c r="U214" t="s">
        <v>67</v>
      </c>
      <c r="W214" t="str">
        <f t="shared" si="35"/>
        <v>400441</v>
      </c>
      <c r="X214" t="s">
        <v>41</v>
      </c>
      <c r="AD214" s="2">
        <v>46214.6955787037</v>
      </c>
    </row>
    <row r="215" spans="1:30" x14ac:dyDescent="0.35">
      <c r="A215" t="s">
        <v>30</v>
      </c>
      <c r="B215" t="s">
        <v>31</v>
      </c>
      <c r="C215" t="s">
        <v>480</v>
      </c>
      <c r="D215" t="s">
        <v>33</v>
      </c>
      <c r="E215" t="str">
        <f t="shared" si="33"/>
        <v>400441</v>
      </c>
      <c r="F215" t="s">
        <v>65</v>
      </c>
      <c r="G215">
        <v>4</v>
      </c>
      <c r="H215">
        <v>0</v>
      </c>
      <c r="I215" t="s">
        <v>481</v>
      </c>
      <c r="J215" t="str">
        <f t="shared" si="34"/>
        <v>153000416</v>
      </c>
      <c r="K215" s="1">
        <v>48023</v>
      </c>
      <c r="M215" s="1">
        <v>46198</v>
      </c>
      <c r="N215" t="str">
        <f t="shared" si="32"/>
        <v>1329001937</v>
      </c>
      <c r="O215">
        <v>4</v>
      </c>
      <c r="P215" s="2">
        <v>46214.499398148146</v>
      </c>
      <c r="Q215" s="2">
        <v>46214.695891203701</v>
      </c>
      <c r="R215" s="2">
        <v>46214.499398148146</v>
      </c>
      <c r="S215">
        <v>0</v>
      </c>
      <c r="T215" t="s">
        <v>67</v>
      </c>
      <c r="U215" t="s">
        <v>67</v>
      </c>
      <c r="W215" t="str">
        <f t="shared" si="35"/>
        <v>400441</v>
      </c>
      <c r="X215" t="s">
        <v>41</v>
      </c>
      <c r="AD215" s="2">
        <v>46214.695891203701</v>
      </c>
    </row>
    <row r="216" spans="1:30" x14ac:dyDescent="0.35">
      <c r="A216" t="s">
        <v>30</v>
      </c>
      <c r="B216" t="s">
        <v>31</v>
      </c>
      <c r="C216" t="s">
        <v>482</v>
      </c>
      <c r="D216" t="s">
        <v>33</v>
      </c>
      <c r="E216" t="str">
        <f t="shared" si="33"/>
        <v>400441</v>
      </c>
      <c r="F216" t="s">
        <v>65</v>
      </c>
      <c r="G216">
        <v>4</v>
      </c>
      <c r="H216">
        <v>0</v>
      </c>
      <c r="I216" t="s">
        <v>483</v>
      </c>
      <c r="J216" t="str">
        <f t="shared" si="34"/>
        <v>153000416</v>
      </c>
      <c r="K216" s="1">
        <v>48023</v>
      </c>
      <c r="M216" s="1">
        <v>46198</v>
      </c>
      <c r="N216" t="str">
        <f t="shared" si="32"/>
        <v>1329001937</v>
      </c>
      <c r="O216">
        <v>4</v>
      </c>
      <c r="P216" s="2">
        <v>46214.500254629631</v>
      </c>
      <c r="Q216" s="2">
        <v>46214.69599537037</v>
      </c>
      <c r="R216" s="2">
        <v>46214.500254629631</v>
      </c>
      <c r="S216">
        <v>0</v>
      </c>
      <c r="T216" t="s">
        <v>67</v>
      </c>
      <c r="U216" t="s">
        <v>67</v>
      </c>
      <c r="W216" t="str">
        <f t="shared" si="35"/>
        <v>400441</v>
      </c>
      <c r="X216" t="s">
        <v>41</v>
      </c>
      <c r="AD216" s="2">
        <v>46214.69599537037</v>
      </c>
    </row>
    <row r="217" spans="1:30" x14ac:dyDescent="0.35">
      <c r="A217" t="s">
        <v>30</v>
      </c>
      <c r="B217" t="s">
        <v>31</v>
      </c>
      <c r="C217" t="s">
        <v>484</v>
      </c>
      <c r="D217" t="s">
        <v>33</v>
      </c>
      <c r="E217" t="str">
        <f t="shared" si="33"/>
        <v>400441</v>
      </c>
      <c r="F217" t="s">
        <v>65</v>
      </c>
      <c r="G217">
        <v>4</v>
      </c>
      <c r="H217">
        <v>0</v>
      </c>
      <c r="I217" t="s">
        <v>485</v>
      </c>
      <c r="J217" t="str">
        <f t="shared" si="34"/>
        <v>153000416</v>
      </c>
      <c r="K217" s="1">
        <v>48023</v>
      </c>
      <c r="M217" s="1">
        <v>46198</v>
      </c>
      <c r="N217" t="str">
        <f t="shared" si="32"/>
        <v>1329001937</v>
      </c>
      <c r="O217">
        <v>4</v>
      </c>
      <c r="P217" s="2">
        <v>46214.501875000002</v>
      </c>
      <c r="Q217" s="2">
        <v>46214.696053240739</v>
      </c>
      <c r="R217" s="2">
        <v>46214.501875000002</v>
      </c>
      <c r="S217">
        <v>0</v>
      </c>
      <c r="T217" t="s">
        <v>67</v>
      </c>
      <c r="U217" t="s">
        <v>67</v>
      </c>
      <c r="W217" t="str">
        <f t="shared" si="35"/>
        <v>400441</v>
      </c>
      <c r="X217" t="s">
        <v>41</v>
      </c>
      <c r="AD217" s="2">
        <v>46214.696053240739</v>
      </c>
    </row>
    <row r="218" spans="1:30" x14ac:dyDescent="0.35">
      <c r="A218" t="s">
        <v>30</v>
      </c>
      <c r="B218" t="s">
        <v>31</v>
      </c>
      <c r="C218" t="s">
        <v>486</v>
      </c>
      <c r="D218" t="s">
        <v>33</v>
      </c>
      <c r="E218" t="str">
        <f t="shared" si="33"/>
        <v>400441</v>
      </c>
      <c r="F218" t="s">
        <v>65</v>
      </c>
      <c r="G218">
        <v>4</v>
      </c>
      <c r="H218">
        <v>0</v>
      </c>
      <c r="I218" t="s">
        <v>487</v>
      </c>
      <c r="J218" t="str">
        <f t="shared" si="34"/>
        <v>153000416</v>
      </c>
      <c r="K218" s="1">
        <v>48023</v>
      </c>
      <c r="M218" s="1">
        <v>46198</v>
      </c>
      <c r="N218" t="str">
        <f t="shared" si="32"/>
        <v>1329001937</v>
      </c>
      <c r="O218">
        <v>4</v>
      </c>
      <c r="P218" s="2">
        <v>46214.501967592594</v>
      </c>
      <c r="Q218" s="2">
        <v>46214.696157407408</v>
      </c>
      <c r="R218" s="2">
        <v>46214.501967592594</v>
      </c>
      <c r="S218">
        <v>0</v>
      </c>
      <c r="T218" t="s">
        <v>67</v>
      </c>
      <c r="U218" t="s">
        <v>67</v>
      </c>
      <c r="W218" t="str">
        <f t="shared" si="35"/>
        <v>400441</v>
      </c>
      <c r="X218" t="s">
        <v>41</v>
      </c>
      <c r="AD218" s="2">
        <v>46214.696157407408</v>
      </c>
    </row>
    <row r="219" spans="1:30" x14ac:dyDescent="0.35">
      <c r="A219" t="s">
        <v>30</v>
      </c>
      <c r="B219" t="s">
        <v>31</v>
      </c>
      <c r="C219" t="s">
        <v>488</v>
      </c>
      <c r="D219" t="s">
        <v>33</v>
      </c>
      <c r="E219" t="str">
        <f t="shared" si="33"/>
        <v>400441</v>
      </c>
      <c r="F219" t="s">
        <v>65</v>
      </c>
      <c r="G219">
        <v>4</v>
      </c>
      <c r="H219">
        <v>0</v>
      </c>
      <c r="I219" t="s">
        <v>489</v>
      </c>
      <c r="J219" t="str">
        <f t="shared" si="34"/>
        <v>153000416</v>
      </c>
      <c r="K219" s="1">
        <v>48023</v>
      </c>
      <c r="M219" s="1">
        <v>46198</v>
      </c>
      <c r="N219" t="str">
        <f t="shared" si="32"/>
        <v>1329001937</v>
      </c>
      <c r="O219">
        <v>4</v>
      </c>
      <c r="P219" s="2">
        <v>46214.501736111109</v>
      </c>
      <c r="Q219" s="2">
        <v>46214.696643518517</v>
      </c>
      <c r="R219" s="2">
        <v>46214.501736111109</v>
      </c>
      <c r="S219">
        <v>0</v>
      </c>
      <c r="T219" t="s">
        <v>67</v>
      </c>
      <c r="U219" t="s">
        <v>67</v>
      </c>
      <c r="W219" t="str">
        <f t="shared" si="35"/>
        <v>400441</v>
      </c>
      <c r="X219" t="s">
        <v>41</v>
      </c>
      <c r="AD219" s="2">
        <v>46214.696643518517</v>
      </c>
    </row>
    <row r="220" spans="1:30" x14ac:dyDescent="0.35">
      <c r="A220" t="s">
        <v>30</v>
      </c>
      <c r="B220" t="s">
        <v>31</v>
      </c>
      <c r="C220" t="s">
        <v>490</v>
      </c>
      <c r="D220" t="s">
        <v>33</v>
      </c>
      <c r="E220" t="str">
        <f t="shared" si="33"/>
        <v>400441</v>
      </c>
      <c r="F220" t="s">
        <v>65</v>
      </c>
      <c r="G220">
        <v>4</v>
      </c>
      <c r="H220">
        <v>0</v>
      </c>
      <c r="I220" t="s">
        <v>491</v>
      </c>
      <c r="J220" t="str">
        <f t="shared" si="34"/>
        <v>153000416</v>
      </c>
      <c r="K220" s="1">
        <v>48023</v>
      </c>
      <c r="M220" s="1">
        <v>46198</v>
      </c>
      <c r="N220" t="str">
        <f t="shared" si="32"/>
        <v>1329001937</v>
      </c>
      <c r="O220">
        <v>4</v>
      </c>
      <c r="P220" s="2">
        <v>46214.500358796293</v>
      </c>
      <c r="Q220" s="2">
        <v>46214.696701388886</v>
      </c>
      <c r="R220" s="2">
        <v>46214.500358796293</v>
      </c>
      <c r="S220">
        <v>0</v>
      </c>
      <c r="T220" t="s">
        <v>67</v>
      </c>
      <c r="U220" t="s">
        <v>67</v>
      </c>
      <c r="W220" t="str">
        <f t="shared" si="35"/>
        <v>400441</v>
      </c>
      <c r="X220" t="s">
        <v>41</v>
      </c>
      <c r="AD220" s="2">
        <v>46214.696701388886</v>
      </c>
    </row>
    <row r="221" spans="1:30" x14ac:dyDescent="0.35">
      <c r="A221" t="s">
        <v>30</v>
      </c>
      <c r="B221" t="s">
        <v>31</v>
      </c>
      <c r="C221" t="s">
        <v>492</v>
      </c>
      <c r="D221" t="s">
        <v>33</v>
      </c>
      <c r="E221" t="str">
        <f t="shared" si="33"/>
        <v>400441</v>
      </c>
      <c r="F221" t="s">
        <v>65</v>
      </c>
      <c r="G221">
        <v>4</v>
      </c>
      <c r="H221">
        <v>0</v>
      </c>
      <c r="I221" t="s">
        <v>493</v>
      </c>
      <c r="J221" t="str">
        <f t="shared" si="34"/>
        <v>153000416</v>
      </c>
      <c r="K221" s="1">
        <v>48023</v>
      </c>
      <c r="M221" s="1">
        <v>46198</v>
      </c>
      <c r="N221" t="str">
        <f t="shared" si="32"/>
        <v>1329001937</v>
      </c>
      <c r="O221">
        <v>4</v>
      </c>
      <c r="P221" s="2">
        <v>46214.50209490741</v>
      </c>
      <c r="Q221" s="2">
        <v>46214.696770833332</v>
      </c>
      <c r="R221" s="2">
        <v>46214.50209490741</v>
      </c>
      <c r="S221">
        <v>0</v>
      </c>
      <c r="T221" t="s">
        <v>67</v>
      </c>
      <c r="U221" t="s">
        <v>67</v>
      </c>
      <c r="W221" t="str">
        <f t="shared" si="35"/>
        <v>400441</v>
      </c>
      <c r="X221" t="s">
        <v>41</v>
      </c>
      <c r="AD221" s="2">
        <v>46214.696770833332</v>
      </c>
    </row>
    <row r="222" spans="1:30" x14ac:dyDescent="0.35">
      <c r="A222" t="s">
        <v>30</v>
      </c>
      <c r="B222" t="s">
        <v>31</v>
      </c>
      <c r="C222" t="s">
        <v>494</v>
      </c>
      <c r="D222" t="s">
        <v>33</v>
      </c>
      <c r="E222" t="str">
        <f t="shared" si="33"/>
        <v>400441</v>
      </c>
      <c r="F222" t="s">
        <v>65</v>
      </c>
      <c r="G222">
        <v>4</v>
      </c>
      <c r="H222">
        <v>0</v>
      </c>
      <c r="I222" t="s">
        <v>495</v>
      </c>
      <c r="J222" t="str">
        <f t="shared" si="34"/>
        <v>153000416</v>
      </c>
      <c r="K222" s="1">
        <v>48023</v>
      </c>
      <c r="M222" s="1">
        <v>46198</v>
      </c>
      <c r="N222" t="str">
        <f t="shared" si="32"/>
        <v>1329001937</v>
      </c>
      <c r="O222">
        <v>4</v>
      </c>
      <c r="P222" s="2">
        <v>46214.500451388885</v>
      </c>
      <c r="Q222" s="2">
        <v>46214.696828703702</v>
      </c>
      <c r="R222" s="2">
        <v>46214.500451388885</v>
      </c>
      <c r="S222">
        <v>0</v>
      </c>
      <c r="T222" t="s">
        <v>67</v>
      </c>
      <c r="U222" t="s">
        <v>67</v>
      </c>
      <c r="W222" t="str">
        <f t="shared" si="35"/>
        <v>400441</v>
      </c>
      <c r="X222" t="s">
        <v>41</v>
      </c>
      <c r="AD222" s="2">
        <v>46214.696828703702</v>
      </c>
    </row>
    <row r="223" spans="1:30" x14ac:dyDescent="0.35">
      <c r="A223" t="s">
        <v>30</v>
      </c>
      <c r="B223" t="s">
        <v>31</v>
      </c>
      <c r="C223" t="s">
        <v>496</v>
      </c>
      <c r="D223" t="s">
        <v>33</v>
      </c>
      <c r="E223" t="str">
        <f t="shared" si="33"/>
        <v>400441</v>
      </c>
      <c r="F223" t="s">
        <v>65</v>
      </c>
      <c r="G223">
        <v>4</v>
      </c>
      <c r="H223">
        <v>0</v>
      </c>
      <c r="I223" t="s">
        <v>497</v>
      </c>
      <c r="J223" t="str">
        <f t="shared" si="34"/>
        <v>153000416</v>
      </c>
      <c r="K223" s="1">
        <v>48023</v>
      </c>
      <c r="M223" s="1">
        <v>46198</v>
      </c>
      <c r="N223" t="str">
        <f t="shared" si="32"/>
        <v>1329001937</v>
      </c>
      <c r="O223">
        <v>4</v>
      </c>
      <c r="P223" s="2">
        <v>46214.501608796294</v>
      </c>
      <c r="Q223" s="2">
        <v>46214.696886574071</v>
      </c>
      <c r="R223" s="2">
        <v>46214.501608796294</v>
      </c>
      <c r="S223">
        <v>0</v>
      </c>
      <c r="T223" t="s">
        <v>67</v>
      </c>
      <c r="U223" t="s">
        <v>67</v>
      </c>
      <c r="W223" t="str">
        <f t="shared" si="35"/>
        <v>400441</v>
      </c>
      <c r="X223" t="s">
        <v>41</v>
      </c>
      <c r="AD223" s="2">
        <v>46214.696886574071</v>
      </c>
    </row>
    <row r="224" spans="1:30" x14ac:dyDescent="0.35">
      <c r="A224" t="s">
        <v>30</v>
      </c>
      <c r="B224" t="s">
        <v>31</v>
      </c>
      <c r="C224" t="s">
        <v>498</v>
      </c>
      <c r="D224" t="s">
        <v>33</v>
      </c>
      <c r="E224" t="str">
        <f t="shared" si="33"/>
        <v>400441</v>
      </c>
      <c r="F224" t="s">
        <v>65</v>
      </c>
      <c r="G224">
        <v>4</v>
      </c>
      <c r="H224">
        <v>0</v>
      </c>
      <c r="I224" t="s">
        <v>499</v>
      </c>
      <c r="J224" t="str">
        <f t="shared" si="34"/>
        <v>153000416</v>
      </c>
      <c r="K224" s="1">
        <v>48023</v>
      </c>
      <c r="M224" s="1">
        <v>46198</v>
      </c>
      <c r="N224" t="str">
        <f t="shared" si="32"/>
        <v>1329001937</v>
      </c>
      <c r="O224">
        <v>4</v>
      </c>
      <c r="P224" s="2">
        <v>46214.502187500002</v>
      </c>
      <c r="Q224" s="2">
        <v>46214.697118055556</v>
      </c>
      <c r="R224" s="2">
        <v>46214.502187500002</v>
      </c>
      <c r="S224">
        <v>0</v>
      </c>
      <c r="T224" t="s">
        <v>67</v>
      </c>
      <c r="U224" t="s">
        <v>67</v>
      </c>
      <c r="W224" t="str">
        <f t="shared" si="35"/>
        <v>400441</v>
      </c>
      <c r="X224" t="s">
        <v>41</v>
      </c>
      <c r="AD224" s="2">
        <v>46214.697118055556</v>
      </c>
    </row>
    <row r="225" spans="1:30" x14ac:dyDescent="0.35">
      <c r="A225" t="s">
        <v>30</v>
      </c>
      <c r="B225" t="s">
        <v>31</v>
      </c>
      <c r="C225" t="s">
        <v>500</v>
      </c>
      <c r="D225" t="s">
        <v>33</v>
      </c>
      <c r="E225" t="str">
        <f t="shared" si="33"/>
        <v>400441</v>
      </c>
      <c r="F225" t="s">
        <v>65</v>
      </c>
      <c r="G225">
        <v>4</v>
      </c>
      <c r="H225">
        <v>0</v>
      </c>
      <c r="I225" t="s">
        <v>501</v>
      </c>
      <c r="J225" t="str">
        <f t="shared" si="34"/>
        <v>153000416</v>
      </c>
      <c r="K225" s="1">
        <v>48023</v>
      </c>
      <c r="M225" s="1">
        <v>46198</v>
      </c>
      <c r="N225" t="str">
        <f t="shared" si="32"/>
        <v>1329001937</v>
      </c>
      <c r="O225">
        <v>4</v>
      </c>
      <c r="P225" s="2">
        <v>46214.503576388888</v>
      </c>
      <c r="Q225" s="2">
        <v>46214.697187500002</v>
      </c>
      <c r="R225" s="2">
        <v>46214.503576388888</v>
      </c>
      <c r="S225">
        <v>0</v>
      </c>
      <c r="T225" t="s">
        <v>67</v>
      </c>
      <c r="U225" t="s">
        <v>67</v>
      </c>
      <c r="W225" t="str">
        <f t="shared" si="35"/>
        <v>400441</v>
      </c>
      <c r="X225" t="s">
        <v>41</v>
      </c>
      <c r="AD225" s="2">
        <v>46214.697175925925</v>
      </c>
    </row>
    <row r="226" spans="1:30" x14ac:dyDescent="0.35">
      <c r="A226" t="s">
        <v>30</v>
      </c>
      <c r="B226" t="s">
        <v>31</v>
      </c>
      <c r="C226" t="s">
        <v>502</v>
      </c>
      <c r="D226" t="s">
        <v>33</v>
      </c>
      <c r="E226" t="str">
        <f t="shared" si="33"/>
        <v>400441</v>
      </c>
      <c r="F226" t="s">
        <v>65</v>
      </c>
      <c r="G226">
        <v>4</v>
      </c>
      <c r="H226">
        <v>0</v>
      </c>
      <c r="I226" t="s">
        <v>503</v>
      </c>
      <c r="J226" t="str">
        <f t="shared" si="34"/>
        <v>153000416</v>
      </c>
      <c r="K226" s="1">
        <v>48023</v>
      </c>
      <c r="M226" s="1">
        <v>46198</v>
      </c>
      <c r="N226" t="str">
        <f t="shared" si="32"/>
        <v>1329001937</v>
      </c>
      <c r="O226">
        <v>4</v>
      </c>
      <c r="P226" s="2">
        <v>46214.500532407408</v>
      </c>
      <c r="Q226" s="2">
        <v>46214.697256944448</v>
      </c>
      <c r="R226" s="2">
        <v>46214.500532407408</v>
      </c>
      <c r="S226">
        <v>0</v>
      </c>
      <c r="T226" t="s">
        <v>67</v>
      </c>
      <c r="U226" t="s">
        <v>67</v>
      </c>
      <c r="W226" t="str">
        <f t="shared" si="35"/>
        <v>400441</v>
      </c>
      <c r="X226" t="s">
        <v>41</v>
      </c>
      <c r="AD226" s="2">
        <v>46214.697256944448</v>
      </c>
    </row>
    <row r="227" spans="1:30" x14ac:dyDescent="0.35">
      <c r="A227" t="s">
        <v>30</v>
      </c>
      <c r="B227" t="s">
        <v>31</v>
      </c>
      <c r="C227" t="s">
        <v>504</v>
      </c>
      <c r="D227" t="s">
        <v>33</v>
      </c>
      <c r="E227" t="str">
        <f>"400445"</f>
        <v>400445</v>
      </c>
      <c r="F227" t="s">
        <v>424</v>
      </c>
      <c r="G227">
        <v>4</v>
      </c>
      <c r="H227">
        <v>0</v>
      </c>
      <c r="I227" t="s">
        <v>505</v>
      </c>
      <c r="J227" t="str">
        <f>"153000304"</f>
        <v>153000304</v>
      </c>
      <c r="K227" s="1">
        <v>47976</v>
      </c>
      <c r="M227" s="1">
        <v>46151</v>
      </c>
      <c r="N227" t="str">
        <f t="shared" si="32"/>
        <v>1329001937</v>
      </c>
      <c r="O227">
        <v>4</v>
      </c>
      <c r="P227" s="2">
        <v>46214.501493055555</v>
      </c>
      <c r="Q227" s="2">
        <v>46214.697326388887</v>
      </c>
      <c r="R227" s="2">
        <v>46214.501493055555</v>
      </c>
      <c r="S227">
        <v>0</v>
      </c>
      <c r="T227" t="s">
        <v>67</v>
      </c>
      <c r="U227" t="s">
        <v>67</v>
      </c>
      <c r="W227" t="str">
        <f>"400445"</f>
        <v>400445</v>
      </c>
      <c r="X227" t="s">
        <v>41</v>
      </c>
      <c r="AD227" s="2">
        <v>46214.697326388887</v>
      </c>
    </row>
    <row r="228" spans="1:30" x14ac:dyDescent="0.35">
      <c r="A228" t="s">
        <v>30</v>
      </c>
      <c r="B228" t="s">
        <v>31</v>
      </c>
      <c r="C228" t="s">
        <v>506</v>
      </c>
      <c r="D228" t="s">
        <v>33</v>
      </c>
      <c r="E228" t="str">
        <f>"400445"</f>
        <v>400445</v>
      </c>
      <c r="F228" t="s">
        <v>424</v>
      </c>
      <c r="G228">
        <v>4</v>
      </c>
      <c r="H228">
        <v>0</v>
      </c>
      <c r="I228" t="s">
        <v>507</v>
      </c>
      <c r="J228" t="str">
        <f>"153000304"</f>
        <v>153000304</v>
      </c>
      <c r="K228" s="1">
        <v>47976</v>
      </c>
      <c r="M228" s="1">
        <v>46151</v>
      </c>
      <c r="N228" t="str">
        <f t="shared" si="32"/>
        <v>1329001937</v>
      </c>
      <c r="O228">
        <v>4</v>
      </c>
      <c r="P228" s="2">
        <v>46214.502303240741</v>
      </c>
      <c r="Q228" s="2">
        <v>46214.69740740741</v>
      </c>
      <c r="R228" s="2">
        <v>46214.502303240741</v>
      </c>
      <c r="S228">
        <v>0</v>
      </c>
      <c r="T228" t="s">
        <v>67</v>
      </c>
      <c r="U228" t="s">
        <v>67</v>
      </c>
      <c r="W228" t="str">
        <f>"400445"</f>
        <v>400445</v>
      </c>
      <c r="X228" t="s">
        <v>41</v>
      </c>
      <c r="AD228" s="2">
        <v>46214.69740740741</v>
      </c>
    </row>
    <row r="229" spans="1:30" x14ac:dyDescent="0.35">
      <c r="A229" t="s">
        <v>30</v>
      </c>
      <c r="B229" t="s">
        <v>31</v>
      </c>
      <c r="C229" t="s">
        <v>508</v>
      </c>
      <c r="D229" t="s">
        <v>33</v>
      </c>
      <c r="E229" t="str">
        <f>"400441"</f>
        <v>400441</v>
      </c>
      <c r="F229" t="s">
        <v>65</v>
      </c>
      <c r="G229">
        <v>4</v>
      </c>
      <c r="H229">
        <v>0</v>
      </c>
      <c r="I229" t="s">
        <v>509</v>
      </c>
      <c r="J229" t="str">
        <f>"153000416"</f>
        <v>153000416</v>
      </c>
      <c r="K229" s="1">
        <v>48023</v>
      </c>
      <c r="M229" s="1">
        <v>46198</v>
      </c>
      <c r="N229" t="str">
        <f t="shared" si="32"/>
        <v>1329001937</v>
      </c>
      <c r="O229">
        <v>4</v>
      </c>
      <c r="P229" s="2">
        <v>46214.500648148147</v>
      </c>
      <c r="Q229" s="2">
        <v>46214.697476851848</v>
      </c>
      <c r="R229" s="2">
        <v>46214.500648148147</v>
      </c>
      <c r="S229">
        <v>0</v>
      </c>
      <c r="T229" t="s">
        <v>67</v>
      </c>
      <c r="U229" t="s">
        <v>67</v>
      </c>
      <c r="W229" t="str">
        <f>"400441"</f>
        <v>400441</v>
      </c>
      <c r="X229" t="s">
        <v>41</v>
      </c>
      <c r="AD229" s="2">
        <v>46214.697476851848</v>
      </c>
    </row>
    <row r="230" spans="1:30" x14ac:dyDescent="0.35">
      <c r="A230" t="s">
        <v>30</v>
      </c>
      <c r="B230" t="s">
        <v>31</v>
      </c>
      <c r="C230" t="s">
        <v>510</v>
      </c>
      <c r="D230" t="s">
        <v>33</v>
      </c>
      <c r="E230" t="str">
        <f>"400441"</f>
        <v>400441</v>
      </c>
      <c r="F230" t="s">
        <v>65</v>
      </c>
      <c r="G230">
        <v>4</v>
      </c>
      <c r="H230">
        <v>0</v>
      </c>
      <c r="I230" t="s">
        <v>511</v>
      </c>
      <c r="J230" t="str">
        <f>"153000416"</f>
        <v>153000416</v>
      </c>
      <c r="K230" s="1">
        <v>48023</v>
      </c>
      <c r="M230" s="1">
        <v>46198</v>
      </c>
      <c r="N230" t="str">
        <f t="shared" si="32"/>
        <v>1329001937</v>
      </c>
      <c r="O230">
        <v>4</v>
      </c>
      <c r="P230" s="2">
        <v>46214.503460648149</v>
      </c>
      <c r="Q230" s="2">
        <v>46214.697534722225</v>
      </c>
      <c r="R230" s="2">
        <v>46214.503460648149</v>
      </c>
      <c r="S230">
        <v>0</v>
      </c>
      <c r="T230" t="s">
        <v>67</v>
      </c>
      <c r="U230" t="s">
        <v>67</v>
      </c>
      <c r="W230" t="str">
        <f>"400441"</f>
        <v>400441</v>
      </c>
      <c r="X230" t="s">
        <v>41</v>
      </c>
      <c r="AD230" s="2">
        <v>46214.697534722225</v>
      </c>
    </row>
    <row r="231" spans="1:30" x14ac:dyDescent="0.35">
      <c r="A231" t="s">
        <v>30</v>
      </c>
      <c r="B231" t="s">
        <v>31</v>
      </c>
      <c r="C231" t="s">
        <v>512</v>
      </c>
      <c r="D231" t="s">
        <v>33</v>
      </c>
      <c r="E231" t="str">
        <f>"400441"</f>
        <v>400441</v>
      </c>
      <c r="F231" t="s">
        <v>65</v>
      </c>
      <c r="G231">
        <v>4</v>
      </c>
      <c r="H231">
        <v>0</v>
      </c>
      <c r="I231" t="s">
        <v>513</v>
      </c>
      <c r="J231" t="str">
        <f>"153000416"</f>
        <v>153000416</v>
      </c>
      <c r="K231" s="1">
        <v>48023</v>
      </c>
      <c r="M231" s="1">
        <v>46198</v>
      </c>
      <c r="N231" t="str">
        <f t="shared" si="32"/>
        <v>1329001937</v>
      </c>
      <c r="O231">
        <v>4</v>
      </c>
      <c r="P231" s="2">
        <v>46214.501261574071</v>
      </c>
      <c r="Q231" s="2">
        <v>46214.697743055556</v>
      </c>
      <c r="R231" s="2">
        <v>46214.501261574071</v>
      </c>
      <c r="S231">
        <v>0</v>
      </c>
      <c r="T231" t="s">
        <v>67</v>
      </c>
      <c r="U231" t="s">
        <v>67</v>
      </c>
      <c r="W231" t="str">
        <f>"400441"</f>
        <v>400441</v>
      </c>
      <c r="X231" t="s">
        <v>41</v>
      </c>
      <c r="AD231" s="2">
        <v>46214.697743055556</v>
      </c>
    </row>
    <row r="232" spans="1:30" x14ac:dyDescent="0.35">
      <c r="A232" t="s">
        <v>30</v>
      </c>
      <c r="B232" t="s">
        <v>31</v>
      </c>
      <c r="C232" t="s">
        <v>514</v>
      </c>
      <c r="D232" t="s">
        <v>33</v>
      </c>
      <c r="E232" t="str">
        <f>"400445"</f>
        <v>400445</v>
      </c>
      <c r="F232" t="s">
        <v>424</v>
      </c>
      <c r="G232">
        <v>4</v>
      </c>
      <c r="H232">
        <v>0</v>
      </c>
      <c r="I232" t="s">
        <v>515</v>
      </c>
      <c r="J232" t="str">
        <f>"153000304"</f>
        <v>153000304</v>
      </c>
      <c r="K232" s="1">
        <v>47976</v>
      </c>
      <c r="M232" s="1">
        <v>46151</v>
      </c>
      <c r="N232" t="str">
        <f t="shared" si="32"/>
        <v>1329001937</v>
      </c>
      <c r="O232">
        <v>4</v>
      </c>
      <c r="P232" s="2">
        <v>46214.502418981479</v>
      </c>
      <c r="Q232" s="2">
        <v>46214.697800925926</v>
      </c>
      <c r="R232" s="2">
        <v>46214.502418981479</v>
      </c>
      <c r="S232">
        <v>0</v>
      </c>
      <c r="T232" t="s">
        <v>67</v>
      </c>
      <c r="U232" t="s">
        <v>67</v>
      </c>
      <c r="W232" t="str">
        <f>"400445"</f>
        <v>400445</v>
      </c>
      <c r="X232" t="s">
        <v>41</v>
      </c>
      <c r="AD232" s="2">
        <v>46214.697800925926</v>
      </c>
    </row>
    <row r="233" spans="1:30" x14ac:dyDescent="0.35">
      <c r="A233" t="s">
        <v>30</v>
      </c>
      <c r="B233" t="s">
        <v>31</v>
      </c>
      <c r="C233" t="s">
        <v>516</v>
      </c>
      <c r="D233" t="s">
        <v>33</v>
      </c>
      <c r="E233" t="str">
        <f>"400441"</f>
        <v>400441</v>
      </c>
      <c r="F233" t="s">
        <v>65</v>
      </c>
      <c r="G233">
        <v>4</v>
      </c>
      <c r="H233">
        <v>0</v>
      </c>
      <c r="I233" t="s">
        <v>517</v>
      </c>
      <c r="J233" t="str">
        <f>"153000416"</f>
        <v>153000416</v>
      </c>
      <c r="K233" s="1">
        <v>48023</v>
      </c>
      <c r="M233" s="1">
        <v>46198</v>
      </c>
      <c r="N233" t="str">
        <f t="shared" si="32"/>
        <v>1329001937</v>
      </c>
      <c r="O233">
        <v>4</v>
      </c>
      <c r="P233" s="2">
        <v>46214.502534722225</v>
      </c>
      <c r="Q233" s="2">
        <v>46214.697939814818</v>
      </c>
      <c r="R233" s="2">
        <v>46214.502534722225</v>
      </c>
      <c r="S233">
        <v>0</v>
      </c>
      <c r="T233" t="s">
        <v>67</v>
      </c>
      <c r="U233" t="s">
        <v>67</v>
      </c>
      <c r="W233" t="str">
        <f>"400441"</f>
        <v>400441</v>
      </c>
      <c r="X233" t="s">
        <v>41</v>
      </c>
      <c r="AD233" s="2">
        <v>46214.697939814818</v>
      </c>
    </row>
    <row r="234" spans="1:30" x14ac:dyDescent="0.35">
      <c r="A234" t="s">
        <v>30</v>
      </c>
      <c r="B234" t="s">
        <v>31</v>
      </c>
      <c r="C234" t="s">
        <v>518</v>
      </c>
      <c r="D234" t="s">
        <v>33</v>
      </c>
      <c r="E234" t="str">
        <f>"400405"</f>
        <v>400405</v>
      </c>
      <c r="F234" t="s">
        <v>519</v>
      </c>
      <c r="G234">
        <v>52</v>
      </c>
      <c r="H234">
        <v>0</v>
      </c>
      <c r="I234" t="s">
        <v>520</v>
      </c>
      <c r="J234" t="str">
        <f>"153000440"</f>
        <v>153000440</v>
      </c>
      <c r="K234" s="1">
        <v>48036</v>
      </c>
      <c r="M234" s="1">
        <v>46211</v>
      </c>
      <c r="N234" t="str">
        <f>"1329001938"</f>
        <v>1329001938</v>
      </c>
      <c r="O234">
        <v>52</v>
      </c>
      <c r="P234" s="2">
        <v>46214.509965277779</v>
      </c>
      <c r="Q234" s="2">
        <v>46214.701053240744</v>
      </c>
      <c r="R234" s="2">
        <v>46214.509965277779</v>
      </c>
      <c r="S234">
        <v>0</v>
      </c>
      <c r="T234" t="s">
        <v>67</v>
      </c>
      <c r="U234" t="s">
        <v>67</v>
      </c>
      <c r="W234" t="str">
        <f>"400405"</f>
        <v>400405</v>
      </c>
      <c r="X234" t="s">
        <v>37</v>
      </c>
      <c r="AD234" s="2">
        <v>46214.701053240744</v>
      </c>
    </row>
    <row r="235" spans="1:30" x14ac:dyDescent="0.35">
      <c r="A235" t="s">
        <v>30</v>
      </c>
      <c r="B235" t="s">
        <v>31</v>
      </c>
      <c r="C235" t="s">
        <v>521</v>
      </c>
      <c r="D235" t="s">
        <v>33</v>
      </c>
      <c r="E235" t="str">
        <f>"400405"</f>
        <v>400405</v>
      </c>
      <c r="F235" t="s">
        <v>519</v>
      </c>
      <c r="G235">
        <v>52</v>
      </c>
      <c r="H235">
        <v>0</v>
      </c>
      <c r="I235" t="s">
        <v>522</v>
      </c>
      <c r="J235" t="str">
        <f>"153000440"</f>
        <v>153000440</v>
      </c>
      <c r="K235" s="1">
        <v>48036</v>
      </c>
      <c r="M235" s="1">
        <v>46211</v>
      </c>
      <c r="N235" t="str">
        <f>"1329001938"</f>
        <v>1329001938</v>
      </c>
      <c r="O235">
        <v>52</v>
      </c>
      <c r="P235" s="2">
        <v>46214.509768518517</v>
      </c>
      <c r="Q235" s="2">
        <v>46214.701481481483</v>
      </c>
      <c r="R235" s="2">
        <v>46214.509768518517</v>
      </c>
      <c r="S235">
        <v>0</v>
      </c>
      <c r="T235" t="s">
        <v>67</v>
      </c>
      <c r="U235" t="s">
        <v>67</v>
      </c>
      <c r="W235" t="str">
        <f>"400405"</f>
        <v>400405</v>
      </c>
      <c r="X235" t="s">
        <v>37</v>
      </c>
      <c r="AD235" s="2">
        <v>46214.701481481483</v>
      </c>
    </row>
    <row r="236" spans="1:30" x14ac:dyDescent="0.35">
      <c r="A236" t="s">
        <v>30</v>
      </c>
      <c r="B236" t="s">
        <v>31</v>
      </c>
      <c r="C236" t="s">
        <v>523</v>
      </c>
      <c r="D236" t="s">
        <v>33</v>
      </c>
      <c r="E236" t="str">
        <f t="shared" ref="E236:E264" si="36">"400441"</f>
        <v>400441</v>
      </c>
      <c r="F236" t="s">
        <v>65</v>
      </c>
      <c r="G236">
        <v>4</v>
      </c>
      <c r="H236">
        <v>0</v>
      </c>
      <c r="I236" t="s">
        <v>524</v>
      </c>
      <c r="J236" t="str">
        <f>"153000386"</f>
        <v>153000386</v>
      </c>
      <c r="K236" s="1">
        <v>48013</v>
      </c>
      <c r="M236" s="1">
        <v>46188</v>
      </c>
      <c r="N236" t="str">
        <f t="shared" ref="N236:N264" si="37">"1329001942"</f>
        <v>1329001942</v>
      </c>
      <c r="O236">
        <v>4</v>
      </c>
      <c r="P236" s="2">
        <v>46215.61314814815</v>
      </c>
      <c r="Q236" s="2">
        <v>46215.651469907411</v>
      </c>
      <c r="R236" s="2">
        <v>46215.61314814815</v>
      </c>
      <c r="S236">
        <v>0</v>
      </c>
      <c r="T236" t="s">
        <v>67</v>
      </c>
      <c r="U236" t="s">
        <v>67</v>
      </c>
      <c r="W236" t="str">
        <f t="shared" ref="W236:W264" si="38">"400441"</f>
        <v>400441</v>
      </c>
      <c r="X236" t="s">
        <v>41</v>
      </c>
      <c r="AD236" s="2">
        <v>46215.651469907411</v>
      </c>
    </row>
    <row r="237" spans="1:30" x14ac:dyDescent="0.35">
      <c r="A237" t="s">
        <v>30</v>
      </c>
      <c r="B237" t="s">
        <v>31</v>
      </c>
      <c r="C237" t="s">
        <v>525</v>
      </c>
      <c r="D237" t="s">
        <v>33</v>
      </c>
      <c r="E237" t="str">
        <f t="shared" si="36"/>
        <v>400441</v>
      </c>
      <c r="F237" t="s">
        <v>65</v>
      </c>
      <c r="G237">
        <v>4</v>
      </c>
      <c r="H237">
        <v>0</v>
      </c>
      <c r="I237" t="s">
        <v>526</v>
      </c>
      <c r="J237" t="str">
        <f>"153000386"</f>
        <v>153000386</v>
      </c>
      <c r="K237" s="1">
        <v>48013</v>
      </c>
      <c r="M237" s="1">
        <v>46188</v>
      </c>
      <c r="N237" t="str">
        <f t="shared" si="37"/>
        <v>1329001942</v>
      </c>
      <c r="O237">
        <v>4</v>
      </c>
      <c r="P237" s="2">
        <v>46215.613240740742</v>
      </c>
      <c r="Q237" s="2">
        <v>46215.653483796297</v>
      </c>
      <c r="R237" s="2">
        <v>46215.613240740742</v>
      </c>
      <c r="S237">
        <v>0</v>
      </c>
      <c r="T237" t="s">
        <v>67</v>
      </c>
      <c r="U237" t="s">
        <v>67</v>
      </c>
      <c r="V237" t="s">
        <v>527</v>
      </c>
      <c r="W237" t="str">
        <f t="shared" si="38"/>
        <v>400441</v>
      </c>
      <c r="X237" t="s">
        <v>41</v>
      </c>
      <c r="AD237" s="2">
        <v>46215.652974537035</v>
      </c>
    </row>
    <row r="238" spans="1:30" x14ac:dyDescent="0.35">
      <c r="A238" t="s">
        <v>30</v>
      </c>
      <c r="B238" t="s">
        <v>31</v>
      </c>
      <c r="C238" t="s">
        <v>528</v>
      </c>
      <c r="D238" t="s">
        <v>33</v>
      </c>
      <c r="E238" t="str">
        <f t="shared" si="36"/>
        <v>400441</v>
      </c>
      <c r="F238" t="s">
        <v>65</v>
      </c>
      <c r="G238">
        <v>4</v>
      </c>
      <c r="H238">
        <v>0</v>
      </c>
      <c r="I238" t="s">
        <v>527</v>
      </c>
      <c r="J238" t="str">
        <f t="shared" ref="J238:J245" si="39">"153000416"</f>
        <v>153000416</v>
      </c>
      <c r="K238" s="1">
        <v>48023</v>
      </c>
      <c r="M238" s="1">
        <v>46198</v>
      </c>
      <c r="N238" t="str">
        <f t="shared" si="37"/>
        <v>1329001942</v>
      </c>
      <c r="O238">
        <v>4</v>
      </c>
      <c r="P238" s="2">
        <v>46215.613310185188</v>
      </c>
      <c r="Q238" s="2">
        <v>46215.655057870368</v>
      </c>
      <c r="R238" s="2">
        <v>46215.613310185188</v>
      </c>
      <c r="S238">
        <v>0</v>
      </c>
      <c r="T238" t="s">
        <v>67</v>
      </c>
      <c r="U238" t="s">
        <v>67</v>
      </c>
      <c r="W238" t="str">
        <f t="shared" si="38"/>
        <v>400441</v>
      </c>
      <c r="X238" t="s">
        <v>41</v>
      </c>
      <c r="AD238" s="2">
        <v>46215.655057870368</v>
      </c>
    </row>
    <row r="239" spans="1:30" x14ac:dyDescent="0.35">
      <c r="A239" t="s">
        <v>30</v>
      </c>
      <c r="B239" t="s">
        <v>31</v>
      </c>
      <c r="C239" t="s">
        <v>529</v>
      </c>
      <c r="D239" t="s">
        <v>33</v>
      </c>
      <c r="E239" t="str">
        <f t="shared" si="36"/>
        <v>400441</v>
      </c>
      <c r="F239" t="s">
        <v>65</v>
      </c>
      <c r="G239">
        <v>4</v>
      </c>
      <c r="H239">
        <v>0</v>
      </c>
      <c r="I239" t="s">
        <v>530</v>
      </c>
      <c r="J239" t="str">
        <f t="shared" si="39"/>
        <v>153000416</v>
      </c>
      <c r="K239" s="1">
        <v>48023</v>
      </c>
      <c r="M239" s="1">
        <v>46198</v>
      </c>
      <c r="N239" t="str">
        <f t="shared" si="37"/>
        <v>1329001942</v>
      </c>
      <c r="O239">
        <v>4</v>
      </c>
      <c r="P239" s="2">
        <v>46215.613391203704</v>
      </c>
      <c r="Q239" s="2">
        <v>46215.656550925924</v>
      </c>
      <c r="R239" s="2">
        <v>46215.613391203704</v>
      </c>
      <c r="S239">
        <v>0</v>
      </c>
      <c r="T239" t="s">
        <v>67</v>
      </c>
      <c r="U239" t="s">
        <v>67</v>
      </c>
      <c r="W239" t="str">
        <f t="shared" si="38"/>
        <v>400441</v>
      </c>
      <c r="X239" t="s">
        <v>41</v>
      </c>
      <c r="AD239" s="2">
        <v>46215.656550925924</v>
      </c>
    </row>
    <row r="240" spans="1:30" x14ac:dyDescent="0.35">
      <c r="A240" t="s">
        <v>30</v>
      </c>
      <c r="B240" t="s">
        <v>31</v>
      </c>
      <c r="C240" t="s">
        <v>531</v>
      </c>
      <c r="D240" t="s">
        <v>33</v>
      </c>
      <c r="E240" t="str">
        <f t="shared" si="36"/>
        <v>400441</v>
      </c>
      <c r="F240" t="s">
        <v>65</v>
      </c>
      <c r="G240">
        <v>4</v>
      </c>
      <c r="H240">
        <v>0</v>
      </c>
      <c r="I240" t="s">
        <v>532</v>
      </c>
      <c r="J240" t="str">
        <f t="shared" si="39"/>
        <v>153000416</v>
      </c>
      <c r="K240" s="1">
        <v>48023</v>
      </c>
      <c r="M240" s="1">
        <v>46198</v>
      </c>
      <c r="N240" t="str">
        <f t="shared" si="37"/>
        <v>1329001942</v>
      </c>
      <c r="O240">
        <v>4</v>
      </c>
      <c r="P240" s="2">
        <v>46215.613483796296</v>
      </c>
      <c r="Q240" s="2">
        <v>46215.658449074072</v>
      </c>
      <c r="R240" s="2">
        <v>46215.613483796296</v>
      </c>
      <c r="S240">
        <v>0</v>
      </c>
      <c r="T240" t="s">
        <v>67</v>
      </c>
      <c r="U240" t="s">
        <v>67</v>
      </c>
      <c r="W240" t="str">
        <f t="shared" si="38"/>
        <v>400441</v>
      </c>
      <c r="X240" t="s">
        <v>41</v>
      </c>
      <c r="AD240" s="2">
        <v>46215.658449074072</v>
      </c>
    </row>
    <row r="241" spans="1:30" x14ac:dyDescent="0.35">
      <c r="A241" t="s">
        <v>30</v>
      </c>
      <c r="B241" t="s">
        <v>31</v>
      </c>
      <c r="C241" t="s">
        <v>533</v>
      </c>
      <c r="D241" t="s">
        <v>33</v>
      </c>
      <c r="E241" t="str">
        <f t="shared" si="36"/>
        <v>400441</v>
      </c>
      <c r="F241" t="s">
        <v>65</v>
      </c>
      <c r="G241">
        <v>4</v>
      </c>
      <c r="H241">
        <v>0</v>
      </c>
      <c r="I241" t="s">
        <v>534</v>
      </c>
      <c r="J241" t="str">
        <f t="shared" si="39"/>
        <v>153000416</v>
      </c>
      <c r="K241" s="1">
        <v>48023</v>
      </c>
      <c r="M241" s="1">
        <v>46198</v>
      </c>
      <c r="N241" t="str">
        <f t="shared" si="37"/>
        <v>1329001942</v>
      </c>
      <c r="O241">
        <v>4</v>
      </c>
      <c r="P241" s="2">
        <v>46215.613553240742</v>
      </c>
      <c r="Q241" s="2">
        <v>46215.660162037035</v>
      </c>
      <c r="R241" s="2">
        <v>46215.613553240742</v>
      </c>
      <c r="S241">
        <v>0</v>
      </c>
      <c r="T241" t="s">
        <v>67</v>
      </c>
      <c r="U241" t="s">
        <v>67</v>
      </c>
      <c r="W241" t="str">
        <f t="shared" si="38"/>
        <v>400441</v>
      </c>
      <c r="X241" t="s">
        <v>41</v>
      </c>
      <c r="AD241" s="2">
        <v>46215.660162037035</v>
      </c>
    </row>
    <row r="242" spans="1:30" x14ac:dyDescent="0.35">
      <c r="A242" t="s">
        <v>30</v>
      </c>
      <c r="B242" t="s">
        <v>31</v>
      </c>
      <c r="C242" t="s">
        <v>535</v>
      </c>
      <c r="D242" t="s">
        <v>33</v>
      </c>
      <c r="E242" t="str">
        <f t="shared" si="36"/>
        <v>400441</v>
      </c>
      <c r="F242" t="s">
        <v>65</v>
      </c>
      <c r="G242">
        <v>4</v>
      </c>
      <c r="H242">
        <v>0</v>
      </c>
      <c r="I242" t="s">
        <v>536</v>
      </c>
      <c r="J242" t="str">
        <f t="shared" si="39"/>
        <v>153000416</v>
      </c>
      <c r="K242" s="1">
        <v>48023</v>
      </c>
      <c r="M242" s="1">
        <v>46198</v>
      </c>
      <c r="N242" t="str">
        <f t="shared" si="37"/>
        <v>1329001942</v>
      </c>
      <c r="O242">
        <v>4</v>
      </c>
      <c r="P242" s="2">
        <v>46215.613668981481</v>
      </c>
      <c r="Q242" s="2">
        <v>46215.661898148152</v>
      </c>
      <c r="R242" s="2">
        <v>46215.613668981481</v>
      </c>
      <c r="S242">
        <v>0</v>
      </c>
      <c r="T242" t="s">
        <v>67</v>
      </c>
      <c r="U242" t="s">
        <v>67</v>
      </c>
      <c r="W242" t="str">
        <f t="shared" si="38"/>
        <v>400441</v>
      </c>
      <c r="X242" t="s">
        <v>41</v>
      </c>
      <c r="AD242" s="2">
        <v>46215.661898148152</v>
      </c>
    </row>
    <row r="243" spans="1:30" x14ac:dyDescent="0.35">
      <c r="A243" t="s">
        <v>30</v>
      </c>
      <c r="B243" t="s">
        <v>31</v>
      </c>
      <c r="C243" t="s">
        <v>537</v>
      </c>
      <c r="D243" t="s">
        <v>33</v>
      </c>
      <c r="E243" t="str">
        <f t="shared" si="36"/>
        <v>400441</v>
      </c>
      <c r="F243" t="s">
        <v>65</v>
      </c>
      <c r="G243">
        <v>4</v>
      </c>
      <c r="H243">
        <v>0</v>
      </c>
      <c r="I243" t="s">
        <v>538</v>
      </c>
      <c r="J243" t="str">
        <f t="shared" si="39"/>
        <v>153000416</v>
      </c>
      <c r="K243" s="1">
        <v>48023</v>
      </c>
      <c r="M243" s="1">
        <v>46198</v>
      </c>
      <c r="N243" t="str">
        <f t="shared" si="37"/>
        <v>1329001942</v>
      </c>
      <c r="O243">
        <v>4</v>
      </c>
      <c r="P243" s="2">
        <v>46215.614351851851</v>
      </c>
      <c r="Q243" s="2">
        <v>46215.664722222224</v>
      </c>
      <c r="R243" s="2">
        <v>46215.614351851851</v>
      </c>
      <c r="S243">
        <v>0</v>
      </c>
      <c r="T243" t="s">
        <v>67</v>
      </c>
      <c r="U243" t="s">
        <v>67</v>
      </c>
      <c r="W243" t="str">
        <f t="shared" si="38"/>
        <v>400441</v>
      </c>
      <c r="X243" t="s">
        <v>41</v>
      </c>
      <c r="AD243" s="2">
        <v>46215.664722222224</v>
      </c>
    </row>
    <row r="244" spans="1:30" x14ac:dyDescent="0.35">
      <c r="A244" t="s">
        <v>30</v>
      </c>
      <c r="B244" t="s">
        <v>31</v>
      </c>
      <c r="C244" t="s">
        <v>539</v>
      </c>
      <c r="D244" t="s">
        <v>33</v>
      </c>
      <c r="E244" t="str">
        <f t="shared" si="36"/>
        <v>400441</v>
      </c>
      <c r="F244" t="s">
        <v>65</v>
      </c>
      <c r="G244">
        <v>4</v>
      </c>
      <c r="H244">
        <v>0</v>
      </c>
      <c r="I244" t="s">
        <v>540</v>
      </c>
      <c r="J244" t="str">
        <f t="shared" si="39"/>
        <v>153000416</v>
      </c>
      <c r="K244" s="1">
        <v>48023</v>
      </c>
      <c r="M244" s="1">
        <v>46198</v>
      </c>
      <c r="N244" t="str">
        <f t="shared" si="37"/>
        <v>1329001942</v>
      </c>
      <c r="O244">
        <v>4</v>
      </c>
      <c r="P244" s="2">
        <v>46215.614236111112</v>
      </c>
      <c r="Q244" s="2">
        <v>46215.66642361111</v>
      </c>
      <c r="R244" s="2">
        <v>46215.614236111112</v>
      </c>
      <c r="S244">
        <v>0</v>
      </c>
      <c r="T244" t="s">
        <v>67</v>
      </c>
      <c r="U244" t="s">
        <v>67</v>
      </c>
      <c r="W244" t="str">
        <f t="shared" si="38"/>
        <v>400441</v>
      </c>
      <c r="X244" t="s">
        <v>41</v>
      </c>
      <c r="AD244" s="2">
        <v>46215.66642361111</v>
      </c>
    </row>
    <row r="245" spans="1:30" x14ac:dyDescent="0.35">
      <c r="A245" t="s">
        <v>30</v>
      </c>
      <c r="B245" t="s">
        <v>31</v>
      </c>
      <c r="C245" t="s">
        <v>541</v>
      </c>
      <c r="D245" t="s">
        <v>33</v>
      </c>
      <c r="E245" t="str">
        <f t="shared" si="36"/>
        <v>400441</v>
      </c>
      <c r="F245" t="s">
        <v>65</v>
      </c>
      <c r="G245">
        <v>4</v>
      </c>
      <c r="H245">
        <v>0</v>
      </c>
      <c r="I245" t="s">
        <v>542</v>
      </c>
      <c r="J245" t="str">
        <f t="shared" si="39"/>
        <v>153000416</v>
      </c>
      <c r="K245" s="1">
        <v>48023</v>
      </c>
      <c r="M245" s="1">
        <v>46198</v>
      </c>
      <c r="N245" t="str">
        <f t="shared" si="37"/>
        <v>1329001942</v>
      </c>
      <c r="O245">
        <v>4</v>
      </c>
      <c r="P245" s="2">
        <v>46215.614085648151</v>
      </c>
      <c r="Q245" s="2">
        <v>46215.667881944442</v>
      </c>
      <c r="R245" s="2">
        <v>46215.614085648151</v>
      </c>
      <c r="S245">
        <v>0</v>
      </c>
      <c r="T245" t="s">
        <v>67</v>
      </c>
      <c r="U245" t="s">
        <v>67</v>
      </c>
      <c r="W245" t="str">
        <f t="shared" si="38"/>
        <v>400441</v>
      </c>
      <c r="X245" t="s">
        <v>41</v>
      </c>
      <c r="AD245" s="2">
        <v>46215.667881944442</v>
      </c>
    </row>
    <row r="246" spans="1:30" x14ac:dyDescent="0.35">
      <c r="A246" t="s">
        <v>30</v>
      </c>
      <c r="B246" t="s">
        <v>31</v>
      </c>
      <c r="C246" t="s">
        <v>543</v>
      </c>
      <c r="D246" t="s">
        <v>33</v>
      </c>
      <c r="E246" t="str">
        <f t="shared" si="36"/>
        <v>400441</v>
      </c>
      <c r="F246" t="s">
        <v>65</v>
      </c>
      <c r="G246">
        <v>4</v>
      </c>
      <c r="H246">
        <v>0</v>
      </c>
      <c r="I246" t="s">
        <v>544</v>
      </c>
      <c r="J246" t="str">
        <f>"153000386"</f>
        <v>153000386</v>
      </c>
      <c r="K246" s="1">
        <v>48013</v>
      </c>
      <c r="M246" s="1">
        <v>46188</v>
      </c>
      <c r="N246" t="str">
        <f t="shared" si="37"/>
        <v>1329001942</v>
      </c>
      <c r="O246">
        <v>4</v>
      </c>
      <c r="P246" s="2">
        <v>46215.613981481481</v>
      </c>
      <c r="Q246" s="2">
        <v>46215.669328703705</v>
      </c>
      <c r="R246" s="2">
        <v>46215.613981481481</v>
      </c>
      <c r="S246">
        <v>0</v>
      </c>
      <c r="T246" t="s">
        <v>67</v>
      </c>
      <c r="U246" t="s">
        <v>67</v>
      </c>
      <c r="W246" t="str">
        <f t="shared" si="38"/>
        <v>400441</v>
      </c>
      <c r="X246" t="s">
        <v>41</v>
      </c>
      <c r="AD246" s="2">
        <v>46215.669328703705</v>
      </c>
    </row>
    <row r="247" spans="1:30" x14ac:dyDescent="0.35">
      <c r="A247" t="s">
        <v>30</v>
      </c>
      <c r="B247" t="s">
        <v>31</v>
      </c>
      <c r="C247" t="s">
        <v>545</v>
      </c>
      <c r="D247" t="s">
        <v>33</v>
      </c>
      <c r="E247" t="str">
        <f t="shared" si="36"/>
        <v>400441</v>
      </c>
      <c r="F247" t="s">
        <v>65</v>
      </c>
      <c r="G247">
        <v>4</v>
      </c>
      <c r="H247">
        <v>0</v>
      </c>
      <c r="I247" t="s">
        <v>546</v>
      </c>
      <c r="J247" t="str">
        <f>"153000416"</f>
        <v>153000416</v>
      </c>
      <c r="K247" s="1">
        <v>48023</v>
      </c>
      <c r="M247" s="1">
        <v>46198</v>
      </c>
      <c r="N247" t="str">
        <f t="shared" si="37"/>
        <v>1329001942</v>
      </c>
      <c r="O247">
        <v>4</v>
      </c>
      <c r="P247" s="2">
        <v>46215.613865740743</v>
      </c>
      <c r="Q247" s="2">
        <v>46215.670763888891</v>
      </c>
      <c r="R247" s="2">
        <v>46215.613865740743</v>
      </c>
      <c r="S247">
        <v>0</v>
      </c>
      <c r="T247" t="s">
        <v>67</v>
      </c>
      <c r="U247" t="s">
        <v>67</v>
      </c>
      <c r="W247" t="str">
        <f t="shared" si="38"/>
        <v>400441</v>
      </c>
      <c r="X247" t="s">
        <v>41</v>
      </c>
      <c r="AD247" s="2">
        <v>46215.670763888891</v>
      </c>
    </row>
    <row r="248" spans="1:30" x14ac:dyDescent="0.35">
      <c r="A248" t="s">
        <v>30</v>
      </c>
      <c r="B248" t="s">
        <v>31</v>
      </c>
      <c r="C248" t="s">
        <v>547</v>
      </c>
      <c r="D248" t="s">
        <v>33</v>
      </c>
      <c r="E248" t="str">
        <f t="shared" si="36"/>
        <v>400441</v>
      </c>
      <c r="F248" t="s">
        <v>65</v>
      </c>
      <c r="G248">
        <v>4</v>
      </c>
      <c r="H248">
        <v>0</v>
      </c>
      <c r="I248" t="s">
        <v>548</v>
      </c>
      <c r="J248" t="str">
        <f>"153000416"</f>
        <v>153000416</v>
      </c>
      <c r="K248" s="1">
        <v>48023</v>
      </c>
      <c r="M248" s="1">
        <v>46198</v>
      </c>
      <c r="N248" t="str">
        <f t="shared" si="37"/>
        <v>1329001942</v>
      </c>
      <c r="O248">
        <v>4</v>
      </c>
      <c r="P248" s="2">
        <v>46215.613761574074</v>
      </c>
      <c r="Q248" s="2">
        <v>46215.672777777778</v>
      </c>
      <c r="R248" s="2">
        <v>46215.613761574074</v>
      </c>
      <c r="S248">
        <v>0</v>
      </c>
      <c r="T248" t="s">
        <v>67</v>
      </c>
      <c r="U248" t="s">
        <v>67</v>
      </c>
      <c r="W248" t="str">
        <f t="shared" si="38"/>
        <v>400441</v>
      </c>
      <c r="X248" t="s">
        <v>41</v>
      </c>
      <c r="AD248" s="2">
        <v>46215.672777777778</v>
      </c>
    </row>
    <row r="249" spans="1:30" x14ac:dyDescent="0.35">
      <c r="A249" t="s">
        <v>30</v>
      </c>
      <c r="B249" t="s">
        <v>31</v>
      </c>
      <c r="C249" t="s">
        <v>549</v>
      </c>
      <c r="D249" t="s">
        <v>33</v>
      </c>
      <c r="E249" t="str">
        <f t="shared" si="36"/>
        <v>400441</v>
      </c>
      <c r="F249" t="s">
        <v>65</v>
      </c>
      <c r="G249">
        <v>4</v>
      </c>
      <c r="H249">
        <v>0</v>
      </c>
      <c r="I249" t="s">
        <v>550</v>
      </c>
      <c r="J249" t="str">
        <f>"153000416"</f>
        <v>153000416</v>
      </c>
      <c r="K249" s="1">
        <v>48023</v>
      </c>
      <c r="M249" s="1">
        <v>46198</v>
      </c>
      <c r="N249" t="str">
        <f t="shared" si="37"/>
        <v>1329001942</v>
      </c>
      <c r="O249">
        <v>4</v>
      </c>
      <c r="P249" s="2">
        <v>46215.615787037037</v>
      </c>
      <c r="Q249" s="2">
        <v>46215.675555555557</v>
      </c>
      <c r="R249" s="2">
        <v>46215.615787037037</v>
      </c>
      <c r="S249">
        <v>0</v>
      </c>
      <c r="T249" t="s">
        <v>67</v>
      </c>
      <c r="U249" t="s">
        <v>67</v>
      </c>
      <c r="W249" t="str">
        <f t="shared" si="38"/>
        <v>400441</v>
      </c>
      <c r="X249" t="s">
        <v>41</v>
      </c>
      <c r="AD249" s="2">
        <v>46215.675555555557</v>
      </c>
    </row>
    <row r="250" spans="1:30" x14ac:dyDescent="0.35">
      <c r="A250" t="s">
        <v>30</v>
      </c>
      <c r="B250" t="s">
        <v>31</v>
      </c>
      <c r="C250" t="s">
        <v>551</v>
      </c>
      <c r="D250" t="s">
        <v>33</v>
      </c>
      <c r="E250" t="str">
        <f t="shared" si="36"/>
        <v>400441</v>
      </c>
      <c r="F250" t="s">
        <v>65</v>
      </c>
      <c r="G250">
        <v>4</v>
      </c>
      <c r="H250">
        <v>0</v>
      </c>
      <c r="I250" t="s">
        <v>552</v>
      </c>
      <c r="J250" t="str">
        <f>"153000386"</f>
        <v>153000386</v>
      </c>
      <c r="K250" s="1">
        <v>48013</v>
      </c>
      <c r="M250" s="1">
        <v>46188</v>
      </c>
      <c r="N250" t="str">
        <f t="shared" si="37"/>
        <v>1329001942</v>
      </c>
      <c r="O250">
        <v>4</v>
      </c>
      <c r="P250" s="2">
        <v>46215.615891203706</v>
      </c>
      <c r="Q250" s="2">
        <v>46215.677858796298</v>
      </c>
      <c r="R250" s="2">
        <v>46215.615891203706</v>
      </c>
      <c r="S250">
        <v>0</v>
      </c>
      <c r="T250" t="s">
        <v>67</v>
      </c>
      <c r="U250" t="s">
        <v>67</v>
      </c>
      <c r="W250" t="str">
        <f t="shared" si="38"/>
        <v>400441</v>
      </c>
      <c r="X250" t="s">
        <v>41</v>
      </c>
      <c r="AD250" s="2">
        <v>46215.677858796298</v>
      </c>
    </row>
    <row r="251" spans="1:30" x14ac:dyDescent="0.35">
      <c r="A251" t="s">
        <v>30</v>
      </c>
      <c r="B251" t="s">
        <v>31</v>
      </c>
      <c r="C251" t="s">
        <v>553</v>
      </c>
      <c r="D251" t="s">
        <v>33</v>
      </c>
      <c r="E251" t="str">
        <f t="shared" si="36"/>
        <v>400441</v>
      </c>
      <c r="F251" t="s">
        <v>65</v>
      </c>
      <c r="G251">
        <v>4</v>
      </c>
      <c r="H251">
        <v>0</v>
      </c>
      <c r="I251" t="s">
        <v>554</v>
      </c>
      <c r="J251" t="str">
        <f>"153000416"</f>
        <v>153000416</v>
      </c>
      <c r="K251" s="1">
        <v>48023</v>
      </c>
      <c r="M251" s="1">
        <v>46198</v>
      </c>
      <c r="N251" t="str">
        <f t="shared" si="37"/>
        <v>1329001942</v>
      </c>
      <c r="O251">
        <v>4</v>
      </c>
      <c r="P251" s="2">
        <v>46215.615694444445</v>
      </c>
      <c r="Q251" s="2">
        <v>46215.679236111115</v>
      </c>
      <c r="R251" s="2">
        <v>46215.615694444445</v>
      </c>
      <c r="S251">
        <v>0</v>
      </c>
      <c r="T251" t="s">
        <v>67</v>
      </c>
      <c r="U251" t="s">
        <v>67</v>
      </c>
      <c r="W251" t="str">
        <f t="shared" si="38"/>
        <v>400441</v>
      </c>
      <c r="X251" t="s">
        <v>41</v>
      </c>
      <c r="AD251" s="2">
        <v>46215.679236111115</v>
      </c>
    </row>
    <row r="252" spans="1:30" x14ac:dyDescent="0.35">
      <c r="A252" t="s">
        <v>30</v>
      </c>
      <c r="B252" t="s">
        <v>31</v>
      </c>
      <c r="C252" t="s">
        <v>555</v>
      </c>
      <c r="D252" t="s">
        <v>33</v>
      </c>
      <c r="E252" t="str">
        <f t="shared" si="36"/>
        <v>400441</v>
      </c>
      <c r="F252" t="s">
        <v>65</v>
      </c>
      <c r="G252">
        <v>4</v>
      </c>
      <c r="H252">
        <v>0</v>
      </c>
      <c r="I252" t="s">
        <v>556</v>
      </c>
      <c r="J252" t="str">
        <f>"153000386"</f>
        <v>153000386</v>
      </c>
      <c r="K252" s="1">
        <v>48013</v>
      </c>
      <c r="M252" s="1">
        <v>46188</v>
      </c>
      <c r="N252" t="str">
        <f t="shared" si="37"/>
        <v>1329001942</v>
      </c>
      <c r="O252">
        <v>4</v>
      </c>
      <c r="P252" s="2">
        <v>46215.615601851852</v>
      </c>
      <c r="Q252" s="2">
        <v>46215.680567129632</v>
      </c>
      <c r="R252" s="2">
        <v>46215.615601851852</v>
      </c>
      <c r="S252">
        <v>0</v>
      </c>
      <c r="T252" t="s">
        <v>67</v>
      </c>
      <c r="U252" t="s">
        <v>67</v>
      </c>
      <c r="W252" t="str">
        <f t="shared" si="38"/>
        <v>400441</v>
      </c>
      <c r="X252" t="s">
        <v>41</v>
      </c>
      <c r="AD252" s="2">
        <v>46215.680567129632</v>
      </c>
    </row>
    <row r="253" spans="1:30" x14ac:dyDescent="0.35">
      <c r="A253" t="s">
        <v>30</v>
      </c>
      <c r="B253" t="s">
        <v>31</v>
      </c>
      <c r="C253" t="s">
        <v>557</v>
      </c>
      <c r="D253" t="s">
        <v>33</v>
      </c>
      <c r="E253" t="str">
        <f t="shared" si="36"/>
        <v>400441</v>
      </c>
      <c r="F253" t="s">
        <v>65</v>
      </c>
      <c r="G253">
        <v>4</v>
      </c>
      <c r="H253">
        <v>0</v>
      </c>
      <c r="I253" t="s">
        <v>558</v>
      </c>
      <c r="J253" t="str">
        <f>"153000386"</f>
        <v>153000386</v>
      </c>
      <c r="K253" s="1">
        <v>48013</v>
      </c>
      <c r="M253" s="1">
        <v>46188</v>
      </c>
      <c r="N253" t="str">
        <f t="shared" si="37"/>
        <v>1329001942</v>
      </c>
      <c r="O253">
        <v>4</v>
      </c>
      <c r="P253" s="2">
        <v>46215.61550925926</v>
      </c>
      <c r="Q253" s="2">
        <v>46215.681759259256</v>
      </c>
      <c r="R253" s="2">
        <v>46215.61550925926</v>
      </c>
      <c r="S253">
        <v>0</v>
      </c>
      <c r="T253" t="s">
        <v>67</v>
      </c>
      <c r="U253" t="s">
        <v>67</v>
      </c>
      <c r="W253" t="str">
        <f t="shared" si="38"/>
        <v>400441</v>
      </c>
      <c r="X253" t="s">
        <v>41</v>
      </c>
      <c r="AD253" s="2">
        <v>46215.681759259256</v>
      </c>
    </row>
    <row r="254" spans="1:30" x14ac:dyDescent="0.35">
      <c r="A254" t="s">
        <v>30</v>
      </c>
      <c r="B254" t="s">
        <v>31</v>
      </c>
      <c r="C254" t="s">
        <v>559</v>
      </c>
      <c r="D254" t="s">
        <v>33</v>
      </c>
      <c r="E254" t="str">
        <f t="shared" si="36"/>
        <v>400441</v>
      </c>
      <c r="F254" t="s">
        <v>65</v>
      </c>
      <c r="G254">
        <v>4</v>
      </c>
      <c r="H254">
        <v>0</v>
      </c>
      <c r="I254" t="s">
        <v>560</v>
      </c>
      <c r="J254" t="str">
        <f>"153000416"</f>
        <v>153000416</v>
      </c>
      <c r="K254" s="1">
        <v>48023</v>
      </c>
      <c r="M254" s="1">
        <v>46198</v>
      </c>
      <c r="N254" t="str">
        <f t="shared" si="37"/>
        <v>1329001942</v>
      </c>
      <c r="O254">
        <v>4</v>
      </c>
      <c r="P254" s="2">
        <v>46215.615405092591</v>
      </c>
      <c r="Q254" s="2">
        <v>46215.683171296296</v>
      </c>
      <c r="R254" s="2">
        <v>46215.615405092591</v>
      </c>
      <c r="S254">
        <v>0</v>
      </c>
      <c r="T254" t="s">
        <v>67</v>
      </c>
      <c r="U254" t="s">
        <v>67</v>
      </c>
      <c r="W254" t="str">
        <f t="shared" si="38"/>
        <v>400441</v>
      </c>
      <c r="X254" t="s">
        <v>41</v>
      </c>
      <c r="AD254" s="2">
        <v>46215.683171296296</v>
      </c>
    </row>
    <row r="255" spans="1:30" x14ac:dyDescent="0.35">
      <c r="A255" t="s">
        <v>30</v>
      </c>
      <c r="B255" t="s">
        <v>31</v>
      </c>
      <c r="C255" t="s">
        <v>561</v>
      </c>
      <c r="D255" t="s">
        <v>33</v>
      </c>
      <c r="E255" t="str">
        <f t="shared" si="36"/>
        <v>400441</v>
      </c>
      <c r="F255" t="s">
        <v>65</v>
      </c>
      <c r="G255">
        <v>4</v>
      </c>
      <c r="H255">
        <v>0</v>
      </c>
      <c r="I255" t="s">
        <v>562</v>
      </c>
      <c r="J255" t="str">
        <f>"153000386"</f>
        <v>153000386</v>
      </c>
      <c r="K255" s="1">
        <v>48013</v>
      </c>
      <c r="M255" s="1">
        <v>46188</v>
      </c>
      <c r="N255" t="str">
        <f t="shared" si="37"/>
        <v>1329001942</v>
      </c>
      <c r="O255">
        <v>4</v>
      </c>
      <c r="P255" s="2">
        <v>46215.615312499998</v>
      </c>
      <c r="Q255" s="2">
        <v>46215.684675925928</v>
      </c>
      <c r="R255" s="2">
        <v>46215.615312499998</v>
      </c>
      <c r="S255">
        <v>0</v>
      </c>
      <c r="T255" t="s">
        <v>67</v>
      </c>
      <c r="U255" t="s">
        <v>67</v>
      </c>
      <c r="W255" t="str">
        <f t="shared" si="38"/>
        <v>400441</v>
      </c>
      <c r="X255" t="s">
        <v>41</v>
      </c>
      <c r="AD255" s="2">
        <v>46215.684675925928</v>
      </c>
    </row>
    <row r="256" spans="1:30" x14ac:dyDescent="0.35">
      <c r="A256" t="s">
        <v>30</v>
      </c>
      <c r="B256" t="s">
        <v>31</v>
      </c>
      <c r="C256" t="s">
        <v>563</v>
      </c>
      <c r="D256" t="s">
        <v>33</v>
      </c>
      <c r="E256" t="str">
        <f t="shared" si="36"/>
        <v>400441</v>
      </c>
      <c r="F256" t="s">
        <v>65</v>
      </c>
      <c r="G256">
        <v>4</v>
      </c>
      <c r="H256">
        <v>0</v>
      </c>
      <c r="I256" t="s">
        <v>564</v>
      </c>
      <c r="J256" t="str">
        <f>"153000386"</f>
        <v>153000386</v>
      </c>
      <c r="K256" s="1">
        <v>48013</v>
      </c>
      <c r="M256" s="1">
        <v>46188</v>
      </c>
      <c r="N256" t="str">
        <f t="shared" si="37"/>
        <v>1329001942</v>
      </c>
      <c r="O256">
        <v>4</v>
      </c>
      <c r="P256" s="2">
        <v>46215.615219907406</v>
      </c>
      <c r="Q256" s="2">
        <v>46215.686203703706</v>
      </c>
      <c r="R256" s="2">
        <v>46215.615219907406</v>
      </c>
      <c r="S256">
        <v>0</v>
      </c>
      <c r="T256" t="s">
        <v>67</v>
      </c>
      <c r="U256" t="s">
        <v>67</v>
      </c>
      <c r="W256" t="str">
        <f t="shared" si="38"/>
        <v>400441</v>
      </c>
      <c r="X256" t="s">
        <v>41</v>
      </c>
      <c r="AD256" s="2">
        <v>46215.686203703706</v>
      </c>
    </row>
    <row r="257" spans="1:30" x14ac:dyDescent="0.35">
      <c r="A257" t="s">
        <v>30</v>
      </c>
      <c r="B257" t="s">
        <v>31</v>
      </c>
      <c r="C257" t="s">
        <v>565</v>
      </c>
      <c r="D257" t="s">
        <v>33</v>
      </c>
      <c r="E257" t="str">
        <f t="shared" si="36"/>
        <v>400441</v>
      </c>
      <c r="F257" t="s">
        <v>65</v>
      </c>
      <c r="G257">
        <v>4</v>
      </c>
      <c r="H257">
        <v>0</v>
      </c>
      <c r="I257" t="s">
        <v>566</v>
      </c>
      <c r="J257" t="str">
        <f>"153000416"</f>
        <v>153000416</v>
      </c>
      <c r="K257" s="1">
        <v>48023</v>
      </c>
      <c r="M257" s="1">
        <v>46198</v>
      </c>
      <c r="N257" t="str">
        <f t="shared" si="37"/>
        <v>1329001942</v>
      </c>
      <c r="O257">
        <v>4</v>
      </c>
      <c r="P257" s="2">
        <v>46215.615115740744</v>
      </c>
      <c r="Q257" s="2">
        <v>46215.6878125</v>
      </c>
      <c r="R257" s="2">
        <v>46215.615115740744</v>
      </c>
      <c r="S257">
        <v>0</v>
      </c>
      <c r="T257" t="s">
        <v>67</v>
      </c>
      <c r="U257" t="s">
        <v>67</v>
      </c>
      <c r="W257" t="str">
        <f t="shared" si="38"/>
        <v>400441</v>
      </c>
      <c r="X257" t="s">
        <v>41</v>
      </c>
      <c r="AD257" s="2">
        <v>46215.6878125</v>
      </c>
    </row>
    <row r="258" spans="1:30" x14ac:dyDescent="0.35">
      <c r="A258" t="s">
        <v>30</v>
      </c>
      <c r="B258" t="s">
        <v>31</v>
      </c>
      <c r="C258" t="s">
        <v>567</v>
      </c>
      <c r="D258" t="s">
        <v>33</v>
      </c>
      <c r="E258" t="str">
        <f t="shared" si="36"/>
        <v>400441</v>
      </c>
      <c r="F258" t="s">
        <v>65</v>
      </c>
      <c r="G258">
        <v>4</v>
      </c>
      <c r="H258">
        <v>0</v>
      </c>
      <c r="I258" t="s">
        <v>568</v>
      </c>
      <c r="J258" t="str">
        <f>"153000416"</f>
        <v>153000416</v>
      </c>
      <c r="K258" s="1">
        <v>48023</v>
      </c>
      <c r="M258" s="1">
        <v>46198</v>
      </c>
      <c r="N258" t="str">
        <f t="shared" si="37"/>
        <v>1329001942</v>
      </c>
      <c r="O258">
        <v>4</v>
      </c>
      <c r="P258" s="2">
        <v>46215.614548611113</v>
      </c>
      <c r="Q258" s="2">
        <v>46215.68917824074</v>
      </c>
      <c r="R258" s="2">
        <v>46215.614548611113</v>
      </c>
      <c r="S258">
        <v>0</v>
      </c>
      <c r="T258" t="s">
        <v>67</v>
      </c>
      <c r="U258" t="s">
        <v>67</v>
      </c>
      <c r="W258" t="str">
        <f t="shared" si="38"/>
        <v>400441</v>
      </c>
      <c r="X258" t="s">
        <v>41</v>
      </c>
      <c r="AD258" s="2">
        <v>46215.68917824074</v>
      </c>
    </row>
    <row r="259" spans="1:30" x14ac:dyDescent="0.35">
      <c r="A259" t="s">
        <v>30</v>
      </c>
      <c r="B259" t="s">
        <v>31</v>
      </c>
      <c r="C259" t="s">
        <v>569</v>
      </c>
      <c r="D259" t="s">
        <v>33</v>
      </c>
      <c r="E259" t="str">
        <f t="shared" si="36"/>
        <v>400441</v>
      </c>
      <c r="F259" t="s">
        <v>65</v>
      </c>
      <c r="G259">
        <v>4</v>
      </c>
      <c r="H259">
        <v>0</v>
      </c>
      <c r="I259" t="s">
        <v>570</v>
      </c>
      <c r="J259" t="str">
        <f>"153000416"</f>
        <v>153000416</v>
      </c>
      <c r="K259" s="1">
        <v>48023</v>
      </c>
      <c r="M259" s="1">
        <v>46198</v>
      </c>
      <c r="N259" t="str">
        <f t="shared" si="37"/>
        <v>1329001942</v>
      </c>
      <c r="O259">
        <v>4</v>
      </c>
      <c r="P259" s="2">
        <v>46215.614618055559</v>
      </c>
      <c r="Q259" s="2">
        <v>46215.69059027778</v>
      </c>
      <c r="R259" s="2">
        <v>46215.614618055559</v>
      </c>
      <c r="S259">
        <v>0</v>
      </c>
      <c r="T259" t="s">
        <v>67</v>
      </c>
      <c r="U259" t="s">
        <v>67</v>
      </c>
      <c r="W259" t="str">
        <f t="shared" si="38"/>
        <v>400441</v>
      </c>
      <c r="X259" t="s">
        <v>41</v>
      </c>
      <c r="AD259" s="2">
        <v>46215.69059027778</v>
      </c>
    </row>
    <row r="260" spans="1:30" x14ac:dyDescent="0.35">
      <c r="A260" t="s">
        <v>30</v>
      </c>
      <c r="B260" t="s">
        <v>31</v>
      </c>
      <c r="C260" t="s">
        <v>571</v>
      </c>
      <c r="D260" t="s">
        <v>33</v>
      </c>
      <c r="E260" t="str">
        <f t="shared" si="36"/>
        <v>400441</v>
      </c>
      <c r="F260" t="s">
        <v>65</v>
      </c>
      <c r="G260">
        <v>4</v>
      </c>
      <c r="H260">
        <v>0</v>
      </c>
      <c r="I260" t="s">
        <v>572</v>
      </c>
      <c r="J260" t="str">
        <f>"153000386"</f>
        <v>153000386</v>
      </c>
      <c r="K260" s="1">
        <v>48013</v>
      </c>
      <c r="M260" s="1">
        <v>46188</v>
      </c>
      <c r="N260" t="str">
        <f t="shared" si="37"/>
        <v>1329001942</v>
      </c>
      <c r="O260">
        <v>4</v>
      </c>
      <c r="P260" s="2">
        <v>46215.614722222221</v>
      </c>
      <c r="Q260" s="2">
        <v>46215.692199074074</v>
      </c>
      <c r="R260" s="2">
        <v>46215.614722222221</v>
      </c>
      <c r="S260">
        <v>0</v>
      </c>
      <c r="T260" t="s">
        <v>67</v>
      </c>
      <c r="U260" t="s">
        <v>67</v>
      </c>
      <c r="W260" t="str">
        <f t="shared" si="38"/>
        <v>400441</v>
      </c>
      <c r="X260" t="s">
        <v>41</v>
      </c>
      <c r="AD260" s="2">
        <v>46215.692199074074</v>
      </c>
    </row>
    <row r="261" spans="1:30" x14ac:dyDescent="0.35">
      <c r="A261" t="s">
        <v>30</v>
      </c>
      <c r="B261" t="s">
        <v>31</v>
      </c>
      <c r="C261" t="s">
        <v>573</v>
      </c>
      <c r="D261" t="s">
        <v>33</v>
      </c>
      <c r="E261" t="str">
        <f t="shared" si="36"/>
        <v>400441</v>
      </c>
      <c r="F261" t="s">
        <v>65</v>
      </c>
      <c r="G261">
        <v>4</v>
      </c>
      <c r="H261">
        <v>0</v>
      </c>
      <c r="I261" t="s">
        <v>574</v>
      </c>
      <c r="J261" t="str">
        <f>"153000386"</f>
        <v>153000386</v>
      </c>
      <c r="K261" s="1">
        <v>48013</v>
      </c>
      <c r="M261" s="1">
        <v>46188</v>
      </c>
      <c r="N261" t="str">
        <f t="shared" si="37"/>
        <v>1329001942</v>
      </c>
      <c r="O261">
        <v>4</v>
      </c>
      <c r="P261" s="2">
        <v>46215.614814814813</v>
      </c>
      <c r="Q261" s="2">
        <v>46215.694050925929</v>
      </c>
      <c r="R261" s="2">
        <v>46215.614814814813</v>
      </c>
      <c r="S261">
        <v>0</v>
      </c>
      <c r="T261" t="s">
        <v>67</v>
      </c>
      <c r="U261" t="s">
        <v>67</v>
      </c>
      <c r="W261" t="str">
        <f t="shared" si="38"/>
        <v>400441</v>
      </c>
      <c r="X261" t="s">
        <v>41</v>
      </c>
      <c r="AD261" s="2">
        <v>46215.694050925929</v>
      </c>
    </row>
    <row r="262" spans="1:30" x14ac:dyDescent="0.35">
      <c r="A262" t="s">
        <v>30</v>
      </c>
      <c r="B262" t="s">
        <v>31</v>
      </c>
      <c r="C262" t="s">
        <v>575</v>
      </c>
      <c r="D262" t="s">
        <v>33</v>
      </c>
      <c r="E262" t="str">
        <f t="shared" si="36"/>
        <v>400441</v>
      </c>
      <c r="F262" t="s">
        <v>65</v>
      </c>
      <c r="G262">
        <v>4</v>
      </c>
      <c r="H262">
        <v>0</v>
      </c>
      <c r="I262" t="s">
        <v>576</v>
      </c>
      <c r="J262" t="str">
        <f>"153000416"</f>
        <v>153000416</v>
      </c>
      <c r="K262" s="1">
        <v>48023</v>
      </c>
      <c r="M262" s="1">
        <v>46198</v>
      </c>
      <c r="N262" t="str">
        <f t="shared" si="37"/>
        <v>1329001942</v>
      </c>
      <c r="O262">
        <v>4</v>
      </c>
      <c r="P262" s="2">
        <v>46215.614884259259</v>
      </c>
      <c r="Q262" s="2">
        <v>46215.695162037038</v>
      </c>
      <c r="R262" s="2">
        <v>46215.614884259259</v>
      </c>
      <c r="S262">
        <v>0</v>
      </c>
      <c r="T262" t="s">
        <v>67</v>
      </c>
      <c r="U262" t="s">
        <v>67</v>
      </c>
      <c r="W262" t="str">
        <f t="shared" si="38"/>
        <v>400441</v>
      </c>
      <c r="X262" t="s">
        <v>41</v>
      </c>
      <c r="AD262" s="2">
        <v>46215.695162037038</v>
      </c>
    </row>
    <row r="263" spans="1:30" x14ac:dyDescent="0.35">
      <c r="A263" t="s">
        <v>30</v>
      </c>
      <c r="B263" t="s">
        <v>31</v>
      </c>
      <c r="C263" t="s">
        <v>577</v>
      </c>
      <c r="D263" t="s">
        <v>33</v>
      </c>
      <c r="E263" t="str">
        <f t="shared" si="36"/>
        <v>400441</v>
      </c>
      <c r="F263" t="s">
        <v>65</v>
      </c>
      <c r="G263">
        <v>4</v>
      </c>
      <c r="H263">
        <v>0</v>
      </c>
      <c r="I263" t="s">
        <v>578</v>
      </c>
      <c r="J263" t="str">
        <f>"153000416"</f>
        <v>153000416</v>
      </c>
      <c r="K263" s="1">
        <v>48023</v>
      </c>
      <c r="M263" s="1">
        <v>46198</v>
      </c>
      <c r="N263" t="str">
        <f t="shared" si="37"/>
        <v>1329001942</v>
      </c>
      <c r="O263">
        <v>4</v>
      </c>
      <c r="P263" s="2">
        <v>46215.614953703705</v>
      </c>
      <c r="Q263" s="2">
        <v>46215.695949074077</v>
      </c>
      <c r="R263" s="2">
        <v>46215.614953703705</v>
      </c>
      <c r="S263">
        <v>0</v>
      </c>
      <c r="T263" t="s">
        <v>67</v>
      </c>
      <c r="U263" t="s">
        <v>67</v>
      </c>
      <c r="W263" t="str">
        <f t="shared" si="38"/>
        <v>400441</v>
      </c>
      <c r="X263" t="s">
        <v>41</v>
      </c>
      <c r="AD263" s="2">
        <v>46215.695949074077</v>
      </c>
    </row>
    <row r="264" spans="1:30" x14ac:dyDescent="0.35">
      <c r="A264" t="s">
        <v>30</v>
      </c>
      <c r="B264" t="s">
        <v>31</v>
      </c>
      <c r="C264" t="s">
        <v>579</v>
      </c>
      <c r="D264" t="s">
        <v>33</v>
      </c>
      <c r="E264" t="str">
        <f t="shared" si="36"/>
        <v>400441</v>
      </c>
      <c r="F264" t="s">
        <v>65</v>
      </c>
      <c r="G264">
        <v>4</v>
      </c>
      <c r="H264">
        <v>0</v>
      </c>
      <c r="I264" t="s">
        <v>580</v>
      </c>
      <c r="J264" t="str">
        <f>"153000386"</f>
        <v>153000386</v>
      </c>
      <c r="K264" s="1">
        <v>48013</v>
      </c>
      <c r="M264" s="1">
        <v>46188</v>
      </c>
      <c r="N264" t="str">
        <f t="shared" si="37"/>
        <v>1329001942</v>
      </c>
      <c r="O264">
        <v>4</v>
      </c>
      <c r="P264" s="2">
        <v>46215.615034722221</v>
      </c>
      <c r="Q264" s="2">
        <v>46215.696736111109</v>
      </c>
      <c r="R264" s="2">
        <v>46215.615034722221</v>
      </c>
      <c r="S264">
        <v>0</v>
      </c>
      <c r="T264" t="s">
        <v>67</v>
      </c>
      <c r="U264" t="s">
        <v>67</v>
      </c>
      <c r="W264" t="str">
        <f t="shared" si="38"/>
        <v>400441</v>
      </c>
      <c r="X264" t="s">
        <v>41</v>
      </c>
      <c r="AD264" s="2">
        <v>46215.696736111109</v>
      </c>
    </row>
    <row r="265" spans="1:30" x14ac:dyDescent="0.35">
      <c r="A265" t="s">
        <v>30</v>
      </c>
      <c r="B265" t="s">
        <v>31</v>
      </c>
      <c r="C265" t="s">
        <v>581</v>
      </c>
      <c r="D265" t="s">
        <v>33</v>
      </c>
      <c r="E265" t="str">
        <f>"400405"</f>
        <v>400405</v>
      </c>
      <c r="F265" t="s">
        <v>519</v>
      </c>
      <c r="G265">
        <v>13</v>
      </c>
      <c r="H265">
        <v>0</v>
      </c>
      <c r="I265" t="s">
        <v>582</v>
      </c>
      <c r="J265" t="str">
        <f>"153000440"</f>
        <v>153000440</v>
      </c>
      <c r="K265" s="1">
        <v>48036</v>
      </c>
      <c r="M265" s="1">
        <v>46211</v>
      </c>
      <c r="N265" t="str">
        <f>"1329001938"</f>
        <v>1329001938</v>
      </c>
      <c r="O265">
        <v>52</v>
      </c>
      <c r="P265" s="2">
        <v>46214.511076388888</v>
      </c>
      <c r="Q265" s="2">
        <v>46217.975682870368</v>
      </c>
      <c r="R265" s="2">
        <v>46214.511076388888</v>
      </c>
      <c r="S265">
        <v>0</v>
      </c>
      <c r="T265" t="s">
        <v>67</v>
      </c>
      <c r="U265" t="s">
        <v>67</v>
      </c>
      <c r="W265" t="str">
        <f>"400405"</f>
        <v>400405</v>
      </c>
      <c r="X265" t="s">
        <v>37</v>
      </c>
      <c r="AD265" s="2">
        <v>46214.700520833336</v>
      </c>
    </row>
    <row r="266" spans="1:30" x14ac:dyDescent="0.35">
      <c r="A266" t="s">
        <v>30</v>
      </c>
      <c r="B266" t="s">
        <v>31</v>
      </c>
      <c r="C266" t="s">
        <v>583</v>
      </c>
      <c r="D266" t="s">
        <v>33</v>
      </c>
      <c r="E266" t="str">
        <f>"400441"</f>
        <v>400441</v>
      </c>
      <c r="F266" t="s">
        <v>65</v>
      </c>
      <c r="G266">
        <v>4</v>
      </c>
      <c r="H266">
        <v>0</v>
      </c>
      <c r="I266" t="s">
        <v>584</v>
      </c>
      <c r="J266" t="str">
        <f>"153000397"</f>
        <v>153000397</v>
      </c>
      <c r="K266" s="1">
        <v>48014</v>
      </c>
      <c r="M266" s="1">
        <v>46189</v>
      </c>
      <c r="N266" t="str">
        <f>"1329001950"</f>
        <v>1329001950</v>
      </c>
      <c r="O266">
        <v>4</v>
      </c>
      <c r="P266" s="2">
        <v>46217.468182870369</v>
      </c>
      <c r="Q266" s="2">
        <v>46218.315150462964</v>
      </c>
      <c r="R266" s="2">
        <v>46217.468182870369</v>
      </c>
      <c r="S266">
        <v>0</v>
      </c>
      <c r="T266" t="s">
        <v>67</v>
      </c>
      <c r="U266" t="s">
        <v>67</v>
      </c>
      <c r="W266" t="str">
        <f>"400441"</f>
        <v>400441</v>
      </c>
      <c r="X266" t="s">
        <v>41</v>
      </c>
      <c r="AD266" s="2">
        <v>46218.315150462964</v>
      </c>
    </row>
    <row r="267" spans="1:30" x14ac:dyDescent="0.35">
      <c r="A267" t="s">
        <v>30</v>
      </c>
      <c r="B267" t="s">
        <v>31</v>
      </c>
      <c r="C267" t="s">
        <v>585</v>
      </c>
      <c r="D267" t="s">
        <v>33</v>
      </c>
      <c r="E267" t="str">
        <f>"400508"</f>
        <v>400508</v>
      </c>
      <c r="F267" t="s">
        <v>586</v>
      </c>
      <c r="G267">
        <v>4</v>
      </c>
      <c r="H267">
        <v>0</v>
      </c>
      <c r="I267" t="s">
        <v>587</v>
      </c>
      <c r="J267" t="str">
        <f>"153000431"</f>
        <v>153000431</v>
      </c>
      <c r="K267" s="1">
        <v>48032</v>
      </c>
      <c r="M267" s="1">
        <v>46207</v>
      </c>
      <c r="N267" t="str">
        <f>"1329001950"</f>
        <v>1329001950</v>
      </c>
      <c r="O267">
        <v>4</v>
      </c>
      <c r="P267" s="2">
        <v>46217.46806712963</v>
      </c>
      <c r="Q267" s="2">
        <v>46218.316168981481</v>
      </c>
      <c r="R267" s="2">
        <v>46217.46806712963</v>
      </c>
      <c r="S267">
        <v>0</v>
      </c>
      <c r="T267" t="s">
        <v>67</v>
      </c>
      <c r="U267" t="s">
        <v>67</v>
      </c>
      <c r="W267" t="str">
        <f>"400508"</f>
        <v>400508</v>
      </c>
      <c r="X267" t="s">
        <v>41</v>
      </c>
      <c r="AD267" s="2">
        <v>46218.316168981481</v>
      </c>
    </row>
    <row r="268" spans="1:30" x14ac:dyDescent="0.35">
      <c r="A268" t="s">
        <v>30</v>
      </c>
      <c r="B268" t="s">
        <v>31</v>
      </c>
      <c r="C268" t="s">
        <v>588</v>
      </c>
      <c r="D268" t="s">
        <v>33</v>
      </c>
      <c r="E268" t="str">
        <f>"400441"</f>
        <v>400441</v>
      </c>
      <c r="F268" t="s">
        <v>65</v>
      </c>
      <c r="G268">
        <v>4</v>
      </c>
      <c r="H268">
        <v>0</v>
      </c>
      <c r="I268" t="s">
        <v>589</v>
      </c>
      <c r="J268" t="str">
        <f>"153000397"</f>
        <v>153000397</v>
      </c>
      <c r="K268" s="1">
        <v>48014</v>
      </c>
      <c r="M268" s="1">
        <v>46189</v>
      </c>
      <c r="N268" t="str">
        <f>"1329001950"</f>
        <v>1329001950</v>
      </c>
      <c r="O268">
        <v>4</v>
      </c>
      <c r="P268" s="2">
        <v>46217.467951388891</v>
      </c>
      <c r="Q268" s="2">
        <v>46218.317476851851</v>
      </c>
      <c r="R268" s="2">
        <v>46217.467951388891</v>
      </c>
      <c r="S268">
        <v>0</v>
      </c>
      <c r="T268" t="s">
        <v>67</v>
      </c>
      <c r="U268" t="s">
        <v>67</v>
      </c>
      <c r="W268" t="str">
        <f>"400441"</f>
        <v>400441</v>
      </c>
      <c r="X268" t="s">
        <v>41</v>
      </c>
      <c r="AD268" s="2">
        <v>46218.317476851851</v>
      </c>
    </row>
    <row r="269" spans="1:30" x14ac:dyDescent="0.35">
      <c r="A269" t="s">
        <v>30</v>
      </c>
      <c r="B269" t="s">
        <v>31</v>
      </c>
      <c r="C269" t="s">
        <v>590</v>
      </c>
      <c r="D269" t="s">
        <v>33</v>
      </c>
      <c r="E269" t="str">
        <f t="shared" ref="E269:E293" si="40">"400514"</f>
        <v>400514</v>
      </c>
      <c r="F269" t="s">
        <v>429</v>
      </c>
      <c r="G269">
        <v>4</v>
      </c>
      <c r="H269">
        <v>0</v>
      </c>
      <c r="I269" t="s">
        <v>591</v>
      </c>
      <c r="J269" t="str">
        <f t="shared" ref="J269:J293" si="41">"153000406"</f>
        <v>153000406</v>
      </c>
      <c r="K269" s="1">
        <v>48016</v>
      </c>
      <c r="M269" s="1">
        <v>46191</v>
      </c>
      <c r="N269" t="str">
        <f t="shared" ref="N269:N293" si="42">"1329001945"</f>
        <v>1329001945</v>
      </c>
      <c r="O269">
        <v>4</v>
      </c>
      <c r="P269" s="2">
        <v>46217.456064814818</v>
      </c>
      <c r="Q269" s="2">
        <v>46218.318368055552</v>
      </c>
      <c r="R269" s="2">
        <v>46217.456064814818</v>
      </c>
      <c r="S269">
        <v>0</v>
      </c>
      <c r="T269" t="s">
        <v>67</v>
      </c>
      <c r="U269" t="s">
        <v>67</v>
      </c>
      <c r="W269" t="str">
        <f t="shared" ref="W269:W293" si="43">"400514"</f>
        <v>400514</v>
      </c>
      <c r="X269" t="s">
        <v>41</v>
      </c>
      <c r="AD269" s="2">
        <v>46218.318368055552</v>
      </c>
    </row>
    <row r="270" spans="1:30" x14ac:dyDescent="0.35">
      <c r="A270" t="s">
        <v>30</v>
      </c>
      <c r="B270" t="s">
        <v>31</v>
      </c>
      <c r="C270" t="s">
        <v>592</v>
      </c>
      <c r="D270" t="s">
        <v>33</v>
      </c>
      <c r="E270" t="str">
        <f t="shared" si="40"/>
        <v>400514</v>
      </c>
      <c r="F270" t="s">
        <v>429</v>
      </c>
      <c r="G270">
        <v>4</v>
      </c>
      <c r="H270">
        <v>0</v>
      </c>
      <c r="I270" t="s">
        <v>467</v>
      </c>
      <c r="J270" t="str">
        <f t="shared" si="41"/>
        <v>153000406</v>
      </c>
      <c r="K270" s="1">
        <v>48016</v>
      </c>
      <c r="M270" s="1">
        <v>46191</v>
      </c>
      <c r="N270" t="str">
        <f t="shared" si="42"/>
        <v>1329001945</v>
      </c>
      <c r="O270">
        <v>4</v>
      </c>
      <c r="P270" s="2">
        <v>46217.455972222226</v>
      </c>
      <c r="Q270" s="2">
        <v>46218.318379629629</v>
      </c>
      <c r="R270" s="2">
        <v>46217.455972222226</v>
      </c>
      <c r="S270">
        <v>0</v>
      </c>
      <c r="T270" t="s">
        <v>67</v>
      </c>
      <c r="U270" t="s">
        <v>67</v>
      </c>
      <c r="W270" t="str">
        <f t="shared" si="43"/>
        <v>400514</v>
      </c>
      <c r="X270" t="s">
        <v>41</v>
      </c>
      <c r="AD270" s="2">
        <v>46218.318379629629</v>
      </c>
    </row>
    <row r="271" spans="1:30" x14ac:dyDescent="0.35">
      <c r="A271" t="s">
        <v>30</v>
      </c>
      <c r="B271" t="s">
        <v>31</v>
      </c>
      <c r="C271" t="s">
        <v>593</v>
      </c>
      <c r="D271" t="s">
        <v>33</v>
      </c>
      <c r="E271" t="str">
        <f t="shared" si="40"/>
        <v>400514</v>
      </c>
      <c r="F271" t="s">
        <v>429</v>
      </c>
      <c r="G271">
        <v>4</v>
      </c>
      <c r="H271">
        <v>0</v>
      </c>
      <c r="I271" t="s">
        <v>594</v>
      </c>
      <c r="J271" t="str">
        <f t="shared" si="41"/>
        <v>153000406</v>
      </c>
      <c r="K271" s="1">
        <v>48016</v>
      </c>
      <c r="M271" s="1">
        <v>46191</v>
      </c>
      <c r="N271" t="str">
        <f t="shared" si="42"/>
        <v>1329001945</v>
      </c>
      <c r="O271">
        <v>4</v>
      </c>
      <c r="P271" s="2">
        <v>46217.455775462964</v>
      </c>
      <c r="Q271" s="2">
        <v>46218.319340277776</v>
      </c>
      <c r="R271" s="2">
        <v>46217.455775462964</v>
      </c>
      <c r="S271">
        <v>0</v>
      </c>
      <c r="T271" t="s">
        <v>67</v>
      </c>
      <c r="U271" t="s">
        <v>67</v>
      </c>
      <c r="W271" t="str">
        <f t="shared" si="43"/>
        <v>400514</v>
      </c>
      <c r="X271" t="s">
        <v>41</v>
      </c>
      <c r="AD271" s="2">
        <v>46218.319340277776</v>
      </c>
    </row>
    <row r="272" spans="1:30" x14ac:dyDescent="0.35">
      <c r="A272" t="s">
        <v>30</v>
      </c>
      <c r="B272" t="s">
        <v>31</v>
      </c>
      <c r="C272" t="s">
        <v>595</v>
      </c>
      <c r="D272" t="s">
        <v>33</v>
      </c>
      <c r="E272" t="str">
        <f t="shared" si="40"/>
        <v>400514</v>
      </c>
      <c r="F272" t="s">
        <v>429</v>
      </c>
      <c r="G272">
        <v>4</v>
      </c>
      <c r="H272">
        <v>0</v>
      </c>
      <c r="I272" t="s">
        <v>596</v>
      </c>
      <c r="J272" t="str">
        <f t="shared" si="41"/>
        <v>153000406</v>
      </c>
      <c r="K272" s="1">
        <v>48016</v>
      </c>
      <c r="M272" s="1">
        <v>46191</v>
      </c>
      <c r="N272" t="str">
        <f t="shared" si="42"/>
        <v>1329001945</v>
      </c>
      <c r="O272">
        <v>4</v>
      </c>
      <c r="P272" s="2">
        <v>46217.455868055556</v>
      </c>
      <c r="Q272" s="2">
        <v>46218.319432870368</v>
      </c>
      <c r="R272" s="2">
        <v>46217.455868055556</v>
      </c>
      <c r="S272">
        <v>0</v>
      </c>
      <c r="T272" t="s">
        <v>67</v>
      </c>
      <c r="U272" t="s">
        <v>67</v>
      </c>
      <c r="W272" t="str">
        <f t="shared" si="43"/>
        <v>400514</v>
      </c>
      <c r="X272" t="s">
        <v>41</v>
      </c>
      <c r="AD272" s="2">
        <v>46218.319432870368</v>
      </c>
    </row>
    <row r="273" spans="1:30" x14ac:dyDescent="0.35">
      <c r="A273" t="s">
        <v>30</v>
      </c>
      <c r="B273" t="s">
        <v>31</v>
      </c>
      <c r="C273" t="s">
        <v>597</v>
      </c>
      <c r="D273" t="s">
        <v>33</v>
      </c>
      <c r="E273" t="str">
        <f t="shared" si="40"/>
        <v>400514</v>
      </c>
      <c r="F273" t="s">
        <v>429</v>
      </c>
      <c r="G273">
        <v>4</v>
      </c>
      <c r="H273">
        <v>0</v>
      </c>
      <c r="I273" t="s">
        <v>464</v>
      </c>
      <c r="J273" t="str">
        <f t="shared" si="41"/>
        <v>153000406</v>
      </c>
      <c r="K273" s="1">
        <v>48016</v>
      </c>
      <c r="M273" s="1">
        <v>46191</v>
      </c>
      <c r="N273" t="str">
        <f t="shared" si="42"/>
        <v>1329001945</v>
      </c>
      <c r="O273">
        <v>4</v>
      </c>
      <c r="P273" s="2">
        <v>46217.456886574073</v>
      </c>
      <c r="Q273" s="2">
        <v>46218.320324074077</v>
      </c>
      <c r="R273" s="2">
        <v>46217.456886574073</v>
      </c>
      <c r="S273">
        <v>0</v>
      </c>
      <c r="T273" t="s">
        <v>67</v>
      </c>
      <c r="U273" t="s">
        <v>67</v>
      </c>
      <c r="W273" t="str">
        <f t="shared" si="43"/>
        <v>400514</v>
      </c>
      <c r="X273" t="s">
        <v>41</v>
      </c>
      <c r="AD273" s="2">
        <v>46218.320324074077</v>
      </c>
    </row>
    <row r="274" spans="1:30" x14ac:dyDescent="0.35">
      <c r="A274" t="s">
        <v>30</v>
      </c>
      <c r="B274" t="s">
        <v>31</v>
      </c>
      <c r="C274" t="s">
        <v>598</v>
      </c>
      <c r="D274" t="s">
        <v>33</v>
      </c>
      <c r="E274" t="str">
        <f t="shared" si="40"/>
        <v>400514</v>
      </c>
      <c r="F274" t="s">
        <v>429</v>
      </c>
      <c r="G274">
        <v>4</v>
      </c>
      <c r="H274">
        <v>0</v>
      </c>
      <c r="I274" t="s">
        <v>599</v>
      </c>
      <c r="J274" t="str">
        <f t="shared" si="41"/>
        <v>153000406</v>
      </c>
      <c r="K274" s="1">
        <v>48016</v>
      </c>
      <c r="M274" s="1">
        <v>46191</v>
      </c>
      <c r="N274" t="str">
        <f t="shared" si="42"/>
        <v>1329001945</v>
      </c>
      <c r="O274">
        <v>4</v>
      </c>
      <c r="P274" s="2">
        <v>46217.456759259258</v>
      </c>
      <c r="Q274" s="2">
        <v>46218.320937500001</v>
      </c>
      <c r="R274" s="2">
        <v>46217.456759259258</v>
      </c>
      <c r="S274">
        <v>0</v>
      </c>
      <c r="T274" t="s">
        <v>67</v>
      </c>
      <c r="U274" t="s">
        <v>67</v>
      </c>
      <c r="W274" t="str">
        <f t="shared" si="43"/>
        <v>400514</v>
      </c>
      <c r="X274" t="s">
        <v>41</v>
      </c>
      <c r="AD274" s="2">
        <v>46218.320937500001</v>
      </c>
    </row>
    <row r="275" spans="1:30" x14ac:dyDescent="0.35">
      <c r="A275" t="s">
        <v>30</v>
      </c>
      <c r="B275" t="s">
        <v>31</v>
      </c>
      <c r="C275" t="s">
        <v>600</v>
      </c>
      <c r="D275" t="s">
        <v>33</v>
      </c>
      <c r="E275" t="str">
        <f t="shared" si="40"/>
        <v>400514</v>
      </c>
      <c r="F275" t="s">
        <v>429</v>
      </c>
      <c r="G275">
        <v>4</v>
      </c>
      <c r="H275">
        <v>0</v>
      </c>
      <c r="I275" t="s">
        <v>601</v>
      </c>
      <c r="J275" t="str">
        <f t="shared" si="41"/>
        <v>153000406</v>
      </c>
      <c r="K275" s="1">
        <v>48016</v>
      </c>
      <c r="M275" s="1">
        <v>46191</v>
      </c>
      <c r="N275" t="str">
        <f t="shared" si="42"/>
        <v>1329001945</v>
      </c>
      <c r="O275">
        <v>4</v>
      </c>
      <c r="P275" s="2">
        <v>46217.456643518519</v>
      </c>
      <c r="Q275" s="2">
        <v>46218.321388888886</v>
      </c>
      <c r="R275" s="2">
        <v>46217.456643518519</v>
      </c>
      <c r="S275">
        <v>0</v>
      </c>
      <c r="T275" t="s">
        <v>67</v>
      </c>
      <c r="U275" t="s">
        <v>67</v>
      </c>
      <c r="W275" t="str">
        <f t="shared" si="43"/>
        <v>400514</v>
      </c>
      <c r="X275" t="s">
        <v>41</v>
      </c>
      <c r="AD275" s="2">
        <v>46218.321388888886</v>
      </c>
    </row>
    <row r="276" spans="1:30" x14ac:dyDescent="0.35">
      <c r="A276" t="s">
        <v>30</v>
      </c>
      <c r="B276" t="s">
        <v>31</v>
      </c>
      <c r="C276" t="s">
        <v>602</v>
      </c>
      <c r="D276" t="s">
        <v>33</v>
      </c>
      <c r="E276" t="str">
        <f t="shared" si="40"/>
        <v>400514</v>
      </c>
      <c r="F276" t="s">
        <v>429</v>
      </c>
      <c r="G276">
        <v>4</v>
      </c>
      <c r="H276">
        <v>0</v>
      </c>
      <c r="I276" t="s">
        <v>603</v>
      </c>
      <c r="J276" t="str">
        <f t="shared" si="41"/>
        <v>153000406</v>
      </c>
      <c r="K276" s="1">
        <v>48016</v>
      </c>
      <c r="M276" s="1">
        <v>46191</v>
      </c>
      <c r="N276" t="str">
        <f t="shared" si="42"/>
        <v>1329001945</v>
      </c>
      <c r="O276">
        <v>4</v>
      </c>
      <c r="P276" s="2">
        <v>46217.456550925926</v>
      </c>
      <c r="Q276" s="2">
        <v>46218.322557870371</v>
      </c>
      <c r="R276" s="2">
        <v>46217.456550925926</v>
      </c>
      <c r="S276">
        <v>0</v>
      </c>
      <c r="T276" t="s">
        <v>67</v>
      </c>
      <c r="U276" t="s">
        <v>67</v>
      </c>
      <c r="W276" t="str">
        <f t="shared" si="43"/>
        <v>400514</v>
      </c>
      <c r="X276" t="s">
        <v>41</v>
      </c>
      <c r="AD276" s="2">
        <v>46218.322557870371</v>
      </c>
    </row>
    <row r="277" spans="1:30" x14ac:dyDescent="0.35">
      <c r="A277" t="s">
        <v>30</v>
      </c>
      <c r="B277" t="s">
        <v>31</v>
      </c>
      <c r="C277" t="s">
        <v>604</v>
      </c>
      <c r="D277" t="s">
        <v>33</v>
      </c>
      <c r="E277" t="str">
        <f t="shared" si="40"/>
        <v>400514</v>
      </c>
      <c r="F277" t="s">
        <v>429</v>
      </c>
      <c r="G277">
        <v>4</v>
      </c>
      <c r="H277">
        <v>0</v>
      </c>
      <c r="I277" t="s">
        <v>605</v>
      </c>
      <c r="J277" t="str">
        <f t="shared" si="41"/>
        <v>153000406</v>
      </c>
      <c r="K277" s="1">
        <v>48016</v>
      </c>
      <c r="M277" s="1">
        <v>46191</v>
      </c>
      <c r="N277" t="str">
        <f t="shared" si="42"/>
        <v>1329001945</v>
      </c>
      <c r="O277">
        <v>4</v>
      </c>
      <c r="P277" s="2">
        <v>46217.456435185188</v>
      </c>
      <c r="Q277" s="2">
        <v>46218.322638888887</v>
      </c>
      <c r="R277" s="2">
        <v>46217.456435185188</v>
      </c>
      <c r="S277">
        <v>0</v>
      </c>
      <c r="T277" t="s">
        <v>67</v>
      </c>
      <c r="U277" t="s">
        <v>67</v>
      </c>
      <c r="W277" t="str">
        <f t="shared" si="43"/>
        <v>400514</v>
      </c>
      <c r="X277" t="s">
        <v>41</v>
      </c>
      <c r="AD277" s="2">
        <v>46218.322638888887</v>
      </c>
    </row>
    <row r="278" spans="1:30" x14ac:dyDescent="0.35">
      <c r="A278" t="s">
        <v>30</v>
      </c>
      <c r="B278" t="s">
        <v>31</v>
      </c>
      <c r="C278" t="s">
        <v>606</v>
      </c>
      <c r="D278" t="s">
        <v>33</v>
      </c>
      <c r="E278" t="str">
        <f t="shared" si="40"/>
        <v>400514</v>
      </c>
      <c r="F278" t="s">
        <v>429</v>
      </c>
      <c r="G278">
        <v>4</v>
      </c>
      <c r="H278">
        <v>0</v>
      </c>
      <c r="I278" t="s">
        <v>607</v>
      </c>
      <c r="J278" t="str">
        <f t="shared" si="41"/>
        <v>153000406</v>
      </c>
      <c r="K278" s="1">
        <v>48016</v>
      </c>
      <c r="M278" s="1">
        <v>46191</v>
      </c>
      <c r="N278" t="str">
        <f t="shared" si="42"/>
        <v>1329001945</v>
      </c>
      <c r="O278">
        <v>4</v>
      </c>
      <c r="P278" s="2">
        <v>46217.455127314817</v>
      </c>
      <c r="Q278" s="2">
        <v>46218.323958333334</v>
      </c>
      <c r="R278" s="2">
        <v>46217.455127314817</v>
      </c>
      <c r="S278">
        <v>0</v>
      </c>
      <c r="T278" t="s">
        <v>67</v>
      </c>
      <c r="U278" t="s">
        <v>67</v>
      </c>
      <c r="W278" t="str">
        <f t="shared" si="43"/>
        <v>400514</v>
      </c>
      <c r="X278" t="s">
        <v>41</v>
      </c>
      <c r="AD278" s="2">
        <v>46218.323958333334</v>
      </c>
    </row>
    <row r="279" spans="1:30" x14ac:dyDescent="0.35">
      <c r="A279" t="s">
        <v>30</v>
      </c>
      <c r="B279" t="s">
        <v>31</v>
      </c>
      <c r="C279" t="s">
        <v>608</v>
      </c>
      <c r="D279" t="s">
        <v>33</v>
      </c>
      <c r="E279" t="str">
        <f t="shared" si="40"/>
        <v>400514</v>
      </c>
      <c r="F279" t="s">
        <v>429</v>
      </c>
      <c r="G279">
        <v>4</v>
      </c>
      <c r="H279">
        <v>0</v>
      </c>
      <c r="I279" t="s">
        <v>609</v>
      </c>
      <c r="J279" t="str">
        <f t="shared" si="41"/>
        <v>153000406</v>
      </c>
      <c r="K279" s="1">
        <v>48016</v>
      </c>
      <c r="M279" s="1">
        <v>46191</v>
      </c>
      <c r="N279" t="str">
        <f t="shared" si="42"/>
        <v>1329001945</v>
      </c>
      <c r="O279">
        <v>4</v>
      </c>
      <c r="P279" s="2">
        <v>46217.45548611111</v>
      </c>
      <c r="Q279" s="2">
        <v>46218.325011574074</v>
      </c>
      <c r="R279" s="2">
        <v>46217.45548611111</v>
      </c>
      <c r="S279">
        <v>0</v>
      </c>
      <c r="T279" t="s">
        <v>67</v>
      </c>
      <c r="U279" t="s">
        <v>67</v>
      </c>
      <c r="W279" t="str">
        <f t="shared" si="43"/>
        <v>400514</v>
      </c>
      <c r="X279" t="s">
        <v>41</v>
      </c>
      <c r="AD279" s="2">
        <v>46218.325011574074</v>
      </c>
    </row>
    <row r="280" spans="1:30" x14ac:dyDescent="0.35">
      <c r="A280" t="s">
        <v>30</v>
      </c>
      <c r="B280" t="s">
        <v>31</v>
      </c>
      <c r="C280" t="s">
        <v>610</v>
      </c>
      <c r="D280" t="s">
        <v>33</v>
      </c>
      <c r="E280" t="str">
        <f t="shared" si="40"/>
        <v>400514</v>
      </c>
      <c r="F280" t="s">
        <v>429</v>
      </c>
      <c r="G280">
        <v>4</v>
      </c>
      <c r="H280">
        <v>0</v>
      </c>
      <c r="I280" t="s">
        <v>611</v>
      </c>
      <c r="J280" t="str">
        <f t="shared" si="41"/>
        <v>153000406</v>
      </c>
      <c r="K280" s="1">
        <v>48016</v>
      </c>
      <c r="M280" s="1">
        <v>46191</v>
      </c>
      <c r="N280" t="str">
        <f t="shared" si="42"/>
        <v>1329001945</v>
      </c>
      <c r="O280">
        <v>4</v>
      </c>
      <c r="P280" s="2">
        <v>46217.455347222225</v>
      </c>
      <c r="Q280" s="2">
        <v>46218.325127314813</v>
      </c>
      <c r="R280" s="2">
        <v>46217.455347222225</v>
      </c>
      <c r="S280">
        <v>0</v>
      </c>
      <c r="T280" t="s">
        <v>67</v>
      </c>
      <c r="U280" t="s">
        <v>67</v>
      </c>
      <c r="W280" t="str">
        <f t="shared" si="43"/>
        <v>400514</v>
      </c>
      <c r="X280" t="s">
        <v>41</v>
      </c>
      <c r="AD280" s="2">
        <v>46218.325127314813</v>
      </c>
    </row>
    <row r="281" spans="1:30" x14ac:dyDescent="0.35">
      <c r="A281" t="s">
        <v>30</v>
      </c>
      <c r="B281" t="s">
        <v>31</v>
      </c>
      <c r="C281" t="s">
        <v>612</v>
      </c>
      <c r="D281" t="s">
        <v>33</v>
      </c>
      <c r="E281" t="str">
        <f t="shared" si="40"/>
        <v>400514</v>
      </c>
      <c r="F281" t="s">
        <v>429</v>
      </c>
      <c r="G281">
        <v>4</v>
      </c>
      <c r="H281">
        <v>0</v>
      </c>
      <c r="I281" t="s">
        <v>613</v>
      </c>
      <c r="J281" t="str">
        <f t="shared" si="41"/>
        <v>153000406</v>
      </c>
      <c r="K281" s="1">
        <v>48016</v>
      </c>
      <c r="M281" s="1">
        <v>46191</v>
      </c>
      <c r="N281" t="str">
        <f t="shared" si="42"/>
        <v>1329001945</v>
      </c>
      <c r="O281">
        <v>4</v>
      </c>
      <c r="P281" s="2">
        <v>46217.456250000003</v>
      </c>
      <c r="Q281" s="2">
        <v>46218.326203703706</v>
      </c>
      <c r="R281" s="2">
        <v>46217.456250000003</v>
      </c>
      <c r="S281">
        <v>0</v>
      </c>
      <c r="T281" t="s">
        <v>67</v>
      </c>
      <c r="U281" t="s">
        <v>67</v>
      </c>
      <c r="W281" t="str">
        <f t="shared" si="43"/>
        <v>400514</v>
      </c>
      <c r="X281" t="s">
        <v>41</v>
      </c>
      <c r="AD281" s="2">
        <v>46218.326203703706</v>
      </c>
    </row>
    <row r="282" spans="1:30" x14ac:dyDescent="0.35">
      <c r="A282" t="s">
        <v>30</v>
      </c>
      <c r="B282" t="s">
        <v>31</v>
      </c>
      <c r="C282" t="s">
        <v>614</v>
      </c>
      <c r="D282" t="s">
        <v>33</v>
      </c>
      <c r="E282" t="str">
        <f t="shared" si="40"/>
        <v>400514</v>
      </c>
      <c r="F282" t="s">
        <v>429</v>
      </c>
      <c r="G282">
        <v>4</v>
      </c>
      <c r="H282">
        <v>0</v>
      </c>
      <c r="I282" t="s">
        <v>615</v>
      </c>
      <c r="J282" t="str">
        <f t="shared" si="41"/>
        <v>153000406</v>
      </c>
      <c r="K282" s="1">
        <v>48016</v>
      </c>
      <c r="M282" s="1">
        <v>46191</v>
      </c>
      <c r="N282" t="str">
        <f t="shared" si="42"/>
        <v>1329001945</v>
      </c>
      <c r="O282">
        <v>4</v>
      </c>
      <c r="P282" s="2">
        <v>46217.455034722225</v>
      </c>
      <c r="Q282" s="2">
        <v>46218.326736111114</v>
      </c>
      <c r="R282" s="2">
        <v>46217.455034722225</v>
      </c>
      <c r="S282">
        <v>0</v>
      </c>
      <c r="T282" t="s">
        <v>67</v>
      </c>
      <c r="U282" t="s">
        <v>67</v>
      </c>
      <c r="W282" t="str">
        <f t="shared" si="43"/>
        <v>400514</v>
      </c>
      <c r="X282" t="s">
        <v>41</v>
      </c>
      <c r="AD282" s="2">
        <v>46218.326736111114</v>
      </c>
    </row>
    <row r="283" spans="1:30" x14ac:dyDescent="0.35">
      <c r="A283" t="s">
        <v>30</v>
      </c>
      <c r="B283" t="s">
        <v>31</v>
      </c>
      <c r="C283" t="s">
        <v>616</v>
      </c>
      <c r="D283" t="s">
        <v>33</v>
      </c>
      <c r="E283" t="str">
        <f t="shared" si="40"/>
        <v>400514</v>
      </c>
      <c r="F283" t="s">
        <v>429</v>
      </c>
      <c r="G283">
        <v>4</v>
      </c>
      <c r="H283">
        <v>0</v>
      </c>
      <c r="I283" t="s">
        <v>617</v>
      </c>
      <c r="J283" t="str">
        <f t="shared" si="41"/>
        <v>153000406</v>
      </c>
      <c r="K283" s="1">
        <v>48016</v>
      </c>
      <c r="M283" s="1">
        <v>46191</v>
      </c>
      <c r="N283" t="str">
        <f t="shared" si="42"/>
        <v>1329001945</v>
      </c>
      <c r="O283">
        <v>4</v>
      </c>
      <c r="P283" s="2">
        <v>46217.454907407409</v>
      </c>
      <c r="Q283" s="2">
        <v>46218.327511574076</v>
      </c>
      <c r="R283" s="2">
        <v>46217.454907407409</v>
      </c>
      <c r="S283">
        <v>0</v>
      </c>
      <c r="T283" t="s">
        <v>67</v>
      </c>
      <c r="U283" t="s">
        <v>67</v>
      </c>
      <c r="W283" t="str">
        <f t="shared" si="43"/>
        <v>400514</v>
      </c>
      <c r="X283" t="s">
        <v>41</v>
      </c>
      <c r="AD283" s="2">
        <v>46218.327511574076</v>
      </c>
    </row>
    <row r="284" spans="1:30" x14ac:dyDescent="0.35">
      <c r="A284" t="s">
        <v>30</v>
      </c>
      <c r="B284" t="s">
        <v>31</v>
      </c>
      <c r="C284" t="s">
        <v>618</v>
      </c>
      <c r="D284" t="s">
        <v>33</v>
      </c>
      <c r="E284" t="str">
        <f t="shared" si="40"/>
        <v>400514</v>
      </c>
      <c r="F284" t="s">
        <v>429</v>
      </c>
      <c r="G284">
        <v>4</v>
      </c>
      <c r="H284">
        <v>0</v>
      </c>
      <c r="I284" t="s">
        <v>619</v>
      </c>
      <c r="J284" t="str">
        <f t="shared" si="41"/>
        <v>153000406</v>
      </c>
      <c r="K284" s="1">
        <v>48016</v>
      </c>
      <c r="M284" s="1">
        <v>46191</v>
      </c>
      <c r="N284" t="str">
        <f t="shared" si="42"/>
        <v>1329001945</v>
      </c>
      <c r="O284">
        <v>4</v>
      </c>
      <c r="P284" s="2">
        <v>46217.453703703701</v>
      </c>
      <c r="Q284" s="2">
        <v>46218.327951388892</v>
      </c>
      <c r="R284" s="2">
        <v>46217.453703703701</v>
      </c>
      <c r="S284">
        <v>0</v>
      </c>
      <c r="T284" t="s">
        <v>67</v>
      </c>
      <c r="U284" t="s">
        <v>67</v>
      </c>
      <c r="W284" t="str">
        <f t="shared" si="43"/>
        <v>400514</v>
      </c>
      <c r="X284" t="s">
        <v>41</v>
      </c>
      <c r="AD284" s="2">
        <v>46218.327951388892</v>
      </c>
    </row>
    <row r="285" spans="1:30" x14ac:dyDescent="0.35">
      <c r="A285" t="s">
        <v>30</v>
      </c>
      <c r="B285" t="s">
        <v>31</v>
      </c>
      <c r="C285" t="s">
        <v>620</v>
      </c>
      <c r="D285" t="s">
        <v>33</v>
      </c>
      <c r="E285" t="str">
        <f t="shared" si="40"/>
        <v>400514</v>
      </c>
      <c r="F285" t="s">
        <v>429</v>
      </c>
      <c r="G285">
        <v>4</v>
      </c>
      <c r="H285">
        <v>0</v>
      </c>
      <c r="I285" t="s">
        <v>621</v>
      </c>
      <c r="J285" t="str">
        <f t="shared" si="41"/>
        <v>153000406</v>
      </c>
      <c r="K285" s="1">
        <v>48016</v>
      </c>
      <c r="M285" s="1">
        <v>46191</v>
      </c>
      <c r="N285" t="str">
        <f t="shared" si="42"/>
        <v>1329001945</v>
      </c>
      <c r="O285">
        <v>4</v>
      </c>
      <c r="P285" s="2">
        <v>46217.455254629633</v>
      </c>
      <c r="Q285" s="2">
        <v>46218.328796296293</v>
      </c>
      <c r="R285" s="2">
        <v>46217.455254629633</v>
      </c>
      <c r="S285">
        <v>0</v>
      </c>
      <c r="T285" t="s">
        <v>67</v>
      </c>
      <c r="U285" t="s">
        <v>67</v>
      </c>
      <c r="W285" t="str">
        <f t="shared" si="43"/>
        <v>400514</v>
      </c>
      <c r="X285" t="s">
        <v>41</v>
      </c>
      <c r="AD285" s="2">
        <v>46218.328796296293</v>
      </c>
    </row>
    <row r="286" spans="1:30" x14ac:dyDescent="0.35">
      <c r="A286" t="s">
        <v>30</v>
      </c>
      <c r="B286" t="s">
        <v>31</v>
      </c>
      <c r="C286" t="s">
        <v>622</v>
      </c>
      <c r="D286" t="s">
        <v>33</v>
      </c>
      <c r="E286" t="str">
        <f t="shared" si="40"/>
        <v>400514</v>
      </c>
      <c r="F286" t="s">
        <v>429</v>
      </c>
      <c r="G286">
        <v>4</v>
      </c>
      <c r="H286">
        <v>0</v>
      </c>
      <c r="I286" t="s">
        <v>623</v>
      </c>
      <c r="J286" t="str">
        <f t="shared" si="41"/>
        <v>153000406</v>
      </c>
      <c r="K286" s="1">
        <v>48016</v>
      </c>
      <c r="M286" s="1">
        <v>46191</v>
      </c>
      <c r="N286" t="str">
        <f t="shared" si="42"/>
        <v>1329001945</v>
      </c>
      <c r="O286">
        <v>4</v>
      </c>
      <c r="P286" s="2">
        <v>46217.454212962963</v>
      </c>
      <c r="Q286" s="2">
        <v>46218.329189814816</v>
      </c>
      <c r="R286" s="2">
        <v>46217.454212962963</v>
      </c>
      <c r="S286">
        <v>0</v>
      </c>
      <c r="T286" t="s">
        <v>67</v>
      </c>
      <c r="U286" t="s">
        <v>67</v>
      </c>
      <c r="W286" t="str">
        <f t="shared" si="43"/>
        <v>400514</v>
      </c>
      <c r="X286" t="s">
        <v>41</v>
      </c>
      <c r="AD286" s="2">
        <v>46218.329189814816</v>
      </c>
    </row>
    <row r="287" spans="1:30" x14ac:dyDescent="0.35">
      <c r="A287" t="s">
        <v>30</v>
      </c>
      <c r="B287" t="s">
        <v>31</v>
      </c>
      <c r="C287" t="s">
        <v>624</v>
      </c>
      <c r="D287" t="s">
        <v>33</v>
      </c>
      <c r="E287" t="str">
        <f t="shared" si="40"/>
        <v>400514</v>
      </c>
      <c r="F287" t="s">
        <v>429</v>
      </c>
      <c r="G287">
        <v>4</v>
      </c>
      <c r="H287">
        <v>0</v>
      </c>
      <c r="I287" t="s">
        <v>625</v>
      </c>
      <c r="J287" t="str">
        <f t="shared" si="41"/>
        <v>153000406</v>
      </c>
      <c r="K287" s="1">
        <v>48016</v>
      </c>
      <c r="M287" s="1">
        <v>46191</v>
      </c>
      <c r="N287" t="str">
        <f t="shared" si="42"/>
        <v>1329001945</v>
      </c>
      <c r="O287">
        <v>4</v>
      </c>
      <c r="P287" s="2">
        <v>46217.455659722225</v>
      </c>
      <c r="Q287" s="2">
        <v>46218.329606481479</v>
      </c>
      <c r="R287" s="2">
        <v>46217.455659722225</v>
      </c>
      <c r="S287">
        <v>0</v>
      </c>
      <c r="T287" t="s">
        <v>67</v>
      </c>
      <c r="U287" t="s">
        <v>67</v>
      </c>
      <c r="W287" t="str">
        <f t="shared" si="43"/>
        <v>400514</v>
      </c>
      <c r="X287" t="s">
        <v>41</v>
      </c>
      <c r="AD287" s="2">
        <v>46218.329606481479</v>
      </c>
    </row>
    <row r="288" spans="1:30" x14ac:dyDescent="0.35">
      <c r="A288" t="s">
        <v>30</v>
      </c>
      <c r="B288" t="s">
        <v>31</v>
      </c>
      <c r="C288" t="s">
        <v>626</v>
      </c>
      <c r="D288" t="s">
        <v>33</v>
      </c>
      <c r="E288" t="str">
        <f t="shared" si="40"/>
        <v>400514</v>
      </c>
      <c r="F288" t="s">
        <v>429</v>
      </c>
      <c r="G288">
        <v>4</v>
      </c>
      <c r="H288">
        <v>0</v>
      </c>
      <c r="I288" t="s">
        <v>627</v>
      </c>
      <c r="J288" t="str">
        <f t="shared" si="41"/>
        <v>153000406</v>
      </c>
      <c r="K288" s="1">
        <v>48016</v>
      </c>
      <c r="M288" s="1">
        <v>46191</v>
      </c>
      <c r="N288" t="str">
        <f t="shared" si="42"/>
        <v>1329001945</v>
      </c>
      <c r="O288">
        <v>4</v>
      </c>
      <c r="P288" s="2">
        <v>46217.455578703702</v>
      </c>
      <c r="Q288" s="2">
        <v>46218.330659722225</v>
      </c>
      <c r="R288" s="2">
        <v>46217.455578703702</v>
      </c>
      <c r="S288">
        <v>0</v>
      </c>
      <c r="T288" t="s">
        <v>67</v>
      </c>
      <c r="U288" t="s">
        <v>67</v>
      </c>
      <c r="W288" t="str">
        <f t="shared" si="43"/>
        <v>400514</v>
      </c>
      <c r="X288" t="s">
        <v>41</v>
      </c>
      <c r="AD288" s="2">
        <v>46218.330659722225</v>
      </c>
    </row>
    <row r="289" spans="1:30" x14ac:dyDescent="0.35">
      <c r="A289" t="s">
        <v>30</v>
      </c>
      <c r="B289" t="s">
        <v>31</v>
      </c>
      <c r="C289" t="s">
        <v>628</v>
      </c>
      <c r="D289" t="s">
        <v>33</v>
      </c>
      <c r="E289" t="str">
        <f t="shared" si="40"/>
        <v>400514</v>
      </c>
      <c r="F289" t="s">
        <v>429</v>
      </c>
      <c r="G289">
        <v>4</v>
      </c>
      <c r="H289">
        <v>0</v>
      </c>
      <c r="I289" t="s">
        <v>629</v>
      </c>
      <c r="J289" t="str">
        <f t="shared" si="41"/>
        <v>153000406</v>
      </c>
      <c r="K289" s="1">
        <v>48016</v>
      </c>
      <c r="M289" s="1">
        <v>46191</v>
      </c>
      <c r="N289" t="str">
        <f t="shared" si="42"/>
        <v>1329001945</v>
      </c>
      <c r="O289">
        <v>4</v>
      </c>
      <c r="P289" s="2">
        <v>46217.45616898148</v>
      </c>
      <c r="Q289" s="2">
        <v>46218.330659722225</v>
      </c>
      <c r="R289" s="2">
        <v>46217.45616898148</v>
      </c>
      <c r="S289">
        <v>0</v>
      </c>
      <c r="T289" t="s">
        <v>67</v>
      </c>
      <c r="U289" t="s">
        <v>67</v>
      </c>
      <c r="W289" t="str">
        <f t="shared" si="43"/>
        <v>400514</v>
      </c>
      <c r="X289" t="s">
        <v>41</v>
      </c>
      <c r="AD289" s="2">
        <v>46218.330659722225</v>
      </c>
    </row>
    <row r="290" spans="1:30" x14ac:dyDescent="0.35">
      <c r="A290" t="s">
        <v>30</v>
      </c>
      <c r="B290" t="s">
        <v>31</v>
      </c>
      <c r="C290" t="s">
        <v>630</v>
      </c>
      <c r="D290" t="s">
        <v>33</v>
      </c>
      <c r="E290" t="str">
        <f t="shared" si="40"/>
        <v>400514</v>
      </c>
      <c r="F290" t="s">
        <v>429</v>
      </c>
      <c r="G290">
        <v>4</v>
      </c>
      <c r="H290">
        <v>0</v>
      </c>
      <c r="I290" t="s">
        <v>631</v>
      </c>
      <c r="J290" t="str">
        <f t="shared" si="41"/>
        <v>153000406</v>
      </c>
      <c r="K290" s="1">
        <v>48016</v>
      </c>
      <c r="M290" s="1">
        <v>46191</v>
      </c>
      <c r="N290" t="str">
        <f t="shared" si="42"/>
        <v>1329001945</v>
      </c>
      <c r="O290">
        <v>4</v>
      </c>
      <c r="P290" s="2">
        <v>46217.453842592593</v>
      </c>
      <c r="Q290" s="2">
        <v>46218.331782407404</v>
      </c>
      <c r="R290" s="2">
        <v>46217.453842592593</v>
      </c>
      <c r="S290">
        <v>0</v>
      </c>
      <c r="T290" t="s">
        <v>67</v>
      </c>
      <c r="U290" t="s">
        <v>67</v>
      </c>
      <c r="W290" t="str">
        <f t="shared" si="43"/>
        <v>400514</v>
      </c>
      <c r="X290" t="s">
        <v>41</v>
      </c>
      <c r="AD290" s="2">
        <v>46218.331782407404</v>
      </c>
    </row>
    <row r="291" spans="1:30" x14ac:dyDescent="0.35">
      <c r="A291" t="s">
        <v>30</v>
      </c>
      <c r="B291" t="s">
        <v>31</v>
      </c>
      <c r="C291" t="s">
        <v>632</v>
      </c>
      <c r="D291" t="s">
        <v>33</v>
      </c>
      <c r="E291" t="str">
        <f t="shared" si="40"/>
        <v>400514</v>
      </c>
      <c r="F291" t="s">
        <v>429</v>
      </c>
      <c r="G291">
        <v>4</v>
      </c>
      <c r="H291">
        <v>0</v>
      </c>
      <c r="I291" t="s">
        <v>633</v>
      </c>
      <c r="J291" t="str">
        <f t="shared" si="41"/>
        <v>153000406</v>
      </c>
      <c r="K291" s="1">
        <v>48016</v>
      </c>
      <c r="M291" s="1">
        <v>46191</v>
      </c>
      <c r="N291" t="str">
        <f t="shared" si="42"/>
        <v>1329001945</v>
      </c>
      <c r="O291">
        <v>4</v>
      </c>
      <c r="P291" s="2">
        <v>46217.453993055555</v>
      </c>
      <c r="Q291" s="2">
        <v>46218.331967592596</v>
      </c>
      <c r="R291" s="2">
        <v>46217.453993055555</v>
      </c>
      <c r="S291">
        <v>0</v>
      </c>
      <c r="T291" t="s">
        <v>67</v>
      </c>
      <c r="U291" t="s">
        <v>67</v>
      </c>
      <c r="W291" t="str">
        <f t="shared" si="43"/>
        <v>400514</v>
      </c>
      <c r="X291" t="s">
        <v>41</v>
      </c>
      <c r="AD291" s="2">
        <v>46218.331967592596</v>
      </c>
    </row>
    <row r="292" spans="1:30" x14ac:dyDescent="0.35">
      <c r="A292" t="s">
        <v>30</v>
      </c>
      <c r="B292" t="s">
        <v>31</v>
      </c>
      <c r="C292" t="s">
        <v>634</v>
      </c>
      <c r="D292" t="s">
        <v>33</v>
      </c>
      <c r="E292" t="str">
        <f t="shared" si="40"/>
        <v>400514</v>
      </c>
      <c r="F292" t="s">
        <v>429</v>
      </c>
      <c r="G292">
        <v>4</v>
      </c>
      <c r="H292">
        <v>0</v>
      </c>
      <c r="I292" t="s">
        <v>635</v>
      </c>
      <c r="J292" t="str">
        <f t="shared" si="41"/>
        <v>153000406</v>
      </c>
      <c r="K292" s="1">
        <v>48016</v>
      </c>
      <c r="M292" s="1">
        <v>46191</v>
      </c>
      <c r="N292" t="str">
        <f t="shared" si="42"/>
        <v>1329001945</v>
      </c>
      <c r="O292">
        <v>4</v>
      </c>
      <c r="P292" s="2">
        <v>46217.454293981478</v>
      </c>
      <c r="Q292" s="2">
        <v>46218.333344907405</v>
      </c>
      <c r="R292" s="2">
        <v>46217.454293981478</v>
      </c>
      <c r="S292">
        <v>0</v>
      </c>
      <c r="T292" t="s">
        <v>67</v>
      </c>
      <c r="U292" t="s">
        <v>67</v>
      </c>
      <c r="W292" t="str">
        <f t="shared" si="43"/>
        <v>400514</v>
      </c>
      <c r="X292" t="s">
        <v>41</v>
      </c>
      <c r="AD292" s="2">
        <v>46218.333344907405</v>
      </c>
    </row>
    <row r="293" spans="1:30" x14ac:dyDescent="0.35">
      <c r="A293" t="s">
        <v>30</v>
      </c>
      <c r="B293" t="s">
        <v>31</v>
      </c>
      <c r="C293" t="s">
        <v>636</v>
      </c>
      <c r="D293" t="s">
        <v>33</v>
      </c>
      <c r="E293" t="str">
        <f t="shared" si="40"/>
        <v>400514</v>
      </c>
      <c r="F293" t="s">
        <v>429</v>
      </c>
      <c r="G293">
        <v>4</v>
      </c>
      <c r="H293">
        <v>0</v>
      </c>
      <c r="I293" t="s">
        <v>637</v>
      </c>
      <c r="J293" t="str">
        <f t="shared" si="41"/>
        <v>153000406</v>
      </c>
      <c r="K293" s="1">
        <v>48016</v>
      </c>
      <c r="M293" s="1">
        <v>46191</v>
      </c>
      <c r="N293" t="str">
        <f t="shared" si="42"/>
        <v>1329001945</v>
      </c>
      <c r="O293">
        <v>4</v>
      </c>
      <c r="P293" s="2">
        <v>46217.454791666663</v>
      </c>
      <c r="Q293" s="2">
        <v>46218.333645833336</v>
      </c>
      <c r="R293" s="2">
        <v>46217.454791666663</v>
      </c>
      <c r="S293">
        <v>0</v>
      </c>
      <c r="T293" t="s">
        <v>67</v>
      </c>
      <c r="U293" t="s">
        <v>67</v>
      </c>
      <c r="W293" t="str">
        <f t="shared" si="43"/>
        <v>400514</v>
      </c>
      <c r="X293" t="s">
        <v>41</v>
      </c>
      <c r="AD293" s="2">
        <v>46218.333645833336</v>
      </c>
    </row>
    <row r="294" spans="1:30" x14ac:dyDescent="0.35">
      <c r="A294" t="s">
        <v>30</v>
      </c>
      <c r="B294" t="s">
        <v>31</v>
      </c>
      <c r="C294" t="s">
        <v>638</v>
      </c>
      <c r="D294" t="s">
        <v>33</v>
      </c>
      <c r="E294" t="str">
        <f>"400441"</f>
        <v>400441</v>
      </c>
      <c r="F294" t="s">
        <v>65</v>
      </c>
      <c r="G294">
        <v>4</v>
      </c>
      <c r="H294">
        <v>0</v>
      </c>
      <c r="I294" t="s">
        <v>639</v>
      </c>
      <c r="J294" t="str">
        <f>"153000397"</f>
        <v>153000397</v>
      </c>
      <c r="K294" s="1">
        <v>48014</v>
      </c>
      <c r="M294" s="1">
        <v>46189</v>
      </c>
      <c r="N294" t="str">
        <f>"1329001950"</f>
        <v>1329001950</v>
      </c>
      <c r="O294">
        <v>4</v>
      </c>
      <c r="P294" s="2">
        <v>46217.464918981481</v>
      </c>
      <c r="Q294" s="2">
        <v>46218.334652777776</v>
      </c>
      <c r="R294" s="2">
        <v>46217.464918981481</v>
      </c>
      <c r="S294">
        <v>0</v>
      </c>
      <c r="T294" t="s">
        <v>67</v>
      </c>
      <c r="U294" t="s">
        <v>67</v>
      </c>
      <c r="W294" t="str">
        <f>"400441"</f>
        <v>400441</v>
      </c>
      <c r="X294" t="s">
        <v>41</v>
      </c>
      <c r="AD294" s="2">
        <v>46218.334652777776</v>
      </c>
    </row>
    <row r="295" spans="1:30" x14ac:dyDescent="0.35">
      <c r="A295" t="s">
        <v>30</v>
      </c>
      <c r="B295" t="s">
        <v>31</v>
      </c>
      <c r="C295" t="s">
        <v>640</v>
      </c>
      <c r="D295" t="s">
        <v>33</v>
      </c>
      <c r="E295" t="str">
        <f>"400514"</f>
        <v>400514</v>
      </c>
      <c r="F295" t="s">
        <v>429</v>
      </c>
      <c r="G295">
        <v>4</v>
      </c>
      <c r="H295">
        <v>0</v>
      </c>
      <c r="I295" t="s">
        <v>641</v>
      </c>
      <c r="J295" t="str">
        <f>"153000406"</f>
        <v>153000406</v>
      </c>
      <c r="K295" s="1">
        <v>48016</v>
      </c>
      <c r="M295" s="1">
        <v>46191</v>
      </c>
      <c r="N295" t="str">
        <f>"1329001945"</f>
        <v>1329001945</v>
      </c>
      <c r="O295">
        <v>4</v>
      </c>
      <c r="P295" s="2">
        <v>46217.454375000001</v>
      </c>
      <c r="Q295" s="2">
        <v>46218.335092592592</v>
      </c>
      <c r="R295" s="2">
        <v>46217.454375000001</v>
      </c>
      <c r="S295">
        <v>0</v>
      </c>
      <c r="T295" t="s">
        <v>67</v>
      </c>
      <c r="U295" t="s">
        <v>67</v>
      </c>
      <c r="W295" t="str">
        <f>"400514"</f>
        <v>400514</v>
      </c>
      <c r="X295" t="s">
        <v>41</v>
      </c>
      <c r="AD295" s="2">
        <v>46218.335092592592</v>
      </c>
    </row>
    <row r="296" spans="1:30" x14ac:dyDescent="0.35">
      <c r="A296" t="s">
        <v>30</v>
      </c>
      <c r="B296" t="s">
        <v>31</v>
      </c>
      <c r="C296" t="s">
        <v>642</v>
      </c>
      <c r="D296" t="s">
        <v>33</v>
      </c>
      <c r="E296" t="str">
        <f>"400514"</f>
        <v>400514</v>
      </c>
      <c r="F296" t="s">
        <v>429</v>
      </c>
      <c r="G296">
        <v>4</v>
      </c>
      <c r="H296">
        <v>0</v>
      </c>
      <c r="I296" t="s">
        <v>643</v>
      </c>
      <c r="J296" t="str">
        <f>"153000406"</f>
        <v>153000406</v>
      </c>
      <c r="K296" s="1">
        <v>48016</v>
      </c>
      <c r="M296" s="1">
        <v>46191</v>
      </c>
      <c r="N296" t="str">
        <f>"1329001945"</f>
        <v>1329001945</v>
      </c>
      <c r="O296">
        <v>4</v>
      </c>
      <c r="P296" s="2">
        <v>46217.454456018517</v>
      </c>
      <c r="Q296" s="2">
        <v>46218.335902777777</v>
      </c>
      <c r="R296" s="2">
        <v>46217.454456018517</v>
      </c>
      <c r="S296">
        <v>0</v>
      </c>
      <c r="T296" t="s">
        <v>67</v>
      </c>
      <c r="U296" t="s">
        <v>67</v>
      </c>
      <c r="W296" t="str">
        <f>"400514"</f>
        <v>400514</v>
      </c>
      <c r="X296" t="s">
        <v>41</v>
      </c>
      <c r="AD296" s="2">
        <v>46218.335902777777</v>
      </c>
    </row>
    <row r="297" spans="1:30" x14ac:dyDescent="0.35">
      <c r="A297" t="s">
        <v>30</v>
      </c>
      <c r="B297" t="s">
        <v>31</v>
      </c>
      <c r="C297" t="s">
        <v>644</v>
      </c>
      <c r="D297" t="s">
        <v>33</v>
      </c>
      <c r="E297" t="str">
        <f>"400514"</f>
        <v>400514</v>
      </c>
      <c r="F297" t="s">
        <v>429</v>
      </c>
      <c r="G297">
        <v>4</v>
      </c>
      <c r="H297">
        <v>0</v>
      </c>
      <c r="I297" t="s">
        <v>645</v>
      </c>
      <c r="J297" t="str">
        <f>"153000406"</f>
        <v>153000406</v>
      </c>
      <c r="K297" s="1">
        <v>48016</v>
      </c>
      <c r="M297" s="1">
        <v>46191</v>
      </c>
      <c r="N297" t="str">
        <f>"1329001945"</f>
        <v>1329001945</v>
      </c>
      <c r="O297">
        <v>4</v>
      </c>
      <c r="P297" s="2">
        <v>46217.454560185186</v>
      </c>
      <c r="Q297" s="2">
        <v>46218.336597222224</v>
      </c>
      <c r="R297" s="2">
        <v>46217.454560185186</v>
      </c>
      <c r="S297">
        <v>0</v>
      </c>
      <c r="T297" t="s">
        <v>67</v>
      </c>
      <c r="U297" t="s">
        <v>67</v>
      </c>
      <c r="W297" t="str">
        <f>"400514"</f>
        <v>400514</v>
      </c>
      <c r="X297" t="s">
        <v>41</v>
      </c>
      <c r="AD297" s="2">
        <v>46218.336597222224</v>
      </c>
    </row>
    <row r="298" spans="1:30" x14ac:dyDescent="0.35">
      <c r="A298" t="s">
        <v>30</v>
      </c>
      <c r="B298" t="s">
        <v>31</v>
      </c>
      <c r="C298" t="s">
        <v>646</v>
      </c>
      <c r="D298" t="s">
        <v>33</v>
      </c>
      <c r="E298" t="str">
        <f>"400508"</f>
        <v>400508</v>
      </c>
      <c r="F298" t="s">
        <v>586</v>
      </c>
      <c r="G298">
        <v>4</v>
      </c>
      <c r="H298">
        <v>0</v>
      </c>
      <c r="I298" t="s">
        <v>647</v>
      </c>
      <c r="J298" t="str">
        <f>"153000431"</f>
        <v>153000431</v>
      </c>
      <c r="K298" s="1">
        <v>48032</v>
      </c>
      <c r="M298" s="1">
        <v>46207</v>
      </c>
      <c r="N298" t="str">
        <f t="shared" ref="N298:N322" si="44">"1329001950"</f>
        <v>1329001950</v>
      </c>
      <c r="O298">
        <v>4</v>
      </c>
      <c r="P298" s="2">
        <v>46217.465104166666</v>
      </c>
      <c r="Q298" s="2">
        <v>46218.337418981479</v>
      </c>
      <c r="R298" s="2">
        <v>46217.465104166666</v>
      </c>
      <c r="S298">
        <v>0</v>
      </c>
      <c r="T298" t="s">
        <v>67</v>
      </c>
      <c r="U298" t="s">
        <v>67</v>
      </c>
      <c r="W298" t="str">
        <f>"400508"</f>
        <v>400508</v>
      </c>
      <c r="X298" t="s">
        <v>41</v>
      </c>
      <c r="AD298" s="2">
        <v>46218.337418981479</v>
      </c>
    </row>
    <row r="299" spans="1:30" x14ac:dyDescent="0.35">
      <c r="A299" t="s">
        <v>30</v>
      </c>
      <c r="B299" t="s">
        <v>31</v>
      </c>
      <c r="C299" t="s">
        <v>648</v>
      </c>
      <c r="D299" t="s">
        <v>33</v>
      </c>
      <c r="E299" t="str">
        <f>"400441"</f>
        <v>400441</v>
      </c>
      <c r="F299" t="s">
        <v>65</v>
      </c>
      <c r="G299">
        <v>4</v>
      </c>
      <c r="H299">
        <v>0</v>
      </c>
      <c r="I299" t="s">
        <v>649</v>
      </c>
      <c r="J299" t="str">
        <f>"153000397"</f>
        <v>153000397</v>
      </c>
      <c r="K299" s="1">
        <v>48014</v>
      </c>
      <c r="M299" s="1">
        <v>46189</v>
      </c>
      <c r="N299" t="str">
        <f t="shared" si="44"/>
        <v>1329001950</v>
      </c>
      <c r="O299">
        <v>4</v>
      </c>
      <c r="P299" s="2">
        <v>46217.465231481481</v>
      </c>
      <c r="Q299" s="2">
        <v>46218.338333333333</v>
      </c>
      <c r="R299" s="2">
        <v>46217.465231481481</v>
      </c>
      <c r="S299">
        <v>0</v>
      </c>
      <c r="T299" t="s">
        <v>67</v>
      </c>
      <c r="U299" t="s">
        <v>67</v>
      </c>
      <c r="W299" t="str">
        <f>"400441"</f>
        <v>400441</v>
      </c>
      <c r="X299" t="s">
        <v>41</v>
      </c>
      <c r="AD299" s="2">
        <v>46218.338333333333</v>
      </c>
    </row>
    <row r="300" spans="1:30" x14ac:dyDescent="0.35">
      <c r="A300" t="s">
        <v>30</v>
      </c>
      <c r="B300" t="s">
        <v>31</v>
      </c>
      <c r="C300" t="s">
        <v>650</v>
      </c>
      <c r="D300" t="s">
        <v>33</v>
      </c>
      <c r="E300" t="str">
        <f>"400441"</f>
        <v>400441</v>
      </c>
      <c r="F300" t="s">
        <v>65</v>
      </c>
      <c r="G300">
        <v>4</v>
      </c>
      <c r="H300">
        <v>0</v>
      </c>
      <c r="I300" t="s">
        <v>651</v>
      </c>
      <c r="J300" t="str">
        <f>"153000397"</f>
        <v>153000397</v>
      </c>
      <c r="K300" s="1">
        <v>48014</v>
      </c>
      <c r="M300" s="1">
        <v>46189</v>
      </c>
      <c r="N300" t="str">
        <f t="shared" si="44"/>
        <v>1329001950</v>
      </c>
      <c r="O300">
        <v>4</v>
      </c>
      <c r="P300" s="2">
        <v>46217.46534722222</v>
      </c>
      <c r="Q300" s="2">
        <v>46218.338726851849</v>
      </c>
      <c r="R300" s="2">
        <v>46217.46534722222</v>
      </c>
      <c r="S300">
        <v>0</v>
      </c>
      <c r="T300" t="s">
        <v>67</v>
      </c>
      <c r="U300" t="s">
        <v>67</v>
      </c>
      <c r="W300" t="str">
        <f>"400441"</f>
        <v>400441</v>
      </c>
      <c r="X300" t="s">
        <v>41</v>
      </c>
      <c r="AD300" s="2">
        <v>46218.338726851849</v>
      </c>
    </row>
    <row r="301" spans="1:30" x14ac:dyDescent="0.35">
      <c r="A301" t="s">
        <v>30</v>
      </c>
      <c r="B301" t="s">
        <v>31</v>
      </c>
      <c r="C301" t="s">
        <v>652</v>
      </c>
      <c r="D301" t="s">
        <v>33</v>
      </c>
      <c r="E301" t="str">
        <f>"400441"</f>
        <v>400441</v>
      </c>
      <c r="F301" t="s">
        <v>65</v>
      </c>
      <c r="G301">
        <v>4</v>
      </c>
      <c r="H301">
        <v>0</v>
      </c>
      <c r="I301" t="s">
        <v>653</v>
      </c>
      <c r="J301" t="str">
        <f>"153000397"</f>
        <v>153000397</v>
      </c>
      <c r="K301" s="1">
        <v>48014</v>
      </c>
      <c r="M301" s="1">
        <v>46189</v>
      </c>
      <c r="N301" t="str">
        <f t="shared" si="44"/>
        <v>1329001950</v>
      </c>
      <c r="O301">
        <v>4</v>
      </c>
      <c r="P301" s="2">
        <v>46217.465451388889</v>
      </c>
      <c r="Q301" s="2">
        <v>46218.339837962965</v>
      </c>
      <c r="R301" s="2">
        <v>46217.465451388889</v>
      </c>
      <c r="S301">
        <v>0</v>
      </c>
      <c r="T301" t="s">
        <v>67</v>
      </c>
      <c r="U301" t="s">
        <v>67</v>
      </c>
      <c r="W301" t="str">
        <f>"400441"</f>
        <v>400441</v>
      </c>
      <c r="X301" t="s">
        <v>41</v>
      </c>
      <c r="AD301" s="2">
        <v>46218.339837962965</v>
      </c>
    </row>
    <row r="302" spans="1:30" x14ac:dyDescent="0.35">
      <c r="A302" t="s">
        <v>30</v>
      </c>
      <c r="B302" t="s">
        <v>31</v>
      </c>
      <c r="C302" t="s">
        <v>654</v>
      </c>
      <c r="D302" t="s">
        <v>33</v>
      </c>
      <c r="E302" t="str">
        <f>"400441"</f>
        <v>400441</v>
      </c>
      <c r="F302" t="s">
        <v>65</v>
      </c>
      <c r="G302">
        <v>4</v>
      </c>
      <c r="H302">
        <v>0</v>
      </c>
      <c r="I302" t="s">
        <v>655</v>
      </c>
      <c r="J302" t="str">
        <f>"153000397"</f>
        <v>153000397</v>
      </c>
      <c r="K302" s="1">
        <v>48014</v>
      </c>
      <c r="M302" s="1">
        <v>46189</v>
      </c>
      <c r="N302" t="str">
        <f t="shared" si="44"/>
        <v>1329001950</v>
      </c>
      <c r="O302">
        <v>4</v>
      </c>
      <c r="P302" s="2">
        <v>46217.465532407405</v>
      </c>
      <c r="Q302" s="2">
        <v>46218.340277777781</v>
      </c>
      <c r="R302" s="2">
        <v>46217.465532407405</v>
      </c>
      <c r="S302">
        <v>0</v>
      </c>
      <c r="T302" t="s">
        <v>67</v>
      </c>
      <c r="U302" t="s">
        <v>67</v>
      </c>
      <c r="W302" t="str">
        <f>"400441"</f>
        <v>400441</v>
      </c>
      <c r="X302" t="s">
        <v>41</v>
      </c>
      <c r="AD302" s="2">
        <v>46218.340277777781</v>
      </c>
    </row>
    <row r="303" spans="1:30" x14ac:dyDescent="0.35">
      <c r="A303" t="s">
        <v>30</v>
      </c>
      <c r="B303" t="s">
        <v>31</v>
      </c>
      <c r="C303" t="s">
        <v>656</v>
      </c>
      <c r="D303" t="s">
        <v>33</v>
      </c>
      <c r="E303" t="str">
        <f>"400441"</f>
        <v>400441</v>
      </c>
      <c r="F303" t="s">
        <v>65</v>
      </c>
      <c r="G303">
        <v>4</v>
      </c>
      <c r="H303">
        <v>0</v>
      </c>
      <c r="I303" t="s">
        <v>657</v>
      </c>
      <c r="J303" t="str">
        <f>"153000397"</f>
        <v>153000397</v>
      </c>
      <c r="K303" s="1">
        <v>48014</v>
      </c>
      <c r="M303" s="1">
        <v>46189</v>
      </c>
      <c r="N303" t="str">
        <f t="shared" si="44"/>
        <v>1329001950</v>
      </c>
      <c r="O303">
        <v>4</v>
      </c>
      <c r="P303" s="2">
        <v>46217.465636574074</v>
      </c>
      <c r="Q303" s="2">
        <v>46218.341446759259</v>
      </c>
      <c r="R303" s="2">
        <v>46217.465636574074</v>
      </c>
      <c r="S303">
        <v>0</v>
      </c>
      <c r="T303" t="s">
        <v>67</v>
      </c>
      <c r="U303" t="s">
        <v>67</v>
      </c>
      <c r="W303" t="str">
        <f>"400441"</f>
        <v>400441</v>
      </c>
      <c r="X303" t="s">
        <v>41</v>
      </c>
      <c r="AD303" s="2">
        <v>46218.341446759259</v>
      </c>
    </row>
    <row r="304" spans="1:30" x14ac:dyDescent="0.35">
      <c r="A304" t="s">
        <v>30</v>
      </c>
      <c r="B304" t="s">
        <v>31</v>
      </c>
      <c r="C304" t="s">
        <v>658</v>
      </c>
      <c r="D304" t="s">
        <v>33</v>
      </c>
      <c r="E304" t="str">
        <f>"400508"</f>
        <v>400508</v>
      </c>
      <c r="F304" t="s">
        <v>586</v>
      </c>
      <c r="G304">
        <v>4</v>
      </c>
      <c r="H304">
        <v>0</v>
      </c>
      <c r="I304" t="s">
        <v>659</v>
      </c>
      <c r="J304" t="str">
        <f>"153000431"</f>
        <v>153000431</v>
      </c>
      <c r="K304" s="1">
        <v>48032</v>
      </c>
      <c r="M304" s="1">
        <v>46207</v>
      </c>
      <c r="N304" t="str">
        <f t="shared" si="44"/>
        <v>1329001950</v>
      </c>
      <c r="O304">
        <v>4</v>
      </c>
      <c r="P304" s="2">
        <v>46217.466574074075</v>
      </c>
      <c r="Q304" s="2">
        <v>46218.341736111113</v>
      </c>
      <c r="R304" s="2">
        <v>46217.466574074075</v>
      </c>
      <c r="S304">
        <v>0</v>
      </c>
      <c r="T304" t="s">
        <v>67</v>
      </c>
      <c r="U304" t="s">
        <v>67</v>
      </c>
      <c r="W304" t="str">
        <f>"400508"</f>
        <v>400508</v>
      </c>
      <c r="X304" t="s">
        <v>41</v>
      </c>
      <c r="AD304" s="2">
        <v>46218.341736111113</v>
      </c>
    </row>
    <row r="305" spans="1:30" x14ac:dyDescent="0.35">
      <c r="A305" t="s">
        <v>30</v>
      </c>
      <c r="B305" t="s">
        <v>31</v>
      </c>
      <c r="C305" t="s">
        <v>660</v>
      </c>
      <c r="D305" t="s">
        <v>33</v>
      </c>
      <c r="E305" t="str">
        <f>"400441"</f>
        <v>400441</v>
      </c>
      <c r="F305" t="s">
        <v>65</v>
      </c>
      <c r="G305">
        <v>4</v>
      </c>
      <c r="H305">
        <v>0</v>
      </c>
      <c r="I305" t="s">
        <v>661</v>
      </c>
      <c r="J305" t="str">
        <f>"153000397"</f>
        <v>153000397</v>
      </c>
      <c r="K305" s="1">
        <v>48014</v>
      </c>
      <c r="M305" s="1">
        <v>46189</v>
      </c>
      <c r="N305" t="str">
        <f t="shared" si="44"/>
        <v>1329001950</v>
      </c>
      <c r="O305">
        <v>4</v>
      </c>
      <c r="P305" s="2">
        <v>46217.466435185182</v>
      </c>
      <c r="Q305" s="2">
        <v>46218.343078703707</v>
      </c>
      <c r="R305" s="2">
        <v>46217.466435185182</v>
      </c>
      <c r="S305">
        <v>0</v>
      </c>
      <c r="T305" t="s">
        <v>67</v>
      </c>
      <c r="U305" t="s">
        <v>67</v>
      </c>
      <c r="W305" t="str">
        <f>"400441"</f>
        <v>400441</v>
      </c>
      <c r="X305" t="s">
        <v>41</v>
      </c>
      <c r="AD305" s="2">
        <v>46218.343078703707</v>
      </c>
    </row>
    <row r="306" spans="1:30" x14ac:dyDescent="0.35">
      <c r="A306" t="s">
        <v>30</v>
      </c>
      <c r="B306" t="s">
        <v>31</v>
      </c>
      <c r="C306" t="s">
        <v>662</v>
      </c>
      <c r="D306" t="s">
        <v>33</v>
      </c>
      <c r="E306" t="str">
        <f>"400441"</f>
        <v>400441</v>
      </c>
      <c r="F306" t="s">
        <v>65</v>
      </c>
      <c r="G306">
        <v>4</v>
      </c>
      <c r="H306">
        <v>0</v>
      </c>
      <c r="I306" t="s">
        <v>663</v>
      </c>
      <c r="J306" t="str">
        <f>"153000397"</f>
        <v>153000397</v>
      </c>
      <c r="K306" s="1">
        <v>48014</v>
      </c>
      <c r="M306" s="1">
        <v>46189</v>
      </c>
      <c r="N306" t="str">
        <f t="shared" si="44"/>
        <v>1329001950</v>
      </c>
      <c r="O306">
        <v>4</v>
      </c>
      <c r="P306" s="2">
        <v>46217.46837962963</v>
      </c>
      <c r="Q306" s="2">
        <v>46218.343368055554</v>
      </c>
      <c r="R306" s="2">
        <v>46217.46837962963</v>
      </c>
      <c r="S306">
        <v>0</v>
      </c>
      <c r="T306" t="s">
        <v>67</v>
      </c>
      <c r="U306" t="s">
        <v>67</v>
      </c>
      <c r="W306" t="str">
        <f>"400441"</f>
        <v>400441</v>
      </c>
      <c r="X306" t="s">
        <v>41</v>
      </c>
      <c r="AD306" s="2">
        <v>46218.343368055554</v>
      </c>
    </row>
    <row r="307" spans="1:30" x14ac:dyDescent="0.35">
      <c r="A307" t="s">
        <v>30</v>
      </c>
      <c r="B307" t="s">
        <v>31</v>
      </c>
      <c r="C307" t="s">
        <v>664</v>
      </c>
      <c r="D307" t="s">
        <v>33</v>
      </c>
      <c r="E307" t="str">
        <f>"400508"</f>
        <v>400508</v>
      </c>
      <c r="F307" t="s">
        <v>586</v>
      </c>
      <c r="G307">
        <v>4</v>
      </c>
      <c r="H307">
        <v>0</v>
      </c>
      <c r="I307" t="s">
        <v>665</v>
      </c>
      <c r="J307" t="str">
        <f>"153000431"</f>
        <v>153000431</v>
      </c>
      <c r="K307" s="1">
        <v>48032</v>
      </c>
      <c r="M307" s="1">
        <v>46207</v>
      </c>
      <c r="N307" t="str">
        <f t="shared" si="44"/>
        <v>1329001950</v>
      </c>
      <c r="O307">
        <v>4</v>
      </c>
      <c r="P307" s="2">
        <v>46217.468472222223</v>
      </c>
      <c r="Q307" s="2">
        <v>46218.344618055555</v>
      </c>
      <c r="R307" s="2">
        <v>46217.468472222223</v>
      </c>
      <c r="S307">
        <v>0</v>
      </c>
      <c r="T307" t="s">
        <v>67</v>
      </c>
      <c r="U307" t="s">
        <v>67</v>
      </c>
      <c r="W307" t="str">
        <f>"400508"</f>
        <v>400508</v>
      </c>
      <c r="X307" t="s">
        <v>41</v>
      </c>
      <c r="AD307" s="2">
        <v>46218.344618055555</v>
      </c>
    </row>
    <row r="308" spans="1:30" x14ac:dyDescent="0.35">
      <c r="A308" t="s">
        <v>30</v>
      </c>
      <c r="B308" t="s">
        <v>31</v>
      </c>
      <c r="C308" t="s">
        <v>666</v>
      </c>
      <c r="D308" t="s">
        <v>33</v>
      </c>
      <c r="E308" t="str">
        <f>"400508"</f>
        <v>400508</v>
      </c>
      <c r="F308" t="s">
        <v>586</v>
      </c>
      <c r="G308">
        <v>4</v>
      </c>
      <c r="H308">
        <v>0</v>
      </c>
      <c r="I308" t="s">
        <v>667</v>
      </c>
      <c r="J308" t="str">
        <f>"153000431"</f>
        <v>153000431</v>
      </c>
      <c r="K308" s="1">
        <v>48032</v>
      </c>
      <c r="M308" s="1">
        <v>46207</v>
      </c>
      <c r="N308" t="str">
        <f t="shared" si="44"/>
        <v>1329001950</v>
      </c>
      <c r="O308">
        <v>4</v>
      </c>
      <c r="P308" s="2">
        <v>46217.466296296298</v>
      </c>
      <c r="Q308" s="2">
        <v>46218.344664351855</v>
      </c>
      <c r="R308" s="2">
        <v>46217.466296296298</v>
      </c>
      <c r="S308">
        <v>0</v>
      </c>
      <c r="T308" t="s">
        <v>67</v>
      </c>
      <c r="U308" t="s">
        <v>67</v>
      </c>
      <c r="W308" t="str">
        <f>"400508"</f>
        <v>400508</v>
      </c>
      <c r="X308" t="s">
        <v>41</v>
      </c>
      <c r="AD308" s="2">
        <v>46218.344664351855</v>
      </c>
    </row>
    <row r="309" spans="1:30" x14ac:dyDescent="0.35">
      <c r="A309" t="s">
        <v>30</v>
      </c>
      <c r="B309" t="s">
        <v>31</v>
      </c>
      <c r="C309" t="s">
        <v>668</v>
      </c>
      <c r="D309" t="s">
        <v>33</v>
      </c>
      <c r="E309" t="str">
        <f>"400441"</f>
        <v>400441</v>
      </c>
      <c r="F309" t="s">
        <v>65</v>
      </c>
      <c r="G309">
        <v>4</v>
      </c>
      <c r="H309">
        <v>0</v>
      </c>
      <c r="I309" t="s">
        <v>669</v>
      </c>
      <c r="J309" t="str">
        <f>"153000397"</f>
        <v>153000397</v>
      </c>
      <c r="K309" s="1">
        <v>48014</v>
      </c>
      <c r="M309" s="1">
        <v>46189</v>
      </c>
      <c r="N309" t="str">
        <f t="shared" si="44"/>
        <v>1329001950</v>
      </c>
      <c r="O309">
        <v>4</v>
      </c>
      <c r="P309" s="2">
        <v>46217.466134259259</v>
      </c>
      <c r="Q309" s="2">
        <v>46218.346863425926</v>
      </c>
      <c r="R309" s="2">
        <v>46217.466134259259</v>
      </c>
      <c r="S309">
        <v>0</v>
      </c>
      <c r="T309" t="s">
        <v>67</v>
      </c>
      <c r="U309" t="s">
        <v>67</v>
      </c>
      <c r="W309" t="str">
        <f>"400441"</f>
        <v>400441</v>
      </c>
      <c r="X309" t="s">
        <v>41</v>
      </c>
      <c r="AD309" s="2">
        <v>46218.346863425926</v>
      </c>
    </row>
    <row r="310" spans="1:30" x14ac:dyDescent="0.35">
      <c r="A310" t="s">
        <v>30</v>
      </c>
      <c r="B310" t="s">
        <v>31</v>
      </c>
      <c r="C310" t="s">
        <v>670</v>
      </c>
      <c r="D310" t="s">
        <v>33</v>
      </c>
      <c r="E310" t="str">
        <f>"400508"</f>
        <v>400508</v>
      </c>
      <c r="F310" t="s">
        <v>586</v>
      </c>
      <c r="G310">
        <v>4</v>
      </c>
      <c r="H310">
        <v>0</v>
      </c>
      <c r="I310" t="s">
        <v>671</v>
      </c>
      <c r="J310" t="str">
        <f>"153000431"</f>
        <v>153000431</v>
      </c>
      <c r="K310" s="1">
        <v>48032</v>
      </c>
      <c r="M310" s="1">
        <v>46207</v>
      </c>
      <c r="N310" t="str">
        <f t="shared" si="44"/>
        <v>1329001950</v>
      </c>
      <c r="O310">
        <v>4</v>
      </c>
      <c r="P310" s="2">
        <v>46217.465995370374</v>
      </c>
      <c r="Q310" s="2">
        <v>46218.348773148151</v>
      </c>
      <c r="R310" s="2">
        <v>46217.465995370374</v>
      </c>
      <c r="S310">
        <v>0</v>
      </c>
      <c r="T310" t="s">
        <v>67</v>
      </c>
      <c r="U310" t="s">
        <v>67</v>
      </c>
      <c r="W310" t="str">
        <f>"400508"</f>
        <v>400508</v>
      </c>
      <c r="X310" t="s">
        <v>41</v>
      </c>
      <c r="AD310" s="2">
        <v>46218.348773148151</v>
      </c>
    </row>
    <row r="311" spans="1:30" x14ac:dyDescent="0.35">
      <c r="A311" t="s">
        <v>30</v>
      </c>
      <c r="B311" t="s">
        <v>31</v>
      </c>
      <c r="C311" t="s">
        <v>672</v>
      </c>
      <c r="D311" t="s">
        <v>33</v>
      </c>
      <c r="E311" t="str">
        <f>"400441"</f>
        <v>400441</v>
      </c>
      <c r="F311" t="s">
        <v>65</v>
      </c>
      <c r="G311">
        <v>4</v>
      </c>
      <c r="H311">
        <v>0</v>
      </c>
      <c r="I311" t="s">
        <v>673</v>
      </c>
      <c r="J311" t="str">
        <f>"153000397"</f>
        <v>153000397</v>
      </c>
      <c r="K311" s="1">
        <v>48014</v>
      </c>
      <c r="M311" s="1">
        <v>46189</v>
      </c>
      <c r="N311" t="str">
        <f t="shared" si="44"/>
        <v>1329001950</v>
      </c>
      <c r="O311">
        <v>4</v>
      </c>
      <c r="P311" s="2">
        <v>46217.465868055559</v>
      </c>
      <c r="Q311" s="2">
        <v>46218.350601851853</v>
      </c>
      <c r="R311" s="2">
        <v>46217.465868055559</v>
      </c>
      <c r="S311">
        <v>0</v>
      </c>
      <c r="T311" t="s">
        <v>67</v>
      </c>
      <c r="U311" t="s">
        <v>67</v>
      </c>
      <c r="W311" t="str">
        <f>"400441"</f>
        <v>400441</v>
      </c>
      <c r="X311" t="s">
        <v>41</v>
      </c>
      <c r="AD311" s="2">
        <v>46218.350601851853</v>
      </c>
    </row>
    <row r="312" spans="1:30" x14ac:dyDescent="0.35">
      <c r="A312" t="s">
        <v>30</v>
      </c>
      <c r="B312" t="s">
        <v>31</v>
      </c>
      <c r="C312" t="s">
        <v>674</v>
      </c>
      <c r="D312" t="s">
        <v>33</v>
      </c>
      <c r="E312" t="str">
        <f>"400441"</f>
        <v>400441</v>
      </c>
      <c r="F312" t="s">
        <v>65</v>
      </c>
      <c r="G312">
        <v>4</v>
      </c>
      <c r="H312">
        <v>0</v>
      </c>
      <c r="I312" t="s">
        <v>675</v>
      </c>
      <c r="J312" t="str">
        <f>"153000397"</f>
        <v>153000397</v>
      </c>
      <c r="K312" s="1">
        <v>48014</v>
      </c>
      <c r="M312" s="1">
        <v>46189</v>
      </c>
      <c r="N312" t="str">
        <f t="shared" si="44"/>
        <v>1329001950</v>
      </c>
      <c r="O312">
        <v>4</v>
      </c>
      <c r="P312" s="2">
        <v>46217.465740740743</v>
      </c>
      <c r="Q312" s="2">
        <v>46218.35229166667</v>
      </c>
      <c r="R312" s="2">
        <v>46217.465740740743</v>
      </c>
      <c r="S312">
        <v>0</v>
      </c>
      <c r="T312" t="s">
        <v>67</v>
      </c>
      <c r="U312" t="s">
        <v>67</v>
      </c>
      <c r="W312" t="str">
        <f>"400441"</f>
        <v>400441</v>
      </c>
      <c r="X312" t="s">
        <v>41</v>
      </c>
      <c r="AD312" s="2">
        <v>46218.35229166667</v>
      </c>
    </row>
    <row r="313" spans="1:30" x14ac:dyDescent="0.35">
      <c r="A313" t="s">
        <v>30</v>
      </c>
      <c r="B313" t="s">
        <v>31</v>
      </c>
      <c r="C313" t="s">
        <v>676</v>
      </c>
      <c r="D313" t="s">
        <v>33</v>
      </c>
      <c r="E313" t="str">
        <f>"400441"</f>
        <v>400441</v>
      </c>
      <c r="F313" t="s">
        <v>65</v>
      </c>
      <c r="G313">
        <v>4</v>
      </c>
      <c r="H313">
        <v>0</v>
      </c>
      <c r="I313" t="s">
        <v>677</v>
      </c>
      <c r="J313" t="str">
        <f>"153000397"</f>
        <v>153000397</v>
      </c>
      <c r="K313" s="1">
        <v>48014</v>
      </c>
      <c r="M313" s="1">
        <v>46189</v>
      </c>
      <c r="N313" t="str">
        <f t="shared" si="44"/>
        <v>1329001950</v>
      </c>
      <c r="O313">
        <v>4</v>
      </c>
      <c r="P313" s="2">
        <v>46217.466805555552</v>
      </c>
      <c r="Q313" s="2">
        <v>46218.353958333333</v>
      </c>
      <c r="R313" s="2">
        <v>46217.466805555552</v>
      </c>
      <c r="S313">
        <v>0</v>
      </c>
      <c r="T313" t="s">
        <v>67</v>
      </c>
      <c r="U313" t="s">
        <v>67</v>
      </c>
      <c r="W313" t="str">
        <f>"400441"</f>
        <v>400441</v>
      </c>
      <c r="X313" t="s">
        <v>41</v>
      </c>
      <c r="AD313" s="2">
        <v>46218.353958333333</v>
      </c>
    </row>
    <row r="314" spans="1:30" x14ac:dyDescent="0.35">
      <c r="A314" t="s">
        <v>30</v>
      </c>
      <c r="B314" t="s">
        <v>31</v>
      </c>
      <c r="C314" t="s">
        <v>678</v>
      </c>
      <c r="D314" t="s">
        <v>33</v>
      </c>
      <c r="E314" t="str">
        <f>"400508"</f>
        <v>400508</v>
      </c>
      <c r="F314" t="s">
        <v>586</v>
      </c>
      <c r="G314">
        <v>4</v>
      </c>
      <c r="H314">
        <v>0</v>
      </c>
      <c r="I314" t="s">
        <v>679</v>
      </c>
      <c r="J314" t="str">
        <f>"153000431"</f>
        <v>153000431</v>
      </c>
      <c r="K314" s="1">
        <v>48032</v>
      </c>
      <c r="M314" s="1">
        <v>46207</v>
      </c>
      <c r="N314" t="str">
        <f t="shared" si="44"/>
        <v>1329001950</v>
      </c>
      <c r="O314">
        <v>4</v>
      </c>
      <c r="P314" s="2">
        <v>46217.466886574075</v>
      </c>
      <c r="Q314" s="2">
        <v>46218.354780092595</v>
      </c>
      <c r="R314" s="2">
        <v>46217.466886574075</v>
      </c>
      <c r="S314">
        <v>0</v>
      </c>
      <c r="T314" t="s">
        <v>67</v>
      </c>
      <c r="U314" t="s">
        <v>67</v>
      </c>
      <c r="W314" t="str">
        <f>"400508"</f>
        <v>400508</v>
      </c>
      <c r="X314" t="s">
        <v>41</v>
      </c>
      <c r="AD314" s="2">
        <v>46218.354780092595</v>
      </c>
    </row>
    <row r="315" spans="1:30" x14ac:dyDescent="0.35">
      <c r="A315" t="s">
        <v>30</v>
      </c>
      <c r="B315" t="s">
        <v>31</v>
      </c>
      <c r="C315" t="s">
        <v>680</v>
      </c>
      <c r="D315" t="s">
        <v>33</v>
      </c>
      <c r="E315" t="str">
        <f>"400508"</f>
        <v>400508</v>
      </c>
      <c r="F315" t="s">
        <v>586</v>
      </c>
      <c r="G315">
        <v>4</v>
      </c>
      <c r="H315">
        <v>0</v>
      </c>
      <c r="I315" t="s">
        <v>681</v>
      </c>
      <c r="J315" t="str">
        <f>"153000431"</f>
        <v>153000431</v>
      </c>
      <c r="K315" s="1">
        <v>48032</v>
      </c>
      <c r="M315" s="1">
        <v>46207</v>
      </c>
      <c r="N315" t="str">
        <f t="shared" si="44"/>
        <v>1329001950</v>
      </c>
      <c r="O315">
        <v>4</v>
      </c>
      <c r="P315" s="2">
        <v>46217.467002314814</v>
      </c>
      <c r="Q315" s="2">
        <v>46218.355636574073</v>
      </c>
      <c r="R315" s="2">
        <v>46217.467002314814</v>
      </c>
      <c r="S315">
        <v>0</v>
      </c>
      <c r="T315" t="s">
        <v>67</v>
      </c>
      <c r="U315" t="s">
        <v>67</v>
      </c>
      <c r="W315" t="str">
        <f>"400508"</f>
        <v>400508</v>
      </c>
      <c r="X315" t="s">
        <v>41</v>
      </c>
      <c r="AD315" s="2">
        <v>46218.355636574073</v>
      </c>
    </row>
    <row r="316" spans="1:30" x14ac:dyDescent="0.35">
      <c r="A316" t="s">
        <v>30</v>
      </c>
      <c r="B316" t="s">
        <v>31</v>
      </c>
      <c r="C316" t="s">
        <v>682</v>
      </c>
      <c r="D316" t="s">
        <v>33</v>
      </c>
      <c r="E316" t="str">
        <f>"400441"</f>
        <v>400441</v>
      </c>
      <c r="F316" t="s">
        <v>65</v>
      </c>
      <c r="G316">
        <v>4</v>
      </c>
      <c r="H316">
        <v>0</v>
      </c>
      <c r="I316" t="s">
        <v>683</v>
      </c>
      <c r="J316" t="str">
        <f>"153000397"</f>
        <v>153000397</v>
      </c>
      <c r="K316" s="1">
        <v>48014</v>
      </c>
      <c r="M316" s="1">
        <v>46189</v>
      </c>
      <c r="N316" t="str">
        <f t="shared" si="44"/>
        <v>1329001950</v>
      </c>
      <c r="O316">
        <v>4</v>
      </c>
      <c r="P316" s="2">
        <v>46217.467118055552</v>
      </c>
      <c r="Q316" s="2">
        <v>46218.356296296297</v>
      </c>
      <c r="R316" s="2">
        <v>46217.467118055552</v>
      </c>
      <c r="S316">
        <v>0</v>
      </c>
      <c r="T316" t="s">
        <v>67</v>
      </c>
      <c r="U316" t="s">
        <v>67</v>
      </c>
      <c r="W316" t="str">
        <f>"400441"</f>
        <v>400441</v>
      </c>
      <c r="X316" t="s">
        <v>41</v>
      </c>
      <c r="AD316" s="2">
        <v>46218.356296296297</v>
      </c>
    </row>
    <row r="317" spans="1:30" x14ac:dyDescent="0.35">
      <c r="A317" t="s">
        <v>30</v>
      </c>
      <c r="B317" t="s">
        <v>31</v>
      </c>
      <c r="C317" t="s">
        <v>684</v>
      </c>
      <c r="D317" t="s">
        <v>33</v>
      </c>
      <c r="E317" t="str">
        <f>"400508"</f>
        <v>400508</v>
      </c>
      <c r="F317" t="s">
        <v>586</v>
      </c>
      <c r="G317">
        <v>4</v>
      </c>
      <c r="H317">
        <v>0</v>
      </c>
      <c r="I317" t="s">
        <v>685</v>
      </c>
      <c r="J317" t="str">
        <f>"153000431"</f>
        <v>153000431</v>
      </c>
      <c r="K317" s="1">
        <v>48032</v>
      </c>
      <c r="M317" s="1">
        <v>46207</v>
      </c>
      <c r="N317" t="str">
        <f t="shared" si="44"/>
        <v>1329001950</v>
      </c>
      <c r="O317">
        <v>4</v>
      </c>
      <c r="P317" s="2">
        <v>46217.467245370368</v>
      </c>
      <c r="Q317" s="2">
        <v>46218.358217592591</v>
      </c>
      <c r="R317" s="2">
        <v>46217.467245370368</v>
      </c>
      <c r="S317">
        <v>0</v>
      </c>
      <c r="T317" t="s">
        <v>67</v>
      </c>
      <c r="U317" t="s">
        <v>67</v>
      </c>
      <c r="W317" t="str">
        <f>"400508"</f>
        <v>400508</v>
      </c>
      <c r="X317" t="s">
        <v>41</v>
      </c>
      <c r="AD317" s="2">
        <v>46218.358217592591</v>
      </c>
    </row>
    <row r="318" spans="1:30" x14ac:dyDescent="0.35">
      <c r="A318" t="s">
        <v>30</v>
      </c>
      <c r="B318" t="s">
        <v>31</v>
      </c>
      <c r="C318" t="s">
        <v>686</v>
      </c>
      <c r="D318" t="s">
        <v>33</v>
      </c>
      <c r="E318" t="str">
        <f>"400508"</f>
        <v>400508</v>
      </c>
      <c r="F318" t="s">
        <v>586</v>
      </c>
      <c r="G318">
        <v>4</v>
      </c>
      <c r="H318">
        <v>0</v>
      </c>
      <c r="I318" t="s">
        <v>687</v>
      </c>
      <c r="J318" t="str">
        <f>"153000431"</f>
        <v>153000431</v>
      </c>
      <c r="K318" s="1">
        <v>48032</v>
      </c>
      <c r="M318" s="1">
        <v>46207</v>
      </c>
      <c r="N318" t="str">
        <f t="shared" si="44"/>
        <v>1329001950</v>
      </c>
      <c r="O318">
        <v>4</v>
      </c>
      <c r="P318" s="2">
        <v>46217.467847222222</v>
      </c>
      <c r="Q318" s="2">
        <v>46218.358449074076</v>
      </c>
      <c r="R318" s="2">
        <v>46217.467847222222</v>
      </c>
      <c r="S318">
        <v>0</v>
      </c>
      <c r="T318" t="s">
        <v>67</v>
      </c>
      <c r="U318" t="s">
        <v>67</v>
      </c>
      <c r="W318" t="str">
        <f>"400508"</f>
        <v>400508</v>
      </c>
      <c r="X318" t="s">
        <v>41</v>
      </c>
      <c r="AD318" s="2">
        <v>46218.358449074076</v>
      </c>
    </row>
    <row r="319" spans="1:30" x14ac:dyDescent="0.35">
      <c r="A319" t="s">
        <v>30</v>
      </c>
      <c r="B319" t="s">
        <v>31</v>
      </c>
      <c r="C319" t="s">
        <v>688</v>
      </c>
      <c r="D319" t="s">
        <v>33</v>
      </c>
      <c r="E319" t="str">
        <f>"400441"</f>
        <v>400441</v>
      </c>
      <c r="F319" t="s">
        <v>65</v>
      </c>
      <c r="G319">
        <v>4</v>
      </c>
      <c r="H319">
        <v>0</v>
      </c>
      <c r="I319" t="s">
        <v>689</v>
      </c>
      <c r="J319" t="str">
        <f>"153000397"</f>
        <v>153000397</v>
      </c>
      <c r="K319" s="1">
        <v>48014</v>
      </c>
      <c r="M319" s="1">
        <v>46189</v>
      </c>
      <c r="N319" t="str">
        <f t="shared" si="44"/>
        <v>1329001950</v>
      </c>
      <c r="O319">
        <v>4</v>
      </c>
      <c r="P319" s="2">
        <v>46217.467349537037</v>
      </c>
      <c r="Q319" s="2">
        <v>46218.359236111108</v>
      </c>
      <c r="R319" s="2">
        <v>46217.467349537037</v>
      </c>
      <c r="S319">
        <v>0</v>
      </c>
      <c r="T319" t="s">
        <v>67</v>
      </c>
      <c r="U319" t="s">
        <v>67</v>
      </c>
      <c r="W319" t="str">
        <f>"400441"</f>
        <v>400441</v>
      </c>
      <c r="X319" t="s">
        <v>41</v>
      </c>
      <c r="AD319" s="2">
        <v>46218.359236111108</v>
      </c>
    </row>
    <row r="320" spans="1:30" x14ac:dyDescent="0.35">
      <c r="A320" t="s">
        <v>30</v>
      </c>
      <c r="B320" t="s">
        <v>31</v>
      </c>
      <c r="C320" t="s">
        <v>690</v>
      </c>
      <c r="D320" t="s">
        <v>33</v>
      </c>
      <c r="E320" t="str">
        <f>"400441"</f>
        <v>400441</v>
      </c>
      <c r="F320" t="s">
        <v>65</v>
      </c>
      <c r="G320">
        <v>4</v>
      </c>
      <c r="H320">
        <v>0</v>
      </c>
      <c r="I320" t="s">
        <v>691</v>
      </c>
      <c r="J320" t="str">
        <f>"153000397"</f>
        <v>153000397</v>
      </c>
      <c r="K320" s="1">
        <v>48014</v>
      </c>
      <c r="M320" s="1">
        <v>46189</v>
      </c>
      <c r="N320" t="str">
        <f t="shared" si="44"/>
        <v>1329001950</v>
      </c>
      <c r="O320">
        <v>4</v>
      </c>
      <c r="P320" s="2">
        <v>46217.46769675926</v>
      </c>
      <c r="Q320" s="2">
        <v>46218.359398148146</v>
      </c>
      <c r="R320" s="2">
        <v>46217.46769675926</v>
      </c>
      <c r="S320">
        <v>0</v>
      </c>
      <c r="T320" t="s">
        <v>67</v>
      </c>
      <c r="U320" t="s">
        <v>67</v>
      </c>
      <c r="W320" t="str">
        <f>"400441"</f>
        <v>400441</v>
      </c>
      <c r="X320" t="s">
        <v>41</v>
      </c>
      <c r="AD320" s="2">
        <v>46218.359386574077</v>
      </c>
    </row>
    <row r="321" spans="1:30" x14ac:dyDescent="0.35">
      <c r="A321" t="s">
        <v>30</v>
      </c>
      <c r="B321" t="s">
        <v>31</v>
      </c>
      <c r="C321" t="s">
        <v>692</v>
      </c>
      <c r="D321" t="s">
        <v>33</v>
      </c>
      <c r="E321" t="str">
        <f>"400441"</f>
        <v>400441</v>
      </c>
      <c r="F321" t="s">
        <v>65</v>
      </c>
      <c r="G321">
        <v>4</v>
      </c>
      <c r="H321">
        <v>0</v>
      </c>
      <c r="I321" t="s">
        <v>693</v>
      </c>
      <c r="J321" t="str">
        <f>"153000397"</f>
        <v>153000397</v>
      </c>
      <c r="K321" s="1">
        <v>48014</v>
      </c>
      <c r="M321" s="1">
        <v>46189</v>
      </c>
      <c r="N321" t="str">
        <f t="shared" si="44"/>
        <v>1329001950</v>
      </c>
      <c r="O321">
        <v>4</v>
      </c>
      <c r="P321" s="2">
        <v>46217.467488425929</v>
      </c>
      <c r="Q321" s="2">
        <v>46218.360312500001</v>
      </c>
      <c r="R321" s="2">
        <v>46217.467488425929</v>
      </c>
      <c r="S321">
        <v>0</v>
      </c>
      <c r="T321" t="s">
        <v>67</v>
      </c>
      <c r="U321" t="s">
        <v>67</v>
      </c>
      <c r="W321" t="str">
        <f>"400441"</f>
        <v>400441</v>
      </c>
      <c r="X321" t="s">
        <v>41</v>
      </c>
      <c r="AD321" s="2">
        <v>46218.360312500001</v>
      </c>
    </row>
    <row r="322" spans="1:30" x14ac:dyDescent="0.35">
      <c r="A322" t="s">
        <v>30</v>
      </c>
      <c r="B322" t="s">
        <v>31</v>
      </c>
      <c r="C322" t="s">
        <v>694</v>
      </c>
      <c r="D322" t="s">
        <v>33</v>
      </c>
      <c r="E322" t="str">
        <f>"400508"</f>
        <v>400508</v>
      </c>
      <c r="F322" t="s">
        <v>586</v>
      </c>
      <c r="G322">
        <v>4</v>
      </c>
      <c r="H322">
        <v>0</v>
      </c>
      <c r="I322" t="s">
        <v>695</v>
      </c>
      <c r="J322" t="str">
        <f>"153000431"</f>
        <v>153000431</v>
      </c>
      <c r="K322" s="1">
        <v>48032</v>
      </c>
      <c r="M322" s="1">
        <v>46207</v>
      </c>
      <c r="N322" t="str">
        <f t="shared" si="44"/>
        <v>1329001950</v>
      </c>
      <c r="O322">
        <v>4</v>
      </c>
      <c r="P322" s="2">
        <v>46217.467592592591</v>
      </c>
      <c r="Q322" s="2">
        <v>46218.360810185186</v>
      </c>
      <c r="R322" s="2">
        <v>46217.467592592591</v>
      </c>
      <c r="S322">
        <v>0</v>
      </c>
      <c r="T322" t="s">
        <v>67</v>
      </c>
      <c r="U322" t="s">
        <v>67</v>
      </c>
      <c r="W322" t="str">
        <f>"400508"</f>
        <v>400508</v>
      </c>
      <c r="X322" t="s">
        <v>41</v>
      </c>
      <c r="AD322" s="2">
        <v>46218.360810185186</v>
      </c>
    </row>
    <row r="323" spans="1:30" x14ac:dyDescent="0.35">
      <c r="A323" t="s">
        <v>30</v>
      </c>
      <c r="B323" t="s">
        <v>31</v>
      </c>
      <c r="C323" t="s">
        <v>696</v>
      </c>
      <c r="D323" t="s">
        <v>33</v>
      </c>
      <c r="E323" t="str">
        <f>"400514"</f>
        <v>400514</v>
      </c>
      <c r="F323" t="s">
        <v>429</v>
      </c>
      <c r="G323">
        <v>4</v>
      </c>
      <c r="H323">
        <v>0</v>
      </c>
      <c r="I323" t="s">
        <v>697</v>
      </c>
      <c r="J323" t="str">
        <f>"153000406"</f>
        <v>153000406</v>
      </c>
      <c r="K323" s="1">
        <v>48016</v>
      </c>
      <c r="M323" s="1">
        <v>46191</v>
      </c>
      <c r="N323" t="str">
        <f>"1329001945"</f>
        <v>1329001945</v>
      </c>
      <c r="O323">
        <v>4</v>
      </c>
      <c r="P323" s="2">
        <v>46217.454664351855</v>
      </c>
      <c r="Q323" s="2">
        <v>46218.36378472222</v>
      </c>
      <c r="R323" s="2">
        <v>46217.454664351855</v>
      </c>
      <c r="S323">
        <v>0</v>
      </c>
      <c r="T323" t="s">
        <v>67</v>
      </c>
      <c r="U323" t="s">
        <v>67</v>
      </c>
      <c r="W323" t="str">
        <f>"400514"</f>
        <v>400514</v>
      </c>
      <c r="X323" t="s">
        <v>41</v>
      </c>
      <c r="AD323" s="2">
        <v>46218.36378472222</v>
      </c>
    </row>
    <row r="324" spans="1:30" x14ac:dyDescent="0.35">
      <c r="A324" t="s">
        <v>30</v>
      </c>
      <c r="B324" t="s">
        <v>31</v>
      </c>
      <c r="C324" t="s">
        <v>698</v>
      </c>
      <c r="D324" t="s">
        <v>33</v>
      </c>
      <c r="E324" t="str">
        <f>"400405"</f>
        <v>400405</v>
      </c>
      <c r="F324" t="s">
        <v>519</v>
      </c>
      <c r="G324">
        <v>52</v>
      </c>
      <c r="H324">
        <v>0</v>
      </c>
      <c r="I324" t="s">
        <v>699</v>
      </c>
      <c r="J324" t="str">
        <f>"153000440"</f>
        <v>153000440</v>
      </c>
      <c r="K324" s="1">
        <v>48036</v>
      </c>
      <c r="M324" s="1">
        <v>46211</v>
      </c>
      <c r="N324" t="str">
        <f t="shared" ref="N324:N337" si="45">"1329001952"</f>
        <v>1329001952</v>
      </c>
      <c r="O324">
        <v>52</v>
      </c>
      <c r="P324" s="2">
        <v>46218.395324074074</v>
      </c>
      <c r="Q324" s="2">
        <v>46218.417650462965</v>
      </c>
      <c r="R324" s="2">
        <v>46218.395324074074</v>
      </c>
      <c r="S324">
        <v>0</v>
      </c>
      <c r="T324" t="s">
        <v>67</v>
      </c>
      <c r="U324" t="s">
        <v>67</v>
      </c>
      <c r="W324" t="str">
        <f>"400405"</f>
        <v>400405</v>
      </c>
      <c r="X324" t="s">
        <v>37</v>
      </c>
      <c r="AD324" s="2">
        <v>46218.417650462965</v>
      </c>
    </row>
    <row r="325" spans="1:30" x14ac:dyDescent="0.35">
      <c r="A325" t="s">
        <v>30</v>
      </c>
      <c r="B325" t="s">
        <v>31</v>
      </c>
      <c r="C325" t="s">
        <v>700</v>
      </c>
      <c r="D325" t="s">
        <v>33</v>
      </c>
      <c r="E325" t="str">
        <f>"400405"</f>
        <v>400405</v>
      </c>
      <c r="F325" t="s">
        <v>519</v>
      </c>
      <c r="G325">
        <v>52</v>
      </c>
      <c r="H325">
        <v>0</v>
      </c>
      <c r="I325" t="s">
        <v>701</v>
      </c>
      <c r="J325" t="str">
        <f>"153000440"</f>
        <v>153000440</v>
      </c>
      <c r="K325" s="1">
        <v>48036</v>
      </c>
      <c r="M325" s="1">
        <v>46211</v>
      </c>
      <c r="N325" t="str">
        <f t="shared" si="45"/>
        <v>1329001952</v>
      </c>
      <c r="O325">
        <v>52</v>
      </c>
      <c r="P325" s="2">
        <v>46218.395405092589</v>
      </c>
      <c r="Q325" s="2">
        <v>46218.418888888889</v>
      </c>
      <c r="R325" s="2">
        <v>46218.395405092589</v>
      </c>
      <c r="S325">
        <v>0</v>
      </c>
      <c r="T325" t="s">
        <v>67</v>
      </c>
      <c r="U325" t="s">
        <v>67</v>
      </c>
      <c r="W325" t="str">
        <f>"400405"</f>
        <v>400405</v>
      </c>
      <c r="X325" t="s">
        <v>37</v>
      </c>
      <c r="AD325" s="2">
        <v>46218.418888888889</v>
      </c>
    </row>
    <row r="326" spans="1:30" x14ac:dyDescent="0.35">
      <c r="A326" t="s">
        <v>30</v>
      </c>
      <c r="B326" t="s">
        <v>31</v>
      </c>
      <c r="C326" t="s">
        <v>702</v>
      </c>
      <c r="D326" t="s">
        <v>33</v>
      </c>
      <c r="E326" t="str">
        <f t="shared" ref="E326:E337" si="46">"400441"</f>
        <v>400441</v>
      </c>
      <c r="F326" t="s">
        <v>65</v>
      </c>
      <c r="G326">
        <v>4</v>
      </c>
      <c r="H326">
        <v>0</v>
      </c>
      <c r="I326" t="s">
        <v>703</v>
      </c>
      <c r="J326" t="str">
        <f t="shared" ref="J326:J337" si="47">"153000397"</f>
        <v>153000397</v>
      </c>
      <c r="K326" s="1">
        <v>48014</v>
      </c>
      <c r="M326" s="1">
        <v>46189</v>
      </c>
      <c r="N326" t="str">
        <f t="shared" si="45"/>
        <v>1329001952</v>
      </c>
      <c r="O326">
        <v>4</v>
      </c>
      <c r="P326" s="2">
        <v>46218.396099537036</v>
      </c>
      <c r="Q326" s="2">
        <v>46218.437557870369</v>
      </c>
      <c r="R326" s="2">
        <v>46218.396099537036</v>
      </c>
      <c r="S326">
        <v>0</v>
      </c>
      <c r="T326" t="s">
        <v>67</v>
      </c>
      <c r="U326" t="s">
        <v>67</v>
      </c>
      <c r="W326" t="str">
        <f t="shared" ref="W326:W337" si="48">"400441"</f>
        <v>400441</v>
      </c>
      <c r="X326" t="s">
        <v>41</v>
      </c>
      <c r="AD326" s="2">
        <v>46218.437557870369</v>
      </c>
    </row>
    <row r="327" spans="1:30" x14ac:dyDescent="0.35">
      <c r="A327" t="s">
        <v>30</v>
      </c>
      <c r="B327" t="s">
        <v>31</v>
      </c>
      <c r="C327" t="s">
        <v>704</v>
      </c>
      <c r="D327" t="s">
        <v>33</v>
      </c>
      <c r="E327" t="str">
        <f t="shared" si="46"/>
        <v>400441</v>
      </c>
      <c r="F327" t="s">
        <v>65</v>
      </c>
      <c r="G327">
        <v>4</v>
      </c>
      <c r="H327">
        <v>0</v>
      </c>
      <c r="I327" t="s">
        <v>705</v>
      </c>
      <c r="J327" t="str">
        <f t="shared" si="47"/>
        <v>153000397</v>
      </c>
      <c r="K327" s="1">
        <v>48014</v>
      </c>
      <c r="M327" s="1">
        <v>46189</v>
      </c>
      <c r="N327" t="str">
        <f t="shared" si="45"/>
        <v>1329001952</v>
      </c>
      <c r="O327">
        <v>4</v>
      </c>
      <c r="P327" s="2">
        <v>46218.396215277775</v>
      </c>
      <c r="Q327" s="2">
        <v>46218.438206018516</v>
      </c>
      <c r="R327" s="2">
        <v>46218.396215277775</v>
      </c>
      <c r="S327">
        <v>0</v>
      </c>
      <c r="T327" t="s">
        <v>67</v>
      </c>
      <c r="U327" t="s">
        <v>67</v>
      </c>
      <c r="W327" t="str">
        <f t="shared" si="48"/>
        <v>400441</v>
      </c>
      <c r="X327" t="s">
        <v>41</v>
      </c>
      <c r="AD327" s="2">
        <v>46218.438206018516</v>
      </c>
    </row>
    <row r="328" spans="1:30" x14ac:dyDescent="0.35">
      <c r="A328" t="s">
        <v>30</v>
      </c>
      <c r="B328" t="s">
        <v>31</v>
      </c>
      <c r="C328" t="s">
        <v>706</v>
      </c>
      <c r="D328" t="s">
        <v>33</v>
      </c>
      <c r="E328" t="str">
        <f t="shared" si="46"/>
        <v>400441</v>
      </c>
      <c r="F328" t="s">
        <v>65</v>
      </c>
      <c r="G328">
        <v>4</v>
      </c>
      <c r="H328">
        <v>0</v>
      </c>
      <c r="I328" t="s">
        <v>707</v>
      </c>
      <c r="J328" t="str">
        <f t="shared" si="47"/>
        <v>153000397</v>
      </c>
      <c r="K328" s="1">
        <v>48014</v>
      </c>
      <c r="M328" s="1">
        <v>46189</v>
      </c>
      <c r="N328" t="str">
        <f t="shared" si="45"/>
        <v>1329001952</v>
      </c>
      <c r="O328">
        <v>4</v>
      </c>
      <c r="P328" s="2">
        <v>46218.396319444444</v>
      </c>
      <c r="Q328" s="2">
        <v>46218.438773148147</v>
      </c>
      <c r="R328" s="2">
        <v>46218.396319444444</v>
      </c>
      <c r="S328">
        <v>0</v>
      </c>
      <c r="T328" t="s">
        <v>67</v>
      </c>
      <c r="U328" t="s">
        <v>67</v>
      </c>
      <c r="W328" t="str">
        <f t="shared" si="48"/>
        <v>400441</v>
      </c>
      <c r="X328" t="s">
        <v>41</v>
      </c>
      <c r="AD328" s="2">
        <v>46218.438773148147</v>
      </c>
    </row>
    <row r="329" spans="1:30" x14ac:dyDescent="0.35">
      <c r="A329" t="s">
        <v>30</v>
      </c>
      <c r="B329" t="s">
        <v>31</v>
      </c>
      <c r="C329" t="s">
        <v>708</v>
      </c>
      <c r="D329" t="s">
        <v>33</v>
      </c>
      <c r="E329" t="str">
        <f t="shared" si="46"/>
        <v>400441</v>
      </c>
      <c r="F329" t="s">
        <v>65</v>
      </c>
      <c r="G329">
        <v>4</v>
      </c>
      <c r="H329">
        <v>0</v>
      </c>
      <c r="I329" t="s">
        <v>709</v>
      </c>
      <c r="J329" t="str">
        <f t="shared" si="47"/>
        <v>153000397</v>
      </c>
      <c r="K329" s="1">
        <v>48014</v>
      </c>
      <c r="M329" s="1">
        <v>46189</v>
      </c>
      <c r="N329" t="str">
        <f t="shared" si="45"/>
        <v>1329001952</v>
      </c>
      <c r="O329">
        <v>4</v>
      </c>
      <c r="P329" s="2">
        <v>46218.396423611113</v>
      </c>
      <c r="Q329" s="2">
        <v>46218.439351851855</v>
      </c>
      <c r="R329" s="2">
        <v>46218.396423611113</v>
      </c>
      <c r="S329">
        <v>0</v>
      </c>
      <c r="T329" t="s">
        <v>67</v>
      </c>
      <c r="U329" t="s">
        <v>67</v>
      </c>
      <c r="W329" t="str">
        <f t="shared" si="48"/>
        <v>400441</v>
      </c>
      <c r="X329" t="s">
        <v>41</v>
      </c>
      <c r="AD329" s="2">
        <v>46218.439351851855</v>
      </c>
    </row>
    <row r="330" spans="1:30" x14ac:dyDescent="0.35">
      <c r="A330" t="s">
        <v>30</v>
      </c>
      <c r="B330" t="s">
        <v>31</v>
      </c>
      <c r="C330" t="s">
        <v>710</v>
      </c>
      <c r="D330" t="s">
        <v>33</v>
      </c>
      <c r="E330" t="str">
        <f t="shared" si="46"/>
        <v>400441</v>
      </c>
      <c r="F330" t="s">
        <v>65</v>
      </c>
      <c r="G330">
        <v>4</v>
      </c>
      <c r="H330">
        <v>0</v>
      </c>
      <c r="I330" t="s">
        <v>711</v>
      </c>
      <c r="J330" t="str">
        <f t="shared" si="47"/>
        <v>153000397</v>
      </c>
      <c r="K330" s="1">
        <v>48014</v>
      </c>
      <c r="M330" s="1">
        <v>46189</v>
      </c>
      <c r="N330" t="str">
        <f t="shared" si="45"/>
        <v>1329001952</v>
      </c>
      <c r="O330">
        <v>4</v>
      </c>
      <c r="P330" s="2">
        <v>46218.396516203706</v>
      </c>
      <c r="Q330" s="2">
        <v>46218.439976851849</v>
      </c>
      <c r="R330" s="2">
        <v>46218.396516203706</v>
      </c>
      <c r="S330">
        <v>0</v>
      </c>
      <c r="T330" t="s">
        <v>67</v>
      </c>
      <c r="U330" t="s">
        <v>67</v>
      </c>
      <c r="W330" t="str">
        <f t="shared" si="48"/>
        <v>400441</v>
      </c>
      <c r="X330" t="s">
        <v>41</v>
      </c>
      <c r="AD330" s="2">
        <v>46218.439976851849</v>
      </c>
    </row>
    <row r="331" spans="1:30" x14ac:dyDescent="0.35">
      <c r="A331" t="s">
        <v>30</v>
      </c>
      <c r="B331" t="s">
        <v>31</v>
      </c>
      <c r="C331" t="s">
        <v>712</v>
      </c>
      <c r="D331" t="s">
        <v>33</v>
      </c>
      <c r="E331" t="str">
        <f t="shared" si="46"/>
        <v>400441</v>
      </c>
      <c r="F331" t="s">
        <v>65</v>
      </c>
      <c r="G331">
        <v>4</v>
      </c>
      <c r="H331">
        <v>0</v>
      </c>
      <c r="I331" t="s">
        <v>713</v>
      </c>
      <c r="J331" t="str">
        <f t="shared" si="47"/>
        <v>153000397</v>
      </c>
      <c r="K331" s="1">
        <v>48014</v>
      </c>
      <c r="M331" s="1">
        <v>46189</v>
      </c>
      <c r="N331" t="str">
        <f t="shared" si="45"/>
        <v>1329001952</v>
      </c>
      <c r="O331">
        <v>4</v>
      </c>
      <c r="P331" s="2">
        <v>46218.396631944444</v>
      </c>
      <c r="Q331" s="2">
        <v>46218.442071759258</v>
      </c>
      <c r="R331" s="2">
        <v>46218.396631944444</v>
      </c>
      <c r="S331">
        <v>0</v>
      </c>
      <c r="T331" t="s">
        <v>67</v>
      </c>
      <c r="U331" t="s">
        <v>67</v>
      </c>
      <c r="W331" t="str">
        <f t="shared" si="48"/>
        <v>400441</v>
      </c>
      <c r="X331" t="s">
        <v>41</v>
      </c>
      <c r="AD331" s="2">
        <v>46218.442071759258</v>
      </c>
    </row>
    <row r="332" spans="1:30" x14ac:dyDescent="0.35">
      <c r="A332" t="s">
        <v>30</v>
      </c>
      <c r="B332" t="s">
        <v>31</v>
      </c>
      <c r="C332" t="s">
        <v>714</v>
      </c>
      <c r="D332" t="s">
        <v>33</v>
      </c>
      <c r="E332" t="str">
        <f t="shared" si="46"/>
        <v>400441</v>
      </c>
      <c r="F332" t="s">
        <v>65</v>
      </c>
      <c r="G332">
        <v>4</v>
      </c>
      <c r="H332">
        <v>0</v>
      </c>
      <c r="I332" t="s">
        <v>715</v>
      </c>
      <c r="J332" t="str">
        <f t="shared" si="47"/>
        <v>153000397</v>
      </c>
      <c r="K332" s="1">
        <v>48014</v>
      </c>
      <c r="M332" s="1">
        <v>46189</v>
      </c>
      <c r="N332" t="str">
        <f t="shared" si="45"/>
        <v>1329001952</v>
      </c>
      <c r="O332">
        <v>4</v>
      </c>
      <c r="P332" s="2">
        <v>46218.397256944445</v>
      </c>
      <c r="Q332" s="2">
        <v>46218.442962962959</v>
      </c>
      <c r="R332" s="2">
        <v>46218.397256944445</v>
      </c>
      <c r="S332">
        <v>0</v>
      </c>
      <c r="T332" t="s">
        <v>67</v>
      </c>
      <c r="U332" t="s">
        <v>67</v>
      </c>
      <c r="W332" t="str">
        <f t="shared" si="48"/>
        <v>400441</v>
      </c>
      <c r="X332" t="s">
        <v>41</v>
      </c>
      <c r="AD332" s="2">
        <v>46218.442962962959</v>
      </c>
    </row>
    <row r="333" spans="1:30" x14ac:dyDescent="0.35">
      <c r="A333" t="s">
        <v>30</v>
      </c>
      <c r="B333" t="s">
        <v>31</v>
      </c>
      <c r="C333" t="s">
        <v>716</v>
      </c>
      <c r="D333" t="s">
        <v>33</v>
      </c>
      <c r="E333" t="str">
        <f t="shared" si="46"/>
        <v>400441</v>
      </c>
      <c r="F333" t="s">
        <v>65</v>
      </c>
      <c r="G333">
        <v>4</v>
      </c>
      <c r="H333">
        <v>0</v>
      </c>
      <c r="I333" t="s">
        <v>717</v>
      </c>
      <c r="J333" t="str">
        <f t="shared" si="47"/>
        <v>153000397</v>
      </c>
      <c r="K333" s="1">
        <v>48014</v>
      </c>
      <c r="M333" s="1">
        <v>46189</v>
      </c>
      <c r="N333" t="str">
        <f t="shared" si="45"/>
        <v>1329001952</v>
      </c>
      <c r="O333">
        <v>4</v>
      </c>
      <c r="P333" s="2">
        <v>46218.397152777776</v>
      </c>
      <c r="Q333" s="2">
        <v>46218.443749999999</v>
      </c>
      <c r="R333" s="2">
        <v>46218.397152777776</v>
      </c>
      <c r="S333">
        <v>0</v>
      </c>
      <c r="T333" t="s">
        <v>67</v>
      </c>
      <c r="U333" t="s">
        <v>67</v>
      </c>
      <c r="W333" t="str">
        <f t="shared" si="48"/>
        <v>400441</v>
      </c>
      <c r="X333" t="s">
        <v>41</v>
      </c>
      <c r="AD333" s="2">
        <v>46218.443749999999</v>
      </c>
    </row>
    <row r="334" spans="1:30" x14ac:dyDescent="0.35">
      <c r="A334" t="s">
        <v>30</v>
      </c>
      <c r="B334" t="s">
        <v>31</v>
      </c>
      <c r="C334" t="s">
        <v>718</v>
      </c>
      <c r="D334" t="s">
        <v>33</v>
      </c>
      <c r="E334" t="str">
        <f t="shared" si="46"/>
        <v>400441</v>
      </c>
      <c r="F334" t="s">
        <v>65</v>
      </c>
      <c r="G334">
        <v>4</v>
      </c>
      <c r="H334">
        <v>0</v>
      </c>
      <c r="I334" t="s">
        <v>719</v>
      </c>
      <c r="J334" t="str">
        <f t="shared" si="47"/>
        <v>153000397</v>
      </c>
      <c r="K334" s="1">
        <v>48014</v>
      </c>
      <c r="M334" s="1">
        <v>46189</v>
      </c>
      <c r="N334" t="str">
        <f t="shared" si="45"/>
        <v>1329001952</v>
      </c>
      <c r="O334">
        <v>4</v>
      </c>
      <c r="P334" s="2">
        <v>46218.397037037037</v>
      </c>
      <c r="Q334" s="2">
        <v>46218.449884259258</v>
      </c>
      <c r="R334" s="2">
        <v>46218.397037037037</v>
      </c>
      <c r="S334">
        <v>0</v>
      </c>
      <c r="T334" t="s">
        <v>67</v>
      </c>
      <c r="U334" t="s">
        <v>67</v>
      </c>
      <c r="W334" t="str">
        <f t="shared" si="48"/>
        <v>400441</v>
      </c>
      <c r="X334" t="s">
        <v>41</v>
      </c>
      <c r="AD334" s="2">
        <v>46218.449884259258</v>
      </c>
    </row>
    <row r="335" spans="1:30" x14ac:dyDescent="0.35">
      <c r="A335" t="s">
        <v>30</v>
      </c>
      <c r="B335" t="s">
        <v>31</v>
      </c>
      <c r="C335" t="s">
        <v>720</v>
      </c>
      <c r="D335" t="s">
        <v>33</v>
      </c>
      <c r="E335" t="str">
        <f t="shared" si="46"/>
        <v>400441</v>
      </c>
      <c r="F335" t="s">
        <v>65</v>
      </c>
      <c r="G335">
        <v>4</v>
      </c>
      <c r="H335">
        <v>0</v>
      </c>
      <c r="I335" t="s">
        <v>721</v>
      </c>
      <c r="J335" t="str">
        <f t="shared" si="47"/>
        <v>153000397</v>
      </c>
      <c r="K335" s="1">
        <v>48014</v>
      </c>
      <c r="M335" s="1">
        <v>46189</v>
      </c>
      <c r="N335" t="str">
        <f t="shared" si="45"/>
        <v>1329001952</v>
      </c>
      <c r="O335">
        <v>4</v>
      </c>
      <c r="P335" s="2">
        <v>46218.396932870368</v>
      </c>
      <c r="Q335" s="2">
        <v>46218.450671296298</v>
      </c>
      <c r="R335" s="2">
        <v>46218.396932870368</v>
      </c>
      <c r="S335">
        <v>0</v>
      </c>
      <c r="T335" t="s">
        <v>67</v>
      </c>
      <c r="U335" t="s">
        <v>67</v>
      </c>
      <c r="W335" t="str">
        <f t="shared" si="48"/>
        <v>400441</v>
      </c>
      <c r="X335" t="s">
        <v>41</v>
      </c>
      <c r="AD335" s="2">
        <v>46218.450671296298</v>
      </c>
    </row>
    <row r="336" spans="1:30" x14ac:dyDescent="0.35">
      <c r="A336" t="s">
        <v>30</v>
      </c>
      <c r="B336" t="s">
        <v>31</v>
      </c>
      <c r="C336" t="s">
        <v>722</v>
      </c>
      <c r="D336" t="s">
        <v>33</v>
      </c>
      <c r="E336" t="str">
        <f t="shared" si="46"/>
        <v>400441</v>
      </c>
      <c r="F336" t="s">
        <v>65</v>
      </c>
      <c r="G336">
        <v>4</v>
      </c>
      <c r="H336">
        <v>0</v>
      </c>
      <c r="I336" t="s">
        <v>723</v>
      </c>
      <c r="J336" t="str">
        <f t="shared" si="47"/>
        <v>153000397</v>
      </c>
      <c r="K336" s="1">
        <v>48014</v>
      </c>
      <c r="M336" s="1">
        <v>46189</v>
      </c>
      <c r="N336" t="str">
        <f t="shared" si="45"/>
        <v>1329001952</v>
      </c>
      <c r="O336">
        <v>4</v>
      </c>
      <c r="P336" s="2">
        <v>46218.396828703706</v>
      </c>
      <c r="Q336" s="2">
        <v>46218.451550925929</v>
      </c>
      <c r="R336" s="2">
        <v>46218.396828703706</v>
      </c>
      <c r="S336">
        <v>0</v>
      </c>
      <c r="T336" t="s">
        <v>67</v>
      </c>
      <c r="U336" t="s">
        <v>67</v>
      </c>
      <c r="W336" t="str">
        <f t="shared" si="48"/>
        <v>400441</v>
      </c>
      <c r="X336" t="s">
        <v>41</v>
      </c>
      <c r="AD336" s="2">
        <v>46218.451550925929</v>
      </c>
    </row>
    <row r="337" spans="1:30" x14ac:dyDescent="0.35">
      <c r="A337" t="s">
        <v>30</v>
      </c>
      <c r="B337" t="s">
        <v>31</v>
      </c>
      <c r="C337" t="s">
        <v>724</v>
      </c>
      <c r="D337" t="s">
        <v>33</v>
      </c>
      <c r="E337" t="str">
        <f t="shared" si="46"/>
        <v>400441</v>
      </c>
      <c r="F337" t="s">
        <v>65</v>
      </c>
      <c r="G337">
        <v>4</v>
      </c>
      <c r="H337">
        <v>0</v>
      </c>
      <c r="I337" t="s">
        <v>725</v>
      </c>
      <c r="J337" t="str">
        <f t="shared" si="47"/>
        <v>153000397</v>
      </c>
      <c r="K337" s="1">
        <v>48014</v>
      </c>
      <c r="M337" s="1">
        <v>46189</v>
      </c>
      <c r="N337" t="str">
        <f t="shared" si="45"/>
        <v>1329001952</v>
      </c>
      <c r="O337">
        <v>4</v>
      </c>
      <c r="P337" s="2">
        <v>46218.396736111114</v>
      </c>
      <c r="Q337" s="2">
        <v>46218.453240740739</v>
      </c>
      <c r="R337" s="2">
        <v>46218.396736111114</v>
      </c>
      <c r="S337">
        <v>0</v>
      </c>
      <c r="T337" t="s">
        <v>67</v>
      </c>
      <c r="U337" t="s">
        <v>67</v>
      </c>
      <c r="W337" t="str">
        <f t="shared" si="48"/>
        <v>400441</v>
      </c>
      <c r="X337" t="s">
        <v>41</v>
      </c>
      <c r="AD337" s="2">
        <v>46218.453240740739</v>
      </c>
    </row>
    <row r="338" spans="1:30" x14ac:dyDescent="0.35">
      <c r="A338" t="s">
        <v>30</v>
      </c>
      <c r="B338" t="s">
        <v>31</v>
      </c>
      <c r="C338" t="s">
        <v>726</v>
      </c>
      <c r="D338" t="s">
        <v>33</v>
      </c>
      <c r="E338" t="str">
        <f t="shared" ref="E338:E343" si="49">"400405"</f>
        <v>400405</v>
      </c>
      <c r="F338" t="s">
        <v>519</v>
      </c>
      <c r="G338">
        <v>52</v>
      </c>
      <c r="H338">
        <v>0</v>
      </c>
      <c r="I338" t="s">
        <v>727</v>
      </c>
      <c r="J338" t="str">
        <f t="shared" ref="J338:J343" si="50">"153000446"</f>
        <v>153000446</v>
      </c>
      <c r="K338" s="1">
        <v>48039</v>
      </c>
      <c r="M338" s="1">
        <v>46214</v>
      </c>
      <c r="N338" t="str">
        <f t="shared" ref="N338:N352" si="51">"1329001955"</f>
        <v>1329001955</v>
      </c>
      <c r="O338">
        <v>52</v>
      </c>
      <c r="P338" s="2">
        <v>46218.622094907405</v>
      </c>
      <c r="Q338" s="2">
        <v>46219.365057870367</v>
      </c>
      <c r="R338" s="2">
        <v>46218.622094907405</v>
      </c>
      <c r="S338">
        <v>0</v>
      </c>
      <c r="T338" t="s">
        <v>67</v>
      </c>
      <c r="U338" t="s">
        <v>67</v>
      </c>
      <c r="W338" t="str">
        <f t="shared" ref="W338:W343" si="52">"400405"</f>
        <v>400405</v>
      </c>
      <c r="X338" t="s">
        <v>37</v>
      </c>
      <c r="AD338" s="2">
        <v>46219.365046296298</v>
      </c>
    </row>
    <row r="339" spans="1:30" x14ac:dyDescent="0.35">
      <c r="A339" t="s">
        <v>30</v>
      </c>
      <c r="B339" t="s">
        <v>31</v>
      </c>
      <c r="C339" t="s">
        <v>728</v>
      </c>
      <c r="D339" t="s">
        <v>33</v>
      </c>
      <c r="E339" t="str">
        <f t="shared" si="49"/>
        <v>400405</v>
      </c>
      <c r="F339" t="s">
        <v>519</v>
      </c>
      <c r="G339">
        <v>52</v>
      </c>
      <c r="H339">
        <v>0</v>
      </c>
      <c r="I339" t="s">
        <v>729</v>
      </c>
      <c r="J339" t="str">
        <f t="shared" si="50"/>
        <v>153000446</v>
      </c>
      <c r="K339" s="1">
        <v>48039</v>
      </c>
      <c r="M339" s="1">
        <v>46214</v>
      </c>
      <c r="N339" t="str">
        <f t="shared" si="51"/>
        <v>1329001955</v>
      </c>
      <c r="O339">
        <v>52</v>
      </c>
      <c r="P339" s="2">
        <v>46218.622187499997</v>
      </c>
      <c r="Q339" s="2">
        <v>46219.365682870368</v>
      </c>
      <c r="R339" s="2">
        <v>46218.622187499997</v>
      </c>
      <c r="S339">
        <v>0</v>
      </c>
      <c r="T339" t="s">
        <v>67</v>
      </c>
      <c r="U339" t="s">
        <v>67</v>
      </c>
      <c r="W339" t="str">
        <f t="shared" si="52"/>
        <v>400405</v>
      </c>
      <c r="X339" t="s">
        <v>37</v>
      </c>
      <c r="AD339" s="2">
        <v>46219.365682870368</v>
      </c>
    </row>
    <row r="340" spans="1:30" x14ac:dyDescent="0.35">
      <c r="A340" t="s">
        <v>30</v>
      </c>
      <c r="B340" t="s">
        <v>31</v>
      </c>
      <c r="C340" t="s">
        <v>730</v>
      </c>
      <c r="D340" t="s">
        <v>33</v>
      </c>
      <c r="E340" t="str">
        <f t="shared" si="49"/>
        <v>400405</v>
      </c>
      <c r="F340" t="s">
        <v>519</v>
      </c>
      <c r="G340">
        <v>52</v>
      </c>
      <c r="H340">
        <v>0</v>
      </c>
      <c r="I340" t="s">
        <v>731</v>
      </c>
      <c r="J340" t="str">
        <f t="shared" si="50"/>
        <v>153000446</v>
      </c>
      <c r="K340" s="1">
        <v>48039</v>
      </c>
      <c r="M340" s="1">
        <v>46214</v>
      </c>
      <c r="N340" t="str">
        <f t="shared" si="51"/>
        <v>1329001955</v>
      </c>
      <c r="O340">
        <v>52</v>
      </c>
      <c r="P340" s="2">
        <v>46218.622384259259</v>
      </c>
      <c r="Q340" s="2">
        <v>46219.367210648146</v>
      </c>
      <c r="R340" s="2">
        <v>46218.622384259259</v>
      </c>
      <c r="S340">
        <v>0</v>
      </c>
      <c r="T340" t="s">
        <v>67</v>
      </c>
      <c r="U340" t="s">
        <v>67</v>
      </c>
      <c r="W340" t="str">
        <f t="shared" si="52"/>
        <v>400405</v>
      </c>
      <c r="X340" t="s">
        <v>37</v>
      </c>
      <c r="AD340" s="2">
        <v>46219.367210648146</v>
      </c>
    </row>
    <row r="341" spans="1:30" x14ac:dyDescent="0.35">
      <c r="A341" t="s">
        <v>30</v>
      </c>
      <c r="B341" t="s">
        <v>31</v>
      </c>
      <c r="C341" t="s">
        <v>732</v>
      </c>
      <c r="D341" t="s">
        <v>33</v>
      </c>
      <c r="E341" t="str">
        <f t="shared" si="49"/>
        <v>400405</v>
      </c>
      <c r="F341" t="s">
        <v>519</v>
      </c>
      <c r="G341">
        <v>52</v>
      </c>
      <c r="H341">
        <v>0</v>
      </c>
      <c r="I341" t="s">
        <v>733</v>
      </c>
      <c r="J341" t="str">
        <f t="shared" si="50"/>
        <v>153000446</v>
      </c>
      <c r="K341" s="1">
        <v>48039</v>
      </c>
      <c r="M341" s="1">
        <v>46214</v>
      </c>
      <c r="N341" t="str">
        <f t="shared" si="51"/>
        <v>1329001955</v>
      </c>
      <c r="O341">
        <v>52</v>
      </c>
      <c r="P341" s="2">
        <v>46218.622627314813</v>
      </c>
      <c r="Q341" s="2">
        <v>46219.36917824074</v>
      </c>
      <c r="R341" s="2">
        <v>46218.622627314813</v>
      </c>
      <c r="S341">
        <v>0</v>
      </c>
      <c r="T341" t="s">
        <v>67</v>
      </c>
      <c r="U341" t="s">
        <v>67</v>
      </c>
      <c r="W341" t="str">
        <f t="shared" si="52"/>
        <v>400405</v>
      </c>
      <c r="X341" t="s">
        <v>37</v>
      </c>
      <c r="AD341" s="2">
        <v>46219.36917824074</v>
      </c>
    </row>
    <row r="342" spans="1:30" x14ac:dyDescent="0.35">
      <c r="A342" t="s">
        <v>30</v>
      </c>
      <c r="B342" t="s">
        <v>31</v>
      </c>
      <c r="C342" t="s">
        <v>734</v>
      </c>
      <c r="D342" t="s">
        <v>33</v>
      </c>
      <c r="E342" t="str">
        <f t="shared" si="49"/>
        <v>400405</v>
      </c>
      <c r="F342" t="s">
        <v>519</v>
      </c>
      <c r="G342">
        <v>52</v>
      </c>
      <c r="H342">
        <v>0</v>
      </c>
      <c r="I342" t="s">
        <v>735</v>
      </c>
      <c r="J342" t="str">
        <f t="shared" si="50"/>
        <v>153000446</v>
      </c>
      <c r="K342" s="1">
        <v>48039</v>
      </c>
      <c r="M342" s="1">
        <v>46214</v>
      </c>
      <c r="N342" t="str">
        <f t="shared" si="51"/>
        <v>1329001955</v>
      </c>
      <c r="O342">
        <v>52</v>
      </c>
      <c r="P342" s="2">
        <v>46218.621840277781</v>
      </c>
      <c r="Q342" s="2">
        <v>46219.370694444442</v>
      </c>
      <c r="R342" s="2">
        <v>46218.621840277781</v>
      </c>
      <c r="S342">
        <v>0</v>
      </c>
      <c r="T342" t="s">
        <v>67</v>
      </c>
      <c r="U342" t="s">
        <v>67</v>
      </c>
      <c r="W342" t="str">
        <f t="shared" si="52"/>
        <v>400405</v>
      </c>
      <c r="X342" t="s">
        <v>37</v>
      </c>
      <c r="AD342" s="2">
        <v>46219.370694444442</v>
      </c>
    </row>
    <row r="343" spans="1:30" x14ac:dyDescent="0.35">
      <c r="A343" t="s">
        <v>30</v>
      </c>
      <c r="B343" t="s">
        <v>31</v>
      </c>
      <c r="C343" t="s">
        <v>736</v>
      </c>
      <c r="D343" t="s">
        <v>33</v>
      </c>
      <c r="E343" t="str">
        <f t="shared" si="49"/>
        <v>400405</v>
      </c>
      <c r="F343" t="s">
        <v>519</v>
      </c>
      <c r="G343">
        <v>52</v>
      </c>
      <c r="H343">
        <v>0</v>
      </c>
      <c r="I343" t="s">
        <v>737</v>
      </c>
      <c r="J343" t="str">
        <f t="shared" si="50"/>
        <v>153000446</v>
      </c>
      <c r="K343" s="1">
        <v>48039</v>
      </c>
      <c r="M343" s="1">
        <v>46214</v>
      </c>
      <c r="N343" t="str">
        <f t="shared" si="51"/>
        <v>1329001955</v>
      </c>
      <c r="O343">
        <v>52</v>
      </c>
      <c r="P343" s="2">
        <v>46218.62122685185</v>
      </c>
      <c r="Q343" s="2">
        <v>46219.371944444443</v>
      </c>
      <c r="R343" s="2">
        <v>46218.62122685185</v>
      </c>
      <c r="S343">
        <v>0</v>
      </c>
      <c r="T343" t="s">
        <v>67</v>
      </c>
      <c r="U343" t="s">
        <v>67</v>
      </c>
      <c r="W343" t="str">
        <f t="shared" si="52"/>
        <v>400405</v>
      </c>
      <c r="X343" t="s">
        <v>37</v>
      </c>
      <c r="AD343" s="2">
        <v>46219.371944444443</v>
      </c>
    </row>
    <row r="344" spans="1:30" x14ac:dyDescent="0.35">
      <c r="A344" t="s">
        <v>30</v>
      </c>
      <c r="B344" t="s">
        <v>31</v>
      </c>
      <c r="C344" t="s">
        <v>738</v>
      </c>
      <c r="D344" t="s">
        <v>33</v>
      </c>
      <c r="E344" t="str">
        <f>"400426"</f>
        <v>400426</v>
      </c>
      <c r="F344" t="s">
        <v>34</v>
      </c>
      <c r="G344">
        <v>24</v>
      </c>
      <c r="H344">
        <v>0</v>
      </c>
      <c r="I344" t="s">
        <v>739</v>
      </c>
      <c r="J344" t="str">
        <f>"153000405"</f>
        <v>153000405</v>
      </c>
      <c r="K344" s="1">
        <v>48020</v>
      </c>
      <c r="M344" s="1">
        <v>46195</v>
      </c>
      <c r="N344" t="str">
        <f t="shared" si="51"/>
        <v>1329001955</v>
      </c>
      <c r="O344">
        <v>24</v>
      </c>
      <c r="P344" s="2">
        <v>46218.620509259257</v>
      </c>
      <c r="Q344" s="2">
        <v>46219.372696759259</v>
      </c>
      <c r="R344" s="2">
        <v>46218.620509259257</v>
      </c>
      <c r="S344">
        <v>0</v>
      </c>
      <c r="T344" t="s">
        <v>67</v>
      </c>
      <c r="U344" t="s">
        <v>67</v>
      </c>
      <c r="W344" t="str">
        <f>"400426"</f>
        <v>400426</v>
      </c>
      <c r="X344" t="s">
        <v>37</v>
      </c>
      <c r="AD344" s="2">
        <v>46219.372696759259</v>
      </c>
    </row>
    <row r="345" spans="1:30" x14ac:dyDescent="0.35">
      <c r="A345" t="s">
        <v>30</v>
      </c>
      <c r="B345" t="s">
        <v>31</v>
      </c>
      <c r="C345" t="s">
        <v>740</v>
      </c>
      <c r="D345" t="s">
        <v>33</v>
      </c>
      <c r="E345" t="str">
        <f>"400405"</f>
        <v>400405</v>
      </c>
      <c r="F345" t="s">
        <v>519</v>
      </c>
      <c r="G345">
        <v>52</v>
      </c>
      <c r="H345">
        <v>0</v>
      </c>
      <c r="I345" t="s">
        <v>741</v>
      </c>
      <c r="J345" t="str">
        <f>"153000446"</f>
        <v>153000446</v>
      </c>
      <c r="K345" s="1">
        <v>48039</v>
      </c>
      <c r="M345" s="1">
        <v>46214</v>
      </c>
      <c r="N345" t="str">
        <f t="shared" si="51"/>
        <v>1329001955</v>
      </c>
      <c r="O345">
        <v>52</v>
      </c>
      <c r="P345" s="2">
        <v>46218.621747685182</v>
      </c>
      <c r="Q345" s="2">
        <v>46219.373171296298</v>
      </c>
      <c r="R345" s="2">
        <v>46218.621747685182</v>
      </c>
      <c r="S345">
        <v>0</v>
      </c>
      <c r="T345" t="s">
        <v>67</v>
      </c>
      <c r="U345" t="s">
        <v>67</v>
      </c>
      <c r="W345" t="str">
        <f>"400405"</f>
        <v>400405</v>
      </c>
      <c r="X345" t="s">
        <v>37</v>
      </c>
      <c r="AD345" s="2">
        <v>46219.373171296298</v>
      </c>
    </row>
    <row r="346" spans="1:30" x14ac:dyDescent="0.35">
      <c r="A346" t="s">
        <v>30</v>
      </c>
      <c r="B346" t="s">
        <v>31</v>
      </c>
      <c r="C346" t="s">
        <v>742</v>
      </c>
      <c r="D346" t="s">
        <v>33</v>
      </c>
      <c r="E346" t="str">
        <f>"400405"</f>
        <v>400405</v>
      </c>
      <c r="F346" t="s">
        <v>519</v>
      </c>
      <c r="G346">
        <v>52</v>
      </c>
      <c r="H346">
        <v>0</v>
      </c>
      <c r="I346" t="s">
        <v>743</v>
      </c>
      <c r="J346" t="str">
        <f>"153000446"</f>
        <v>153000446</v>
      </c>
      <c r="K346" s="1">
        <v>48039</v>
      </c>
      <c r="M346" s="1">
        <v>46214</v>
      </c>
      <c r="N346" t="str">
        <f t="shared" si="51"/>
        <v>1329001955</v>
      </c>
      <c r="O346">
        <v>52</v>
      </c>
      <c r="P346" s="2">
        <v>46218.620243055557</v>
      </c>
      <c r="Q346" s="2">
        <v>46219.373506944445</v>
      </c>
      <c r="R346" s="2">
        <v>46218.620243055557</v>
      </c>
      <c r="S346">
        <v>0</v>
      </c>
      <c r="T346" t="s">
        <v>67</v>
      </c>
      <c r="U346" t="s">
        <v>67</v>
      </c>
      <c r="W346" t="str">
        <f>"400405"</f>
        <v>400405</v>
      </c>
      <c r="X346" t="s">
        <v>37</v>
      </c>
      <c r="AD346" s="2">
        <v>46219.373506944445</v>
      </c>
    </row>
    <row r="347" spans="1:30" x14ac:dyDescent="0.35">
      <c r="A347" t="s">
        <v>30</v>
      </c>
      <c r="B347" t="s">
        <v>31</v>
      </c>
      <c r="C347" t="s">
        <v>744</v>
      </c>
      <c r="D347" t="s">
        <v>33</v>
      </c>
      <c r="E347" t="str">
        <f t="shared" ref="E347:E352" si="53">"400426"</f>
        <v>400426</v>
      </c>
      <c r="F347" t="s">
        <v>34</v>
      </c>
      <c r="G347">
        <v>24</v>
      </c>
      <c r="H347">
        <v>0</v>
      </c>
      <c r="I347" t="s">
        <v>745</v>
      </c>
      <c r="J347" t="str">
        <f>"153000403"</f>
        <v>153000403</v>
      </c>
      <c r="K347" s="1">
        <v>48016</v>
      </c>
      <c r="M347" s="1">
        <v>46191</v>
      </c>
      <c r="N347" t="str">
        <f t="shared" si="51"/>
        <v>1329001955</v>
      </c>
      <c r="O347">
        <v>24</v>
      </c>
      <c r="P347" s="2">
        <v>46218.621423611112</v>
      </c>
      <c r="Q347" s="2">
        <v>46219.374351851853</v>
      </c>
      <c r="R347" s="2">
        <v>46218.621423611112</v>
      </c>
      <c r="S347">
        <v>0</v>
      </c>
      <c r="T347" t="s">
        <v>67</v>
      </c>
      <c r="U347" t="s">
        <v>67</v>
      </c>
      <c r="W347" t="str">
        <f t="shared" ref="W347:W352" si="54">"400426"</f>
        <v>400426</v>
      </c>
      <c r="X347" t="s">
        <v>37</v>
      </c>
      <c r="AD347" s="2">
        <v>46219.374351851853</v>
      </c>
    </row>
    <row r="348" spans="1:30" x14ac:dyDescent="0.35">
      <c r="A348" t="s">
        <v>30</v>
      </c>
      <c r="B348" t="s">
        <v>31</v>
      </c>
      <c r="C348" t="s">
        <v>746</v>
      </c>
      <c r="D348" t="s">
        <v>33</v>
      </c>
      <c r="E348" t="str">
        <f t="shared" si="53"/>
        <v>400426</v>
      </c>
      <c r="F348" t="s">
        <v>34</v>
      </c>
      <c r="G348">
        <v>24</v>
      </c>
      <c r="H348">
        <v>0</v>
      </c>
      <c r="I348" t="s">
        <v>747</v>
      </c>
      <c r="J348" t="str">
        <f>"153000405"</f>
        <v>153000405</v>
      </c>
      <c r="K348" s="1">
        <v>48020</v>
      </c>
      <c r="M348" s="1">
        <v>46195</v>
      </c>
      <c r="N348" t="str">
        <f t="shared" si="51"/>
        <v>1329001955</v>
      </c>
      <c r="O348">
        <v>24</v>
      </c>
      <c r="P348" s="2">
        <v>46218.619872685187</v>
      </c>
      <c r="Q348" s="2">
        <v>46219.374895833331</v>
      </c>
      <c r="R348" s="2">
        <v>46218.619872685187</v>
      </c>
      <c r="S348">
        <v>0</v>
      </c>
      <c r="T348" t="s">
        <v>67</v>
      </c>
      <c r="U348" t="s">
        <v>67</v>
      </c>
      <c r="W348" t="str">
        <f t="shared" si="54"/>
        <v>400426</v>
      </c>
      <c r="X348" t="s">
        <v>37</v>
      </c>
      <c r="AD348" s="2">
        <v>46219.374884259261</v>
      </c>
    </row>
    <row r="349" spans="1:30" x14ac:dyDescent="0.35">
      <c r="A349" t="s">
        <v>30</v>
      </c>
      <c r="B349" t="s">
        <v>31</v>
      </c>
      <c r="C349" t="s">
        <v>748</v>
      </c>
      <c r="D349" t="s">
        <v>33</v>
      </c>
      <c r="E349" t="str">
        <f t="shared" si="53"/>
        <v>400426</v>
      </c>
      <c r="F349" t="s">
        <v>34</v>
      </c>
      <c r="G349">
        <v>24</v>
      </c>
      <c r="H349">
        <v>0</v>
      </c>
      <c r="I349" t="s">
        <v>749</v>
      </c>
      <c r="J349" t="str">
        <f>"153000405"</f>
        <v>153000405</v>
      </c>
      <c r="K349" s="1">
        <v>48020</v>
      </c>
      <c r="M349" s="1">
        <v>46195</v>
      </c>
      <c r="N349" t="str">
        <f t="shared" si="51"/>
        <v>1329001955</v>
      </c>
      <c r="O349">
        <v>24</v>
      </c>
      <c r="P349" s="2">
        <v>46218.620949074073</v>
      </c>
      <c r="Q349" s="2">
        <v>46219.377824074072</v>
      </c>
      <c r="R349" s="2">
        <v>46218.620949074073</v>
      </c>
      <c r="S349">
        <v>0</v>
      </c>
      <c r="T349" t="s">
        <v>67</v>
      </c>
      <c r="U349" t="s">
        <v>67</v>
      </c>
      <c r="W349" t="str">
        <f t="shared" si="54"/>
        <v>400426</v>
      </c>
      <c r="X349" t="s">
        <v>37</v>
      </c>
      <c r="AD349" s="2">
        <v>46219.377824074072</v>
      </c>
    </row>
    <row r="350" spans="1:30" x14ac:dyDescent="0.35">
      <c r="A350" t="s">
        <v>30</v>
      </c>
      <c r="B350" t="s">
        <v>31</v>
      </c>
      <c r="C350" t="s">
        <v>750</v>
      </c>
      <c r="D350" t="s">
        <v>33</v>
      </c>
      <c r="E350" t="str">
        <f t="shared" si="53"/>
        <v>400426</v>
      </c>
      <c r="F350" t="s">
        <v>34</v>
      </c>
      <c r="G350">
        <v>24</v>
      </c>
      <c r="H350">
        <v>0</v>
      </c>
      <c r="I350" t="s">
        <v>751</v>
      </c>
      <c r="J350" t="str">
        <f>"153000403"</f>
        <v>153000403</v>
      </c>
      <c r="K350" s="1">
        <v>48016</v>
      </c>
      <c r="M350" s="1">
        <v>46191</v>
      </c>
      <c r="N350" t="str">
        <f t="shared" si="51"/>
        <v>1329001955</v>
      </c>
      <c r="O350">
        <v>24</v>
      </c>
      <c r="P350" s="2">
        <v>46218.62</v>
      </c>
      <c r="Q350" s="2">
        <v>46219.38140046296</v>
      </c>
      <c r="R350" s="2">
        <v>46218.62</v>
      </c>
      <c r="S350">
        <v>0</v>
      </c>
      <c r="T350" t="s">
        <v>67</v>
      </c>
      <c r="U350" t="s">
        <v>67</v>
      </c>
      <c r="W350" t="str">
        <f t="shared" si="54"/>
        <v>400426</v>
      </c>
      <c r="X350" t="s">
        <v>37</v>
      </c>
      <c r="AD350" s="2">
        <v>46219.38140046296</v>
      </c>
    </row>
    <row r="351" spans="1:30" x14ac:dyDescent="0.35">
      <c r="A351" t="s">
        <v>30</v>
      </c>
      <c r="B351" t="s">
        <v>31</v>
      </c>
      <c r="C351" t="s">
        <v>752</v>
      </c>
      <c r="D351" t="s">
        <v>33</v>
      </c>
      <c r="E351" t="str">
        <f t="shared" si="53"/>
        <v>400426</v>
      </c>
      <c r="F351" t="s">
        <v>34</v>
      </c>
      <c r="G351">
        <v>24</v>
      </c>
      <c r="H351">
        <v>0</v>
      </c>
      <c r="I351" t="s">
        <v>753</v>
      </c>
      <c r="J351" t="str">
        <f>"153000403"</f>
        <v>153000403</v>
      </c>
      <c r="K351" s="1">
        <v>48016</v>
      </c>
      <c r="M351" s="1">
        <v>46191</v>
      </c>
      <c r="N351" t="str">
        <f t="shared" si="51"/>
        <v>1329001955</v>
      </c>
      <c r="O351">
        <v>24</v>
      </c>
      <c r="P351" s="2">
        <v>46218.618877314817</v>
      </c>
      <c r="Q351" s="2">
        <v>46219.383252314816</v>
      </c>
      <c r="R351" s="2">
        <v>46218.618877314817</v>
      </c>
      <c r="S351">
        <v>0</v>
      </c>
      <c r="T351" t="s">
        <v>67</v>
      </c>
      <c r="U351" t="s">
        <v>67</v>
      </c>
      <c r="W351" t="str">
        <f t="shared" si="54"/>
        <v>400426</v>
      </c>
      <c r="X351" t="s">
        <v>37</v>
      </c>
      <c r="AD351" s="2">
        <v>46219.383252314816</v>
      </c>
    </row>
    <row r="352" spans="1:30" x14ac:dyDescent="0.35">
      <c r="A352" t="s">
        <v>30</v>
      </c>
      <c r="B352" t="s">
        <v>31</v>
      </c>
      <c r="C352" t="s">
        <v>754</v>
      </c>
      <c r="D352" t="s">
        <v>33</v>
      </c>
      <c r="E352" t="str">
        <f t="shared" si="53"/>
        <v>400426</v>
      </c>
      <c r="F352" t="s">
        <v>34</v>
      </c>
      <c r="G352">
        <v>24</v>
      </c>
      <c r="H352">
        <v>0</v>
      </c>
      <c r="I352" t="s">
        <v>755</v>
      </c>
      <c r="J352" t="str">
        <f>"153000405"</f>
        <v>153000405</v>
      </c>
      <c r="K352" s="1">
        <v>48020</v>
      </c>
      <c r="M352" s="1">
        <v>46195</v>
      </c>
      <c r="N352" t="str">
        <f t="shared" si="51"/>
        <v>1329001955</v>
      </c>
      <c r="O352">
        <v>24</v>
      </c>
      <c r="P352" s="2">
        <v>46218.618993055556</v>
      </c>
      <c r="Q352" s="2">
        <v>46219.384328703702</v>
      </c>
      <c r="R352" s="2">
        <v>46218.618993055556</v>
      </c>
      <c r="S352">
        <v>0</v>
      </c>
      <c r="T352" t="s">
        <v>67</v>
      </c>
      <c r="U352" t="s">
        <v>67</v>
      </c>
      <c r="W352" t="str">
        <f t="shared" si="54"/>
        <v>400426</v>
      </c>
      <c r="X352" t="s">
        <v>37</v>
      </c>
      <c r="AD352" s="2">
        <v>46219.384328703702</v>
      </c>
    </row>
    <row r="353" spans="1:30" x14ac:dyDescent="0.35">
      <c r="A353" t="s">
        <v>30</v>
      </c>
      <c r="B353" t="s">
        <v>31</v>
      </c>
      <c r="C353" t="s">
        <v>756</v>
      </c>
      <c r="D353" t="s">
        <v>33</v>
      </c>
      <c r="E353" t="str">
        <f t="shared" ref="E353:E382" si="55">"400441"</f>
        <v>400441</v>
      </c>
      <c r="F353" t="s">
        <v>65</v>
      </c>
      <c r="G353">
        <v>4</v>
      </c>
      <c r="H353">
        <v>0</v>
      </c>
      <c r="I353" t="s">
        <v>757</v>
      </c>
      <c r="J353" t="str">
        <f t="shared" ref="J353:J382" si="56">"153000408"</f>
        <v>153000408</v>
      </c>
      <c r="K353" s="1">
        <v>48024</v>
      </c>
      <c r="M353" s="1">
        <v>46199</v>
      </c>
      <c r="N353" t="str">
        <f t="shared" ref="N353:N382" si="57">"1329001957"</f>
        <v>1329001957</v>
      </c>
      <c r="O353">
        <v>4</v>
      </c>
      <c r="P353" s="2">
        <v>46222.367997685185</v>
      </c>
      <c r="Q353" s="2">
        <v>46222.371111111112</v>
      </c>
      <c r="R353" s="2">
        <v>46222.367997685185</v>
      </c>
      <c r="S353">
        <v>0</v>
      </c>
      <c r="T353" t="s">
        <v>67</v>
      </c>
      <c r="U353" t="s">
        <v>67</v>
      </c>
      <c r="W353" t="str">
        <f t="shared" ref="W353:W382" si="58">"400441"</f>
        <v>400441</v>
      </c>
      <c r="X353" t="s">
        <v>41</v>
      </c>
      <c r="AD353" s="2">
        <v>46222.371111111112</v>
      </c>
    </row>
    <row r="354" spans="1:30" x14ac:dyDescent="0.35">
      <c r="A354" t="s">
        <v>30</v>
      </c>
      <c r="B354" t="s">
        <v>31</v>
      </c>
      <c r="C354" t="s">
        <v>758</v>
      </c>
      <c r="D354" t="s">
        <v>33</v>
      </c>
      <c r="E354" t="str">
        <f t="shared" si="55"/>
        <v>400441</v>
      </c>
      <c r="F354" t="s">
        <v>65</v>
      </c>
      <c r="G354">
        <v>4</v>
      </c>
      <c r="H354">
        <v>0</v>
      </c>
      <c r="I354" t="s">
        <v>759</v>
      </c>
      <c r="J354" t="str">
        <f t="shared" si="56"/>
        <v>153000408</v>
      </c>
      <c r="K354" s="1">
        <v>48024</v>
      </c>
      <c r="M354" s="1">
        <v>46199</v>
      </c>
      <c r="N354" t="str">
        <f t="shared" si="57"/>
        <v>1329001957</v>
      </c>
      <c r="O354">
        <v>4</v>
      </c>
      <c r="P354" s="2">
        <v>46222.367847222224</v>
      </c>
      <c r="Q354" s="2">
        <v>46222.371840277781</v>
      </c>
      <c r="R354" s="2">
        <v>46222.367847222224</v>
      </c>
      <c r="S354">
        <v>0</v>
      </c>
      <c r="T354" t="s">
        <v>67</v>
      </c>
      <c r="U354" t="s">
        <v>67</v>
      </c>
      <c r="W354" t="str">
        <f t="shared" si="58"/>
        <v>400441</v>
      </c>
      <c r="X354" t="s">
        <v>41</v>
      </c>
      <c r="AD354" s="2">
        <v>46222.371840277781</v>
      </c>
    </row>
    <row r="355" spans="1:30" x14ac:dyDescent="0.35">
      <c r="A355" t="s">
        <v>30</v>
      </c>
      <c r="B355" t="s">
        <v>31</v>
      </c>
      <c r="C355" t="s">
        <v>760</v>
      </c>
      <c r="D355" t="s">
        <v>33</v>
      </c>
      <c r="E355" t="str">
        <f t="shared" si="55"/>
        <v>400441</v>
      </c>
      <c r="F355" t="s">
        <v>65</v>
      </c>
      <c r="G355">
        <v>4</v>
      </c>
      <c r="H355">
        <v>0</v>
      </c>
      <c r="I355" t="s">
        <v>761</v>
      </c>
      <c r="J355" t="str">
        <f t="shared" si="56"/>
        <v>153000408</v>
      </c>
      <c r="K355" s="1">
        <v>48024</v>
      </c>
      <c r="M355" s="1">
        <v>46199</v>
      </c>
      <c r="N355" t="str">
        <f t="shared" si="57"/>
        <v>1329001957</v>
      </c>
      <c r="O355">
        <v>4</v>
      </c>
      <c r="P355" s="2">
        <v>46222.367731481485</v>
      </c>
      <c r="Q355" s="2">
        <v>46222.372615740744</v>
      </c>
      <c r="R355" s="2">
        <v>46222.367731481485</v>
      </c>
      <c r="S355">
        <v>0</v>
      </c>
      <c r="T355" t="s">
        <v>67</v>
      </c>
      <c r="U355" t="s">
        <v>67</v>
      </c>
      <c r="W355" t="str">
        <f t="shared" si="58"/>
        <v>400441</v>
      </c>
      <c r="X355" t="s">
        <v>41</v>
      </c>
      <c r="AD355" s="2">
        <v>46222.372615740744</v>
      </c>
    </row>
    <row r="356" spans="1:30" x14ac:dyDescent="0.35">
      <c r="A356" t="s">
        <v>30</v>
      </c>
      <c r="B356" t="s">
        <v>31</v>
      </c>
      <c r="C356" t="s">
        <v>762</v>
      </c>
      <c r="D356" t="s">
        <v>33</v>
      </c>
      <c r="E356" t="str">
        <f t="shared" si="55"/>
        <v>400441</v>
      </c>
      <c r="F356" t="s">
        <v>65</v>
      </c>
      <c r="G356">
        <v>4</v>
      </c>
      <c r="H356">
        <v>0</v>
      </c>
      <c r="I356" t="s">
        <v>763</v>
      </c>
      <c r="J356" t="str">
        <f t="shared" si="56"/>
        <v>153000408</v>
      </c>
      <c r="K356" s="1">
        <v>48024</v>
      </c>
      <c r="M356" s="1">
        <v>46199</v>
      </c>
      <c r="N356" t="str">
        <f t="shared" si="57"/>
        <v>1329001957</v>
      </c>
      <c r="O356">
        <v>4</v>
      </c>
      <c r="P356" s="2">
        <v>46222.367627314816</v>
      </c>
      <c r="Q356" s="2">
        <v>46222.373414351852</v>
      </c>
      <c r="R356" s="2">
        <v>46222.367627314816</v>
      </c>
      <c r="S356">
        <v>0</v>
      </c>
      <c r="T356" t="s">
        <v>67</v>
      </c>
      <c r="U356" t="s">
        <v>67</v>
      </c>
      <c r="W356" t="str">
        <f t="shared" si="58"/>
        <v>400441</v>
      </c>
      <c r="X356" t="s">
        <v>41</v>
      </c>
      <c r="AD356" s="2">
        <v>46222.373414351852</v>
      </c>
    </row>
    <row r="357" spans="1:30" x14ac:dyDescent="0.35">
      <c r="A357" t="s">
        <v>30</v>
      </c>
      <c r="B357" t="s">
        <v>31</v>
      </c>
      <c r="C357" t="s">
        <v>764</v>
      </c>
      <c r="D357" t="s">
        <v>33</v>
      </c>
      <c r="E357" t="str">
        <f t="shared" si="55"/>
        <v>400441</v>
      </c>
      <c r="F357" t="s">
        <v>65</v>
      </c>
      <c r="G357">
        <v>4</v>
      </c>
      <c r="H357">
        <v>0</v>
      </c>
      <c r="I357" t="s">
        <v>765</v>
      </c>
      <c r="J357" t="str">
        <f t="shared" si="56"/>
        <v>153000408</v>
      </c>
      <c r="K357" s="1">
        <v>48024</v>
      </c>
      <c r="M357" s="1">
        <v>46199</v>
      </c>
      <c r="N357" t="str">
        <f t="shared" si="57"/>
        <v>1329001957</v>
      </c>
      <c r="O357">
        <v>4</v>
      </c>
      <c r="P357" s="2">
        <v>46222.367511574077</v>
      </c>
      <c r="Q357" s="2">
        <v>46222.374872685185</v>
      </c>
      <c r="R357" s="2">
        <v>46222.367511574077</v>
      </c>
      <c r="S357">
        <v>0</v>
      </c>
      <c r="T357" t="s">
        <v>67</v>
      </c>
      <c r="U357" t="s">
        <v>67</v>
      </c>
      <c r="W357" t="str">
        <f t="shared" si="58"/>
        <v>400441</v>
      </c>
      <c r="X357" t="s">
        <v>41</v>
      </c>
      <c r="AD357" s="2">
        <v>46222.374872685185</v>
      </c>
    </row>
    <row r="358" spans="1:30" x14ac:dyDescent="0.35">
      <c r="A358" t="s">
        <v>30</v>
      </c>
      <c r="B358" t="s">
        <v>31</v>
      </c>
      <c r="C358" t="s">
        <v>766</v>
      </c>
      <c r="D358" t="s">
        <v>33</v>
      </c>
      <c r="E358" t="str">
        <f t="shared" si="55"/>
        <v>400441</v>
      </c>
      <c r="F358" t="s">
        <v>65</v>
      </c>
      <c r="G358">
        <v>4</v>
      </c>
      <c r="H358">
        <v>0</v>
      </c>
      <c r="I358" t="s">
        <v>767</v>
      </c>
      <c r="J358" t="str">
        <f t="shared" si="56"/>
        <v>153000408</v>
      </c>
      <c r="K358" s="1">
        <v>48024</v>
      </c>
      <c r="M358" s="1">
        <v>46199</v>
      </c>
      <c r="N358" t="str">
        <f t="shared" si="57"/>
        <v>1329001957</v>
      </c>
      <c r="O358">
        <v>4</v>
      </c>
      <c r="P358" s="2">
        <v>46222.367384259262</v>
      </c>
      <c r="Q358" s="2">
        <v>46222.376469907409</v>
      </c>
      <c r="R358" s="2">
        <v>46222.367384259262</v>
      </c>
      <c r="S358">
        <v>0</v>
      </c>
      <c r="T358" t="s">
        <v>67</v>
      </c>
      <c r="U358" t="s">
        <v>67</v>
      </c>
      <c r="W358" t="str">
        <f t="shared" si="58"/>
        <v>400441</v>
      </c>
      <c r="X358" t="s">
        <v>41</v>
      </c>
      <c r="AD358" s="2">
        <v>46222.376469907409</v>
      </c>
    </row>
    <row r="359" spans="1:30" x14ac:dyDescent="0.35">
      <c r="A359" t="s">
        <v>30</v>
      </c>
      <c r="B359" t="s">
        <v>31</v>
      </c>
      <c r="C359" t="s">
        <v>768</v>
      </c>
      <c r="D359" t="s">
        <v>33</v>
      </c>
      <c r="E359" t="str">
        <f t="shared" si="55"/>
        <v>400441</v>
      </c>
      <c r="F359" t="s">
        <v>65</v>
      </c>
      <c r="G359">
        <v>4</v>
      </c>
      <c r="H359">
        <v>0</v>
      </c>
      <c r="I359" t="s">
        <v>769</v>
      </c>
      <c r="J359" t="str">
        <f t="shared" si="56"/>
        <v>153000408</v>
      </c>
      <c r="K359" s="1">
        <v>48024</v>
      </c>
      <c r="M359" s="1">
        <v>46199</v>
      </c>
      <c r="N359" t="str">
        <f t="shared" si="57"/>
        <v>1329001957</v>
      </c>
      <c r="O359">
        <v>4</v>
      </c>
      <c r="P359" s="2">
        <v>46222.367256944446</v>
      </c>
      <c r="Q359" s="2">
        <v>46222.377708333333</v>
      </c>
      <c r="R359" s="2">
        <v>46222.367256944446</v>
      </c>
      <c r="S359">
        <v>0</v>
      </c>
      <c r="T359" t="s">
        <v>67</v>
      </c>
      <c r="U359" t="s">
        <v>67</v>
      </c>
      <c r="W359" t="str">
        <f t="shared" si="58"/>
        <v>400441</v>
      </c>
      <c r="X359" t="s">
        <v>41</v>
      </c>
      <c r="AD359" s="2">
        <v>46222.377708333333</v>
      </c>
    </row>
    <row r="360" spans="1:30" x14ac:dyDescent="0.35">
      <c r="A360" t="s">
        <v>30</v>
      </c>
      <c r="B360" t="s">
        <v>31</v>
      </c>
      <c r="C360" t="s">
        <v>770</v>
      </c>
      <c r="D360" t="s">
        <v>33</v>
      </c>
      <c r="E360" t="str">
        <f t="shared" si="55"/>
        <v>400441</v>
      </c>
      <c r="F360" t="s">
        <v>65</v>
      </c>
      <c r="G360">
        <v>4</v>
      </c>
      <c r="H360">
        <v>0</v>
      </c>
      <c r="I360" t="s">
        <v>771</v>
      </c>
      <c r="J360" t="str">
        <f t="shared" si="56"/>
        <v>153000408</v>
      </c>
      <c r="K360" s="1">
        <v>48024</v>
      </c>
      <c r="M360" s="1">
        <v>46199</v>
      </c>
      <c r="N360" t="str">
        <f t="shared" si="57"/>
        <v>1329001957</v>
      </c>
      <c r="O360">
        <v>4</v>
      </c>
      <c r="P360" s="2">
        <v>46222.366342592592</v>
      </c>
      <c r="Q360" s="2">
        <v>46222.379259259258</v>
      </c>
      <c r="R360" s="2">
        <v>46222.366342592592</v>
      </c>
      <c r="S360">
        <v>0</v>
      </c>
      <c r="T360" t="s">
        <v>67</v>
      </c>
      <c r="U360" t="s">
        <v>67</v>
      </c>
      <c r="W360" t="str">
        <f t="shared" si="58"/>
        <v>400441</v>
      </c>
      <c r="X360" t="s">
        <v>41</v>
      </c>
      <c r="AD360" s="2">
        <v>46222.379259259258</v>
      </c>
    </row>
    <row r="361" spans="1:30" x14ac:dyDescent="0.35">
      <c r="A361" t="s">
        <v>30</v>
      </c>
      <c r="B361" t="s">
        <v>31</v>
      </c>
      <c r="C361" t="s">
        <v>772</v>
      </c>
      <c r="D361" t="s">
        <v>33</v>
      </c>
      <c r="E361" t="str">
        <f t="shared" si="55"/>
        <v>400441</v>
      </c>
      <c r="F361" t="s">
        <v>65</v>
      </c>
      <c r="G361">
        <v>4</v>
      </c>
      <c r="H361">
        <v>0</v>
      </c>
      <c r="I361" t="s">
        <v>773</v>
      </c>
      <c r="J361" t="str">
        <f t="shared" si="56"/>
        <v>153000408</v>
      </c>
      <c r="K361" s="1">
        <v>48024</v>
      </c>
      <c r="M361" s="1">
        <v>46199</v>
      </c>
      <c r="N361" t="str">
        <f t="shared" si="57"/>
        <v>1329001957</v>
      </c>
      <c r="O361">
        <v>4</v>
      </c>
      <c r="P361" s="2">
        <v>46222.36650462963</v>
      </c>
      <c r="Q361" s="2">
        <v>46222.380057870374</v>
      </c>
      <c r="R361" s="2">
        <v>46222.36650462963</v>
      </c>
      <c r="S361">
        <v>0</v>
      </c>
      <c r="T361" t="s">
        <v>67</v>
      </c>
      <c r="U361" t="s">
        <v>67</v>
      </c>
      <c r="W361" t="str">
        <f t="shared" si="58"/>
        <v>400441</v>
      </c>
      <c r="X361" t="s">
        <v>41</v>
      </c>
      <c r="AD361" s="2">
        <v>46222.380057870374</v>
      </c>
    </row>
    <row r="362" spans="1:30" x14ac:dyDescent="0.35">
      <c r="A362" t="s">
        <v>30</v>
      </c>
      <c r="B362" t="s">
        <v>31</v>
      </c>
      <c r="C362" t="s">
        <v>774</v>
      </c>
      <c r="D362" t="s">
        <v>33</v>
      </c>
      <c r="E362" t="str">
        <f t="shared" si="55"/>
        <v>400441</v>
      </c>
      <c r="F362" t="s">
        <v>65</v>
      </c>
      <c r="G362">
        <v>4</v>
      </c>
      <c r="H362">
        <v>0</v>
      </c>
      <c r="I362" t="s">
        <v>775</v>
      </c>
      <c r="J362" t="str">
        <f t="shared" si="56"/>
        <v>153000408</v>
      </c>
      <c r="K362" s="1">
        <v>48024</v>
      </c>
      <c r="M362" s="1">
        <v>46199</v>
      </c>
      <c r="N362" t="str">
        <f t="shared" si="57"/>
        <v>1329001957</v>
      </c>
      <c r="O362">
        <v>4</v>
      </c>
      <c r="P362" s="2">
        <v>46222.366666666669</v>
      </c>
      <c r="Q362" s="2">
        <v>46222.380798611113</v>
      </c>
      <c r="R362" s="2">
        <v>46222.366666666669</v>
      </c>
      <c r="S362">
        <v>0</v>
      </c>
      <c r="T362" t="s">
        <v>67</v>
      </c>
      <c r="U362" t="s">
        <v>67</v>
      </c>
      <c r="W362" t="str">
        <f t="shared" si="58"/>
        <v>400441</v>
      </c>
      <c r="X362" t="s">
        <v>41</v>
      </c>
      <c r="AD362" s="2">
        <v>46222.380798611113</v>
      </c>
    </row>
    <row r="363" spans="1:30" x14ac:dyDescent="0.35">
      <c r="A363" t="s">
        <v>30</v>
      </c>
      <c r="B363" t="s">
        <v>31</v>
      </c>
      <c r="C363" t="s">
        <v>776</v>
      </c>
      <c r="D363" t="s">
        <v>33</v>
      </c>
      <c r="E363" t="str">
        <f t="shared" si="55"/>
        <v>400441</v>
      </c>
      <c r="F363" t="s">
        <v>65</v>
      </c>
      <c r="G363">
        <v>4</v>
      </c>
      <c r="H363">
        <v>0</v>
      </c>
      <c r="I363" t="s">
        <v>777</v>
      </c>
      <c r="J363" t="str">
        <f t="shared" si="56"/>
        <v>153000408</v>
      </c>
      <c r="K363" s="1">
        <v>48024</v>
      </c>
      <c r="M363" s="1">
        <v>46199</v>
      </c>
      <c r="N363" t="str">
        <f t="shared" si="57"/>
        <v>1329001957</v>
      </c>
      <c r="O363">
        <v>4</v>
      </c>
      <c r="P363" s="2">
        <v>46222.36681712963</v>
      </c>
      <c r="Q363" s="2">
        <v>46222.381805555553</v>
      </c>
      <c r="R363" s="2">
        <v>46222.36681712963</v>
      </c>
      <c r="S363">
        <v>0</v>
      </c>
      <c r="T363" t="s">
        <v>67</v>
      </c>
      <c r="U363" t="s">
        <v>67</v>
      </c>
      <c r="W363" t="str">
        <f t="shared" si="58"/>
        <v>400441</v>
      </c>
      <c r="X363" t="s">
        <v>41</v>
      </c>
      <c r="AD363" s="2">
        <v>46222.381805555553</v>
      </c>
    </row>
    <row r="364" spans="1:30" x14ac:dyDescent="0.35">
      <c r="A364" t="s">
        <v>30</v>
      </c>
      <c r="B364" t="s">
        <v>31</v>
      </c>
      <c r="C364" t="s">
        <v>778</v>
      </c>
      <c r="D364" t="s">
        <v>33</v>
      </c>
      <c r="E364" t="str">
        <f t="shared" si="55"/>
        <v>400441</v>
      </c>
      <c r="F364" t="s">
        <v>65</v>
      </c>
      <c r="G364">
        <v>4</v>
      </c>
      <c r="H364">
        <v>0</v>
      </c>
      <c r="I364" t="s">
        <v>779</v>
      </c>
      <c r="J364" t="str">
        <f t="shared" si="56"/>
        <v>153000408</v>
      </c>
      <c r="K364" s="1">
        <v>48024</v>
      </c>
      <c r="M364" s="1">
        <v>46199</v>
      </c>
      <c r="N364" t="str">
        <f t="shared" si="57"/>
        <v>1329001957</v>
      </c>
      <c r="O364">
        <v>4</v>
      </c>
      <c r="P364" s="2">
        <v>46222.366967592592</v>
      </c>
      <c r="Q364" s="2">
        <v>46222.382418981484</v>
      </c>
      <c r="R364" s="2">
        <v>46222.366967592592</v>
      </c>
      <c r="S364">
        <v>0</v>
      </c>
      <c r="T364" t="s">
        <v>67</v>
      </c>
      <c r="U364" t="s">
        <v>67</v>
      </c>
      <c r="W364" t="str">
        <f t="shared" si="58"/>
        <v>400441</v>
      </c>
      <c r="X364" t="s">
        <v>41</v>
      </c>
      <c r="AD364" s="2">
        <v>46222.382418981484</v>
      </c>
    </row>
    <row r="365" spans="1:30" x14ac:dyDescent="0.35">
      <c r="A365" t="s">
        <v>30</v>
      </c>
      <c r="B365" t="s">
        <v>31</v>
      </c>
      <c r="C365" t="s">
        <v>780</v>
      </c>
      <c r="D365" t="s">
        <v>33</v>
      </c>
      <c r="E365" t="str">
        <f t="shared" si="55"/>
        <v>400441</v>
      </c>
      <c r="F365" t="s">
        <v>65</v>
      </c>
      <c r="G365">
        <v>4</v>
      </c>
      <c r="H365">
        <v>0</v>
      </c>
      <c r="I365" t="s">
        <v>781</v>
      </c>
      <c r="J365" t="str">
        <f t="shared" si="56"/>
        <v>153000408</v>
      </c>
      <c r="K365" s="1">
        <v>48024</v>
      </c>
      <c r="M365" s="1">
        <v>46199</v>
      </c>
      <c r="N365" t="str">
        <f t="shared" si="57"/>
        <v>1329001957</v>
      </c>
      <c r="O365">
        <v>4</v>
      </c>
      <c r="P365" s="2">
        <v>46222.3671412037</v>
      </c>
      <c r="Q365" s="2">
        <v>46222.383020833331</v>
      </c>
      <c r="R365" s="2">
        <v>46222.3671412037</v>
      </c>
      <c r="S365">
        <v>0</v>
      </c>
      <c r="T365" t="s">
        <v>67</v>
      </c>
      <c r="U365" t="s">
        <v>67</v>
      </c>
      <c r="W365" t="str">
        <f t="shared" si="58"/>
        <v>400441</v>
      </c>
      <c r="X365" t="s">
        <v>41</v>
      </c>
      <c r="AD365" s="2">
        <v>46222.383020833331</v>
      </c>
    </row>
    <row r="366" spans="1:30" x14ac:dyDescent="0.35">
      <c r="A366" t="s">
        <v>30</v>
      </c>
      <c r="B366" t="s">
        <v>31</v>
      </c>
      <c r="C366" t="s">
        <v>782</v>
      </c>
      <c r="D366" t="s">
        <v>33</v>
      </c>
      <c r="E366" t="str">
        <f t="shared" si="55"/>
        <v>400441</v>
      </c>
      <c r="F366" t="s">
        <v>65</v>
      </c>
      <c r="G366">
        <v>4</v>
      </c>
      <c r="H366">
        <v>0</v>
      </c>
      <c r="I366" t="s">
        <v>783</v>
      </c>
      <c r="J366" t="str">
        <f t="shared" si="56"/>
        <v>153000408</v>
      </c>
      <c r="K366" s="1">
        <v>48024</v>
      </c>
      <c r="M366" s="1">
        <v>46199</v>
      </c>
      <c r="N366" t="str">
        <f t="shared" si="57"/>
        <v>1329001957</v>
      </c>
      <c r="O366">
        <v>4</v>
      </c>
      <c r="P366" s="2">
        <v>46222.366886574076</v>
      </c>
      <c r="Q366" s="2">
        <v>46222.383842592593</v>
      </c>
      <c r="R366" s="2">
        <v>46222.366886574076</v>
      </c>
      <c r="S366">
        <v>0</v>
      </c>
      <c r="T366" t="s">
        <v>67</v>
      </c>
      <c r="U366" t="s">
        <v>67</v>
      </c>
      <c r="W366" t="str">
        <f t="shared" si="58"/>
        <v>400441</v>
      </c>
      <c r="X366" t="s">
        <v>41</v>
      </c>
      <c r="AD366" s="2">
        <v>46222.383842592593</v>
      </c>
    </row>
    <row r="367" spans="1:30" x14ac:dyDescent="0.35">
      <c r="A367" t="s">
        <v>30</v>
      </c>
      <c r="B367" t="s">
        <v>31</v>
      </c>
      <c r="C367" t="s">
        <v>784</v>
      </c>
      <c r="D367" t="s">
        <v>33</v>
      </c>
      <c r="E367" t="str">
        <f t="shared" si="55"/>
        <v>400441</v>
      </c>
      <c r="F367" t="s">
        <v>65</v>
      </c>
      <c r="G367">
        <v>4</v>
      </c>
      <c r="H367">
        <v>0</v>
      </c>
      <c r="I367" t="s">
        <v>785</v>
      </c>
      <c r="J367" t="str">
        <f t="shared" si="56"/>
        <v>153000408</v>
      </c>
      <c r="K367" s="1">
        <v>48024</v>
      </c>
      <c r="M367" s="1">
        <v>46199</v>
      </c>
      <c r="N367" t="str">
        <f t="shared" si="57"/>
        <v>1329001957</v>
      </c>
      <c r="O367">
        <v>4</v>
      </c>
      <c r="P367" s="2">
        <v>46222.366736111115</v>
      </c>
      <c r="Q367" s="2">
        <v>46222.385069444441</v>
      </c>
      <c r="R367" s="2">
        <v>46222.366736111115</v>
      </c>
      <c r="S367">
        <v>0</v>
      </c>
      <c r="T367" t="s">
        <v>67</v>
      </c>
      <c r="U367" t="s">
        <v>67</v>
      </c>
      <c r="W367" t="str">
        <f t="shared" si="58"/>
        <v>400441</v>
      </c>
      <c r="X367" t="s">
        <v>41</v>
      </c>
      <c r="AD367" s="2">
        <v>46222.385069444441</v>
      </c>
    </row>
    <row r="368" spans="1:30" x14ac:dyDescent="0.35">
      <c r="A368" t="s">
        <v>30</v>
      </c>
      <c r="B368" t="s">
        <v>31</v>
      </c>
      <c r="C368" t="s">
        <v>786</v>
      </c>
      <c r="D368" t="s">
        <v>33</v>
      </c>
      <c r="E368" t="str">
        <f t="shared" si="55"/>
        <v>400441</v>
      </c>
      <c r="F368" t="s">
        <v>65</v>
      </c>
      <c r="G368">
        <v>4</v>
      </c>
      <c r="H368">
        <v>0</v>
      </c>
      <c r="I368" t="s">
        <v>787</v>
      </c>
      <c r="J368" t="str">
        <f t="shared" si="56"/>
        <v>153000408</v>
      </c>
      <c r="K368" s="1">
        <v>48024</v>
      </c>
      <c r="M368" s="1">
        <v>46199</v>
      </c>
      <c r="N368" t="str">
        <f t="shared" si="57"/>
        <v>1329001957</v>
      </c>
      <c r="O368">
        <v>4</v>
      </c>
      <c r="P368" s="2">
        <v>46222.366597222222</v>
      </c>
      <c r="Q368" s="2">
        <v>46222.38553240741</v>
      </c>
      <c r="R368" s="2">
        <v>46222.366597222222</v>
      </c>
      <c r="S368">
        <v>0</v>
      </c>
      <c r="T368" t="s">
        <v>67</v>
      </c>
      <c r="U368" t="s">
        <v>67</v>
      </c>
      <c r="W368" t="str">
        <f t="shared" si="58"/>
        <v>400441</v>
      </c>
      <c r="X368" t="s">
        <v>41</v>
      </c>
      <c r="AD368" s="2">
        <v>46222.38553240741</v>
      </c>
    </row>
    <row r="369" spans="1:30" x14ac:dyDescent="0.35">
      <c r="A369" t="s">
        <v>30</v>
      </c>
      <c r="B369" t="s">
        <v>31</v>
      </c>
      <c r="C369" t="s">
        <v>788</v>
      </c>
      <c r="D369" t="s">
        <v>33</v>
      </c>
      <c r="E369" t="str">
        <f t="shared" si="55"/>
        <v>400441</v>
      </c>
      <c r="F369" t="s">
        <v>65</v>
      </c>
      <c r="G369">
        <v>4</v>
      </c>
      <c r="H369">
        <v>0</v>
      </c>
      <c r="I369" t="s">
        <v>789</v>
      </c>
      <c r="J369" t="str">
        <f t="shared" si="56"/>
        <v>153000408</v>
      </c>
      <c r="K369" s="1">
        <v>48024</v>
      </c>
      <c r="M369" s="1">
        <v>46199</v>
      </c>
      <c r="N369" t="str">
        <f t="shared" si="57"/>
        <v>1329001957</v>
      </c>
      <c r="O369">
        <v>4</v>
      </c>
      <c r="P369" s="2">
        <v>46222.366423611114</v>
      </c>
      <c r="Q369" s="2">
        <v>46222.385995370372</v>
      </c>
      <c r="R369" s="2">
        <v>46222.366423611114</v>
      </c>
      <c r="S369">
        <v>0</v>
      </c>
      <c r="T369" t="s">
        <v>67</v>
      </c>
      <c r="U369" t="s">
        <v>67</v>
      </c>
      <c r="W369" t="str">
        <f t="shared" si="58"/>
        <v>400441</v>
      </c>
      <c r="X369" t="s">
        <v>41</v>
      </c>
      <c r="AD369" s="2">
        <v>46222.385983796295</v>
      </c>
    </row>
    <row r="370" spans="1:30" x14ac:dyDescent="0.35">
      <c r="A370" t="s">
        <v>30</v>
      </c>
      <c r="B370" t="s">
        <v>31</v>
      </c>
      <c r="C370" t="s">
        <v>790</v>
      </c>
      <c r="D370" t="s">
        <v>33</v>
      </c>
      <c r="E370" t="str">
        <f t="shared" si="55"/>
        <v>400441</v>
      </c>
      <c r="F370" t="s">
        <v>65</v>
      </c>
      <c r="G370">
        <v>4</v>
      </c>
      <c r="H370">
        <v>0</v>
      </c>
      <c r="I370" t="s">
        <v>791</v>
      </c>
      <c r="J370" t="str">
        <f t="shared" si="56"/>
        <v>153000408</v>
      </c>
      <c r="K370" s="1">
        <v>48024</v>
      </c>
      <c r="M370" s="1">
        <v>46199</v>
      </c>
      <c r="N370" t="str">
        <f t="shared" si="57"/>
        <v>1329001957</v>
      </c>
      <c r="O370">
        <v>4</v>
      </c>
      <c r="P370" s="2">
        <v>46222.366261574076</v>
      </c>
      <c r="Q370" s="2">
        <v>46222.386400462965</v>
      </c>
      <c r="R370" s="2">
        <v>46222.366261574076</v>
      </c>
      <c r="S370">
        <v>0</v>
      </c>
      <c r="T370" t="s">
        <v>67</v>
      </c>
      <c r="U370" t="s">
        <v>67</v>
      </c>
      <c r="W370" t="str">
        <f t="shared" si="58"/>
        <v>400441</v>
      </c>
      <c r="X370" t="s">
        <v>41</v>
      </c>
      <c r="AD370" s="2">
        <v>46222.386400462965</v>
      </c>
    </row>
    <row r="371" spans="1:30" x14ac:dyDescent="0.35">
      <c r="A371" t="s">
        <v>30</v>
      </c>
      <c r="B371" t="s">
        <v>31</v>
      </c>
      <c r="C371" t="s">
        <v>792</v>
      </c>
      <c r="D371" t="s">
        <v>33</v>
      </c>
      <c r="E371" t="str">
        <f t="shared" si="55"/>
        <v>400441</v>
      </c>
      <c r="F371" t="s">
        <v>65</v>
      </c>
      <c r="G371">
        <v>4</v>
      </c>
      <c r="H371">
        <v>0</v>
      </c>
      <c r="I371" t="s">
        <v>793</v>
      </c>
      <c r="J371" t="str">
        <f t="shared" si="56"/>
        <v>153000408</v>
      </c>
      <c r="K371" s="1">
        <v>48024</v>
      </c>
      <c r="M371" s="1">
        <v>46199</v>
      </c>
      <c r="N371" t="str">
        <f t="shared" si="57"/>
        <v>1329001957</v>
      </c>
      <c r="O371">
        <v>4</v>
      </c>
      <c r="P371" s="2">
        <v>46222.36482638889</v>
      </c>
      <c r="Q371" s="2">
        <v>46222.38726851852</v>
      </c>
      <c r="R371" s="2">
        <v>46222.36482638889</v>
      </c>
      <c r="S371">
        <v>0</v>
      </c>
      <c r="T371" t="s">
        <v>67</v>
      </c>
      <c r="U371" t="s">
        <v>67</v>
      </c>
      <c r="W371" t="str">
        <f t="shared" si="58"/>
        <v>400441</v>
      </c>
      <c r="X371" t="s">
        <v>41</v>
      </c>
      <c r="AD371" s="2">
        <v>46222.38726851852</v>
      </c>
    </row>
    <row r="372" spans="1:30" x14ac:dyDescent="0.35">
      <c r="A372" t="s">
        <v>30</v>
      </c>
      <c r="B372" t="s">
        <v>31</v>
      </c>
      <c r="C372" t="s">
        <v>794</v>
      </c>
      <c r="D372" t="s">
        <v>33</v>
      </c>
      <c r="E372" t="str">
        <f t="shared" si="55"/>
        <v>400441</v>
      </c>
      <c r="F372" t="s">
        <v>65</v>
      </c>
      <c r="G372">
        <v>4</v>
      </c>
      <c r="H372">
        <v>0</v>
      </c>
      <c r="I372" t="s">
        <v>795</v>
      </c>
      <c r="J372" t="str">
        <f t="shared" si="56"/>
        <v>153000408</v>
      </c>
      <c r="K372" s="1">
        <v>48024</v>
      </c>
      <c r="M372" s="1">
        <v>46199</v>
      </c>
      <c r="N372" t="str">
        <f t="shared" si="57"/>
        <v>1329001957</v>
      </c>
      <c r="O372">
        <v>4</v>
      </c>
      <c r="P372" s="2">
        <v>46222.364930555559</v>
      </c>
      <c r="Q372" s="2">
        <v>46222.388645833336</v>
      </c>
      <c r="R372" s="2">
        <v>46222.364930555559</v>
      </c>
      <c r="S372">
        <v>0</v>
      </c>
      <c r="T372" t="s">
        <v>67</v>
      </c>
      <c r="U372" t="s">
        <v>67</v>
      </c>
      <c r="W372" t="str">
        <f t="shared" si="58"/>
        <v>400441</v>
      </c>
      <c r="X372" t="s">
        <v>41</v>
      </c>
      <c r="AD372" s="2">
        <v>46222.388645833336</v>
      </c>
    </row>
    <row r="373" spans="1:30" x14ac:dyDescent="0.35">
      <c r="A373" t="s">
        <v>30</v>
      </c>
      <c r="B373" t="s">
        <v>31</v>
      </c>
      <c r="C373" t="s">
        <v>796</v>
      </c>
      <c r="D373" t="s">
        <v>33</v>
      </c>
      <c r="E373" t="str">
        <f t="shared" si="55"/>
        <v>400441</v>
      </c>
      <c r="F373" t="s">
        <v>65</v>
      </c>
      <c r="G373">
        <v>4</v>
      </c>
      <c r="H373">
        <v>0</v>
      </c>
      <c r="I373" t="s">
        <v>797</v>
      </c>
      <c r="J373" t="str">
        <f t="shared" si="56"/>
        <v>153000408</v>
      </c>
      <c r="K373" s="1">
        <v>48024</v>
      </c>
      <c r="M373" s="1">
        <v>46199</v>
      </c>
      <c r="N373" t="str">
        <f t="shared" si="57"/>
        <v>1329001957</v>
      </c>
      <c r="O373">
        <v>4</v>
      </c>
      <c r="P373" s="2">
        <v>46222.365069444444</v>
      </c>
      <c r="Q373" s="2">
        <v>46222.389525462961</v>
      </c>
      <c r="R373" s="2">
        <v>46222.365069444444</v>
      </c>
      <c r="S373">
        <v>0</v>
      </c>
      <c r="T373" t="s">
        <v>67</v>
      </c>
      <c r="U373" t="s">
        <v>67</v>
      </c>
      <c r="W373" t="str">
        <f t="shared" si="58"/>
        <v>400441</v>
      </c>
      <c r="X373" t="s">
        <v>41</v>
      </c>
      <c r="AD373" s="2">
        <v>46222.389525462961</v>
      </c>
    </row>
    <row r="374" spans="1:30" x14ac:dyDescent="0.35">
      <c r="A374" t="s">
        <v>30</v>
      </c>
      <c r="B374" t="s">
        <v>31</v>
      </c>
      <c r="C374" t="s">
        <v>798</v>
      </c>
      <c r="D374" t="s">
        <v>33</v>
      </c>
      <c r="E374" t="str">
        <f t="shared" si="55"/>
        <v>400441</v>
      </c>
      <c r="F374" t="s">
        <v>65</v>
      </c>
      <c r="G374">
        <v>4</v>
      </c>
      <c r="H374">
        <v>0</v>
      </c>
      <c r="I374" t="s">
        <v>799</v>
      </c>
      <c r="J374" t="str">
        <f t="shared" si="56"/>
        <v>153000408</v>
      </c>
      <c r="K374" s="1">
        <v>48024</v>
      </c>
      <c r="M374" s="1">
        <v>46199</v>
      </c>
      <c r="N374" t="str">
        <f t="shared" si="57"/>
        <v>1329001957</v>
      </c>
      <c r="O374">
        <v>4</v>
      </c>
      <c r="P374" s="2">
        <v>46222.365185185183</v>
      </c>
      <c r="Q374" s="2">
        <v>46222.389618055553</v>
      </c>
      <c r="R374" s="2">
        <v>46222.365185185183</v>
      </c>
      <c r="S374">
        <v>0</v>
      </c>
      <c r="T374" t="s">
        <v>67</v>
      </c>
      <c r="U374" t="s">
        <v>67</v>
      </c>
      <c r="W374" t="str">
        <f t="shared" si="58"/>
        <v>400441</v>
      </c>
      <c r="X374" t="s">
        <v>41</v>
      </c>
      <c r="AD374" s="2">
        <v>46222.389618055553</v>
      </c>
    </row>
    <row r="375" spans="1:30" x14ac:dyDescent="0.35">
      <c r="A375" t="s">
        <v>30</v>
      </c>
      <c r="B375" t="s">
        <v>31</v>
      </c>
      <c r="C375" t="s">
        <v>800</v>
      </c>
      <c r="D375" t="s">
        <v>33</v>
      </c>
      <c r="E375" t="str">
        <f t="shared" si="55"/>
        <v>400441</v>
      </c>
      <c r="F375" t="s">
        <v>65</v>
      </c>
      <c r="G375">
        <v>4</v>
      </c>
      <c r="H375">
        <v>0</v>
      </c>
      <c r="I375" t="s">
        <v>801</v>
      </c>
      <c r="J375" t="str">
        <f t="shared" si="56"/>
        <v>153000408</v>
      </c>
      <c r="K375" s="1">
        <v>48024</v>
      </c>
      <c r="M375" s="1">
        <v>46199</v>
      </c>
      <c r="N375" t="str">
        <f t="shared" si="57"/>
        <v>1329001957</v>
      </c>
      <c r="O375">
        <v>4</v>
      </c>
      <c r="P375" s="2">
        <v>46222.365312499998</v>
      </c>
      <c r="Q375" s="2">
        <v>46222.3903125</v>
      </c>
      <c r="R375" s="2">
        <v>46222.365312499998</v>
      </c>
      <c r="S375">
        <v>0</v>
      </c>
      <c r="T375" t="s">
        <v>67</v>
      </c>
      <c r="U375" t="s">
        <v>67</v>
      </c>
      <c r="W375" t="str">
        <f t="shared" si="58"/>
        <v>400441</v>
      </c>
      <c r="X375" t="s">
        <v>41</v>
      </c>
      <c r="AD375" s="2">
        <v>46222.3903125</v>
      </c>
    </row>
    <row r="376" spans="1:30" x14ac:dyDescent="0.35">
      <c r="A376" t="s">
        <v>30</v>
      </c>
      <c r="B376" t="s">
        <v>31</v>
      </c>
      <c r="C376" t="s">
        <v>802</v>
      </c>
      <c r="D376" t="s">
        <v>33</v>
      </c>
      <c r="E376" t="str">
        <f t="shared" si="55"/>
        <v>400441</v>
      </c>
      <c r="F376" t="s">
        <v>65</v>
      </c>
      <c r="G376">
        <v>4</v>
      </c>
      <c r="H376">
        <v>0</v>
      </c>
      <c r="I376" t="s">
        <v>803</v>
      </c>
      <c r="J376" t="str">
        <f t="shared" si="56"/>
        <v>153000408</v>
      </c>
      <c r="K376" s="1">
        <v>48024</v>
      </c>
      <c r="M376" s="1">
        <v>46199</v>
      </c>
      <c r="N376" t="str">
        <f t="shared" si="57"/>
        <v>1329001957</v>
      </c>
      <c r="O376">
        <v>4</v>
      </c>
      <c r="P376" s="2">
        <v>46222.365416666667</v>
      </c>
      <c r="Q376" s="2">
        <v>46222.3906712963</v>
      </c>
      <c r="R376" s="2">
        <v>46222.365416666667</v>
      </c>
      <c r="S376">
        <v>0</v>
      </c>
      <c r="T376" t="s">
        <v>67</v>
      </c>
      <c r="U376" t="s">
        <v>67</v>
      </c>
      <c r="W376" t="str">
        <f t="shared" si="58"/>
        <v>400441</v>
      </c>
      <c r="X376" t="s">
        <v>41</v>
      </c>
      <c r="AD376" s="2">
        <v>46222.3906712963</v>
      </c>
    </row>
    <row r="377" spans="1:30" x14ac:dyDescent="0.35">
      <c r="A377" t="s">
        <v>30</v>
      </c>
      <c r="B377" t="s">
        <v>31</v>
      </c>
      <c r="C377" t="s">
        <v>804</v>
      </c>
      <c r="D377" t="s">
        <v>33</v>
      </c>
      <c r="E377" t="str">
        <f t="shared" si="55"/>
        <v>400441</v>
      </c>
      <c r="F377" t="s">
        <v>65</v>
      </c>
      <c r="G377">
        <v>4</v>
      </c>
      <c r="H377">
        <v>0</v>
      </c>
      <c r="I377" t="s">
        <v>805</v>
      </c>
      <c r="J377" t="str">
        <f t="shared" si="56"/>
        <v>153000408</v>
      </c>
      <c r="K377" s="1">
        <v>48024</v>
      </c>
      <c r="M377" s="1">
        <v>46199</v>
      </c>
      <c r="N377" t="str">
        <f t="shared" si="57"/>
        <v>1329001957</v>
      </c>
      <c r="O377">
        <v>4</v>
      </c>
      <c r="P377" s="2">
        <v>46222.365613425929</v>
      </c>
      <c r="Q377" s="2">
        <v>46222.391006944446</v>
      </c>
      <c r="R377" s="2">
        <v>46222.365613425929</v>
      </c>
      <c r="S377">
        <v>0</v>
      </c>
      <c r="T377" t="s">
        <v>67</v>
      </c>
      <c r="U377" t="s">
        <v>67</v>
      </c>
      <c r="W377" t="str">
        <f t="shared" si="58"/>
        <v>400441</v>
      </c>
      <c r="X377" t="s">
        <v>41</v>
      </c>
      <c r="AD377" s="2">
        <v>46222.391006944446</v>
      </c>
    </row>
    <row r="378" spans="1:30" x14ac:dyDescent="0.35">
      <c r="A378" t="s">
        <v>30</v>
      </c>
      <c r="B378" t="s">
        <v>31</v>
      </c>
      <c r="C378" t="s">
        <v>806</v>
      </c>
      <c r="D378" t="s">
        <v>33</v>
      </c>
      <c r="E378" t="str">
        <f t="shared" si="55"/>
        <v>400441</v>
      </c>
      <c r="F378" t="s">
        <v>65</v>
      </c>
      <c r="G378">
        <v>4</v>
      </c>
      <c r="H378">
        <v>0</v>
      </c>
      <c r="I378" t="s">
        <v>807</v>
      </c>
      <c r="J378" t="str">
        <f t="shared" si="56"/>
        <v>153000408</v>
      </c>
      <c r="K378" s="1">
        <v>48024</v>
      </c>
      <c r="M378" s="1">
        <v>46199</v>
      </c>
      <c r="N378" t="str">
        <f t="shared" si="57"/>
        <v>1329001957</v>
      </c>
      <c r="O378">
        <v>4</v>
      </c>
      <c r="P378" s="2">
        <v>46222.365833333337</v>
      </c>
      <c r="Q378" s="2">
        <v>46222.391875000001</v>
      </c>
      <c r="R378" s="2">
        <v>46222.365833333337</v>
      </c>
      <c r="S378">
        <v>0</v>
      </c>
      <c r="T378" t="s">
        <v>67</v>
      </c>
      <c r="U378" t="s">
        <v>67</v>
      </c>
      <c r="W378" t="str">
        <f t="shared" si="58"/>
        <v>400441</v>
      </c>
      <c r="X378" t="s">
        <v>41</v>
      </c>
      <c r="AD378" s="2">
        <v>46222.391875000001</v>
      </c>
    </row>
    <row r="379" spans="1:30" x14ac:dyDescent="0.35">
      <c r="A379" t="s">
        <v>30</v>
      </c>
      <c r="B379" t="s">
        <v>31</v>
      </c>
      <c r="C379" t="s">
        <v>808</v>
      </c>
      <c r="D379" t="s">
        <v>33</v>
      </c>
      <c r="E379" t="str">
        <f t="shared" si="55"/>
        <v>400441</v>
      </c>
      <c r="F379" t="s">
        <v>65</v>
      </c>
      <c r="G379">
        <v>4</v>
      </c>
      <c r="H379">
        <v>0</v>
      </c>
      <c r="I379" t="s">
        <v>809</v>
      </c>
      <c r="J379" t="str">
        <f t="shared" si="56"/>
        <v>153000408</v>
      </c>
      <c r="K379" s="1">
        <v>48024</v>
      </c>
      <c r="M379" s="1">
        <v>46199</v>
      </c>
      <c r="N379" t="str">
        <f t="shared" si="57"/>
        <v>1329001957</v>
      </c>
      <c r="O379">
        <v>4</v>
      </c>
      <c r="P379" s="2">
        <v>46222.365532407406</v>
      </c>
      <c r="Q379" s="2">
        <v>46222.392384259256</v>
      </c>
      <c r="R379" s="2">
        <v>46222.365532407406</v>
      </c>
      <c r="S379">
        <v>0</v>
      </c>
      <c r="T379" t="s">
        <v>67</v>
      </c>
      <c r="U379" t="s">
        <v>67</v>
      </c>
      <c r="W379" t="str">
        <f t="shared" si="58"/>
        <v>400441</v>
      </c>
      <c r="X379" t="s">
        <v>41</v>
      </c>
      <c r="AD379" s="2">
        <v>46222.392384259256</v>
      </c>
    </row>
    <row r="380" spans="1:30" x14ac:dyDescent="0.35">
      <c r="A380" t="s">
        <v>30</v>
      </c>
      <c r="B380" t="s">
        <v>31</v>
      </c>
      <c r="C380" t="s">
        <v>810</v>
      </c>
      <c r="D380" t="s">
        <v>33</v>
      </c>
      <c r="E380" t="str">
        <f t="shared" si="55"/>
        <v>400441</v>
      </c>
      <c r="F380" t="s">
        <v>65</v>
      </c>
      <c r="G380">
        <v>4</v>
      </c>
      <c r="H380">
        <v>0</v>
      </c>
      <c r="I380" t="s">
        <v>811</v>
      </c>
      <c r="J380" t="str">
        <f t="shared" si="56"/>
        <v>153000408</v>
      </c>
      <c r="K380" s="1">
        <v>48024</v>
      </c>
      <c r="M380" s="1">
        <v>46199</v>
      </c>
      <c r="N380" t="str">
        <f t="shared" si="57"/>
        <v>1329001957</v>
      </c>
      <c r="O380">
        <v>4</v>
      </c>
      <c r="P380" s="2">
        <v>46222.365729166668</v>
      </c>
      <c r="Q380" s="2">
        <v>46222.392939814818</v>
      </c>
      <c r="R380" s="2">
        <v>46222.365729166668</v>
      </c>
      <c r="S380">
        <v>0</v>
      </c>
      <c r="T380" t="s">
        <v>67</v>
      </c>
      <c r="U380" t="s">
        <v>67</v>
      </c>
      <c r="W380" t="str">
        <f t="shared" si="58"/>
        <v>400441</v>
      </c>
      <c r="X380" t="s">
        <v>41</v>
      </c>
      <c r="AD380" s="2">
        <v>46222.392939814818</v>
      </c>
    </row>
    <row r="381" spans="1:30" x14ac:dyDescent="0.35">
      <c r="A381" t="s">
        <v>30</v>
      </c>
      <c r="B381" t="s">
        <v>31</v>
      </c>
      <c r="C381" t="s">
        <v>812</v>
      </c>
      <c r="D381" t="s">
        <v>33</v>
      </c>
      <c r="E381" t="str">
        <f t="shared" si="55"/>
        <v>400441</v>
      </c>
      <c r="F381" t="s">
        <v>65</v>
      </c>
      <c r="G381">
        <v>4</v>
      </c>
      <c r="H381">
        <v>0</v>
      </c>
      <c r="I381" t="s">
        <v>813</v>
      </c>
      <c r="J381" t="str">
        <f t="shared" si="56"/>
        <v>153000408</v>
      </c>
      <c r="K381" s="1">
        <v>48024</v>
      </c>
      <c r="M381" s="1">
        <v>46199</v>
      </c>
      <c r="N381" t="str">
        <f t="shared" si="57"/>
        <v>1329001957</v>
      </c>
      <c r="O381">
        <v>4</v>
      </c>
      <c r="P381" s="2">
        <v>46222.365937499999</v>
      </c>
      <c r="Q381" s="2">
        <v>46222.393969907411</v>
      </c>
      <c r="R381" s="2">
        <v>46222.365937499999</v>
      </c>
      <c r="S381">
        <v>0</v>
      </c>
      <c r="T381" t="s">
        <v>67</v>
      </c>
      <c r="U381" t="s">
        <v>67</v>
      </c>
      <c r="W381" t="str">
        <f t="shared" si="58"/>
        <v>400441</v>
      </c>
      <c r="X381" t="s">
        <v>41</v>
      </c>
      <c r="AD381" s="2">
        <v>46222.393969907411</v>
      </c>
    </row>
    <row r="382" spans="1:30" x14ac:dyDescent="0.35">
      <c r="A382" t="s">
        <v>30</v>
      </c>
      <c r="B382" t="s">
        <v>31</v>
      </c>
      <c r="C382" t="s">
        <v>814</v>
      </c>
      <c r="D382" t="s">
        <v>33</v>
      </c>
      <c r="E382" t="str">
        <f t="shared" si="55"/>
        <v>400441</v>
      </c>
      <c r="F382" t="s">
        <v>65</v>
      </c>
      <c r="G382">
        <v>4</v>
      </c>
      <c r="H382">
        <v>0</v>
      </c>
      <c r="I382" t="s">
        <v>815</v>
      </c>
      <c r="J382" t="str">
        <f t="shared" si="56"/>
        <v>153000408</v>
      </c>
      <c r="K382" s="1">
        <v>48024</v>
      </c>
      <c r="M382" s="1">
        <v>46199</v>
      </c>
      <c r="N382" t="str">
        <f t="shared" si="57"/>
        <v>1329001957</v>
      </c>
      <c r="O382">
        <v>4</v>
      </c>
      <c r="P382" s="2">
        <v>46222.366030092591</v>
      </c>
      <c r="Q382" s="2">
        <v>46222.395243055558</v>
      </c>
      <c r="R382" s="2">
        <v>46222.366030092591</v>
      </c>
      <c r="S382">
        <v>0</v>
      </c>
      <c r="T382" t="s">
        <v>67</v>
      </c>
      <c r="U382" t="s">
        <v>67</v>
      </c>
      <c r="W382" t="str">
        <f t="shared" si="58"/>
        <v>400441</v>
      </c>
      <c r="X382" t="s">
        <v>41</v>
      </c>
      <c r="AD382" s="2">
        <v>46222.395243055558</v>
      </c>
    </row>
    <row r="383" spans="1:30" x14ac:dyDescent="0.35">
      <c r="A383" t="s">
        <v>30</v>
      </c>
      <c r="B383" t="s">
        <v>31</v>
      </c>
      <c r="C383" t="s">
        <v>816</v>
      </c>
      <c r="D383" t="s">
        <v>33</v>
      </c>
      <c r="E383" t="str">
        <f t="shared" ref="E383:E390" si="59">"400426"</f>
        <v>400426</v>
      </c>
      <c r="F383" t="s">
        <v>34</v>
      </c>
      <c r="G383">
        <v>24</v>
      </c>
      <c r="H383">
        <v>0</v>
      </c>
      <c r="I383" t="s">
        <v>817</v>
      </c>
      <c r="J383" t="str">
        <f>"153000405"</f>
        <v>153000405</v>
      </c>
      <c r="K383" s="1">
        <v>48020</v>
      </c>
      <c r="M383" s="1">
        <v>46195</v>
      </c>
      <c r="N383" t="str">
        <f t="shared" ref="N383:N395" si="60">"1329001965"</f>
        <v>1329001965</v>
      </c>
      <c r="O383">
        <v>24</v>
      </c>
      <c r="P383" s="2">
        <v>46222.441724537035</v>
      </c>
      <c r="Q383" s="2">
        <v>46222.487835648149</v>
      </c>
      <c r="R383" s="2">
        <v>46222.441724537035</v>
      </c>
      <c r="S383">
        <v>0</v>
      </c>
      <c r="T383" t="s">
        <v>67</v>
      </c>
      <c r="U383" t="s">
        <v>67</v>
      </c>
      <c r="W383" t="str">
        <f t="shared" ref="W383:W390" si="61">"400426"</f>
        <v>400426</v>
      </c>
      <c r="X383" t="s">
        <v>37</v>
      </c>
      <c r="AD383" s="2">
        <v>46222.487835648149</v>
      </c>
    </row>
    <row r="384" spans="1:30" x14ac:dyDescent="0.35">
      <c r="A384" t="s">
        <v>30</v>
      </c>
      <c r="B384" t="s">
        <v>31</v>
      </c>
      <c r="C384" t="s">
        <v>818</v>
      </c>
      <c r="D384" t="s">
        <v>33</v>
      </c>
      <c r="E384" t="str">
        <f t="shared" si="59"/>
        <v>400426</v>
      </c>
      <c r="F384" t="s">
        <v>34</v>
      </c>
      <c r="G384">
        <v>24</v>
      </c>
      <c r="H384">
        <v>0</v>
      </c>
      <c r="I384" t="s">
        <v>819</v>
      </c>
      <c r="J384" t="str">
        <f>"153000405"</f>
        <v>153000405</v>
      </c>
      <c r="K384" s="1">
        <v>48020</v>
      </c>
      <c r="M384" s="1">
        <v>46195</v>
      </c>
      <c r="N384" t="str">
        <f t="shared" si="60"/>
        <v>1329001965</v>
      </c>
      <c r="O384">
        <v>24</v>
      </c>
      <c r="P384" s="2">
        <v>46222.442106481481</v>
      </c>
      <c r="Q384" s="2">
        <v>46222.489108796297</v>
      </c>
      <c r="R384" s="2">
        <v>46222.442106481481</v>
      </c>
      <c r="S384">
        <v>0</v>
      </c>
      <c r="T384" t="s">
        <v>67</v>
      </c>
      <c r="U384" t="s">
        <v>67</v>
      </c>
      <c r="W384" t="str">
        <f t="shared" si="61"/>
        <v>400426</v>
      </c>
      <c r="X384" t="s">
        <v>37</v>
      </c>
      <c r="AD384" s="2">
        <v>46222.489108796297</v>
      </c>
    </row>
    <row r="385" spans="1:30" x14ac:dyDescent="0.35">
      <c r="A385" t="s">
        <v>30</v>
      </c>
      <c r="B385" t="s">
        <v>31</v>
      </c>
      <c r="C385" t="s">
        <v>820</v>
      </c>
      <c r="D385" t="s">
        <v>33</v>
      </c>
      <c r="E385" t="str">
        <f t="shared" si="59"/>
        <v>400426</v>
      </c>
      <c r="F385" t="s">
        <v>34</v>
      </c>
      <c r="G385">
        <v>24</v>
      </c>
      <c r="H385">
        <v>0</v>
      </c>
      <c r="I385" t="s">
        <v>821</v>
      </c>
      <c r="J385" t="str">
        <f>"153000404"</f>
        <v>153000404</v>
      </c>
      <c r="K385" s="1">
        <v>48018</v>
      </c>
      <c r="M385" s="1">
        <v>46193</v>
      </c>
      <c r="N385" t="str">
        <f t="shared" si="60"/>
        <v>1329001965</v>
      </c>
      <c r="O385">
        <v>24</v>
      </c>
      <c r="P385" s="2">
        <v>46222.442256944443</v>
      </c>
      <c r="Q385" s="2">
        <v>46222.494953703703</v>
      </c>
      <c r="R385" s="2">
        <v>46222.442256944443</v>
      </c>
      <c r="S385">
        <v>0</v>
      </c>
      <c r="T385" t="s">
        <v>67</v>
      </c>
      <c r="U385" t="s">
        <v>67</v>
      </c>
      <c r="W385" t="str">
        <f t="shared" si="61"/>
        <v>400426</v>
      </c>
      <c r="X385" t="s">
        <v>37</v>
      </c>
      <c r="AD385" s="2">
        <v>46222.494953703703</v>
      </c>
    </row>
    <row r="386" spans="1:30" x14ac:dyDescent="0.35">
      <c r="A386" t="s">
        <v>30</v>
      </c>
      <c r="B386" t="s">
        <v>31</v>
      </c>
      <c r="C386" t="s">
        <v>822</v>
      </c>
      <c r="D386" t="s">
        <v>33</v>
      </c>
      <c r="E386" t="str">
        <f t="shared" si="59"/>
        <v>400426</v>
      </c>
      <c r="F386" t="s">
        <v>34</v>
      </c>
      <c r="G386">
        <v>24</v>
      </c>
      <c r="H386">
        <v>0</v>
      </c>
      <c r="I386" t="s">
        <v>823</v>
      </c>
      <c r="J386" t="str">
        <f>"153000405"</f>
        <v>153000405</v>
      </c>
      <c r="K386" s="1">
        <v>48020</v>
      </c>
      <c r="M386" s="1">
        <v>46195</v>
      </c>
      <c r="N386" t="str">
        <f t="shared" si="60"/>
        <v>1329001965</v>
      </c>
      <c r="O386">
        <v>24</v>
      </c>
      <c r="P386" s="2">
        <v>46222.440937500003</v>
      </c>
      <c r="Q386" s="2">
        <v>46222.545601851853</v>
      </c>
      <c r="R386" s="2">
        <v>46222.440937500003</v>
      </c>
      <c r="S386">
        <v>0</v>
      </c>
      <c r="T386" t="s">
        <v>67</v>
      </c>
      <c r="U386" t="s">
        <v>67</v>
      </c>
      <c r="W386" t="str">
        <f t="shared" si="61"/>
        <v>400426</v>
      </c>
      <c r="X386" t="s">
        <v>37</v>
      </c>
      <c r="AD386" s="2">
        <v>46222.545601851853</v>
      </c>
    </row>
    <row r="387" spans="1:30" x14ac:dyDescent="0.35">
      <c r="A387" t="s">
        <v>30</v>
      </c>
      <c r="B387" t="s">
        <v>31</v>
      </c>
      <c r="C387" t="s">
        <v>824</v>
      </c>
      <c r="D387" t="s">
        <v>33</v>
      </c>
      <c r="E387" t="str">
        <f t="shared" si="59"/>
        <v>400426</v>
      </c>
      <c r="F387" t="s">
        <v>34</v>
      </c>
      <c r="G387">
        <v>24</v>
      </c>
      <c r="H387">
        <v>0</v>
      </c>
      <c r="I387" t="s">
        <v>825</v>
      </c>
      <c r="J387" t="str">
        <f>"153000403"</f>
        <v>153000403</v>
      </c>
      <c r="K387" s="1">
        <v>48016</v>
      </c>
      <c r="M387" s="1">
        <v>46191</v>
      </c>
      <c r="N387" t="str">
        <f t="shared" si="60"/>
        <v>1329001965</v>
      </c>
      <c r="O387">
        <v>24</v>
      </c>
      <c r="P387" s="2">
        <v>46222.442384259259</v>
      </c>
      <c r="Q387" s="2">
        <v>46222.54923611111</v>
      </c>
      <c r="R387" s="2">
        <v>46222.442384259259</v>
      </c>
      <c r="S387">
        <v>0</v>
      </c>
      <c r="T387" t="s">
        <v>67</v>
      </c>
      <c r="U387" t="s">
        <v>67</v>
      </c>
      <c r="W387" t="str">
        <f t="shared" si="61"/>
        <v>400426</v>
      </c>
      <c r="X387" t="s">
        <v>37</v>
      </c>
      <c r="AD387" s="2">
        <v>46222.54923611111</v>
      </c>
    </row>
    <row r="388" spans="1:30" x14ac:dyDescent="0.35">
      <c r="A388" t="s">
        <v>30</v>
      </c>
      <c r="B388" t="s">
        <v>31</v>
      </c>
      <c r="C388" t="s">
        <v>826</v>
      </c>
      <c r="D388" t="s">
        <v>33</v>
      </c>
      <c r="E388" t="str">
        <f t="shared" si="59"/>
        <v>400426</v>
      </c>
      <c r="F388" t="s">
        <v>34</v>
      </c>
      <c r="G388">
        <v>24</v>
      </c>
      <c r="H388">
        <v>0</v>
      </c>
      <c r="I388" t="s">
        <v>827</v>
      </c>
      <c r="J388" t="str">
        <f>"153000403"</f>
        <v>153000403</v>
      </c>
      <c r="K388" s="1">
        <v>48016</v>
      </c>
      <c r="M388" s="1">
        <v>46191</v>
      </c>
      <c r="N388" t="str">
        <f t="shared" si="60"/>
        <v>1329001965</v>
      </c>
      <c r="O388">
        <v>24</v>
      </c>
      <c r="P388" s="2">
        <v>46222.441134259258</v>
      </c>
      <c r="Q388" s="2">
        <v>46222.550775462965</v>
      </c>
      <c r="R388" s="2">
        <v>46222.441134259258</v>
      </c>
      <c r="S388">
        <v>0</v>
      </c>
      <c r="T388" t="s">
        <v>67</v>
      </c>
      <c r="U388" t="s">
        <v>67</v>
      </c>
      <c r="W388" t="str">
        <f t="shared" si="61"/>
        <v>400426</v>
      </c>
      <c r="X388" t="s">
        <v>37</v>
      </c>
      <c r="AD388" s="2">
        <v>46222.550775462965</v>
      </c>
    </row>
    <row r="389" spans="1:30" x14ac:dyDescent="0.35">
      <c r="A389" t="s">
        <v>30</v>
      </c>
      <c r="B389" t="s">
        <v>31</v>
      </c>
      <c r="C389" t="s">
        <v>828</v>
      </c>
      <c r="D389" t="s">
        <v>33</v>
      </c>
      <c r="E389" t="str">
        <f t="shared" si="59"/>
        <v>400426</v>
      </c>
      <c r="F389" t="s">
        <v>34</v>
      </c>
      <c r="G389">
        <v>24</v>
      </c>
      <c r="H389">
        <v>0</v>
      </c>
      <c r="I389" t="s">
        <v>829</v>
      </c>
      <c r="J389" t="str">
        <f>"153000403"</f>
        <v>153000403</v>
      </c>
      <c r="K389" s="1">
        <v>48016</v>
      </c>
      <c r="M389" s="1">
        <v>46191</v>
      </c>
      <c r="N389" t="str">
        <f t="shared" si="60"/>
        <v>1329001965</v>
      </c>
      <c r="O389">
        <v>24</v>
      </c>
      <c r="P389" s="2">
        <v>46222.44122685185</v>
      </c>
      <c r="Q389" s="2">
        <v>46222.551631944443</v>
      </c>
      <c r="R389" s="2">
        <v>46222.44122685185</v>
      </c>
      <c r="S389">
        <v>0</v>
      </c>
      <c r="T389" t="s">
        <v>67</v>
      </c>
      <c r="U389" t="s">
        <v>67</v>
      </c>
      <c r="W389" t="str">
        <f t="shared" si="61"/>
        <v>400426</v>
      </c>
      <c r="X389" t="s">
        <v>37</v>
      </c>
      <c r="AD389" s="2">
        <v>46222.551631944443</v>
      </c>
    </row>
    <row r="390" spans="1:30" x14ac:dyDescent="0.35">
      <c r="A390" t="s">
        <v>30</v>
      </c>
      <c r="B390" t="s">
        <v>31</v>
      </c>
      <c r="C390" t="s">
        <v>830</v>
      </c>
      <c r="D390" t="s">
        <v>33</v>
      </c>
      <c r="E390" t="str">
        <f t="shared" si="59"/>
        <v>400426</v>
      </c>
      <c r="F390" t="s">
        <v>34</v>
      </c>
      <c r="G390">
        <v>24</v>
      </c>
      <c r="H390">
        <v>0</v>
      </c>
      <c r="I390" t="s">
        <v>831</v>
      </c>
      <c r="J390" t="str">
        <f>"153000403"</f>
        <v>153000403</v>
      </c>
      <c r="K390" s="1">
        <v>48016</v>
      </c>
      <c r="M390" s="1">
        <v>46191</v>
      </c>
      <c r="N390" t="str">
        <f t="shared" si="60"/>
        <v>1329001965</v>
      </c>
      <c r="O390">
        <v>24</v>
      </c>
      <c r="P390" s="2">
        <v>46222.441331018519</v>
      </c>
      <c r="Q390" s="2">
        <v>46222.552523148152</v>
      </c>
      <c r="R390" s="2">
        <v>46222.441331018519</v>
      </c>
      <c r="S390">
        <v>0</v>
      </c>
      <c r="T390" t="s">
        <v>67</v>
      </c>
      <c r="U390" t="s">
        <v>67</v>
      </c>
      <c r="W390" t="str">
        <f t="shared" si="61"/>
        <v>400426</v>
      </c>
      <c r="X390" t="s">
        <v>37</v>
      </c>
      <c r="AD390" s="2">
        <v>46222.552523148152</v>
      </c>
    </row>
    <row r="391" spans="1:30" x14ac:dyDescent="0.35">
      <c r="A391" t="s">
        <v>30</v>
      </c>
      <c r="B391" t="s">
        <v>31</v>
      </c>
      <c r="C391" t="s">
        <v>832</v>
      </c>
      <c r="D391" t="s">
        <v>33</v>
      </c>
      <c r="E391" t="str">
        <f>"400428"</f>
        <v>400428</v>
      </c>
      <c r="F391" t="s">
        <v>833</v>
      </c>
      <c r="G391">
        <v>4</v>
      </c>
      <c r="H391">
        <v>0</v>
      </c>
      <c r="I391" t="s">
        <v>834</v>
      </c>
      <c r="J391" t="str">
        <f>"153000448"</f>
        <v>153000448</v>
      </c>
      <c r="K391" s="1">
        <v>48039</v>
      </c>
      <c r="M391" s="1">
        <v>46214</v>
      </c>
      <c r="N391" t="str">
        <f t="shared" si="60"/>
        <v>1329001965</v>
      </c>
      <c r="O391">
        <v>4</v>
      </c>
      <c r="P391" s="2">
        <v>46222.443368055552</v>
      </c>
      <c r="Q391" s="2">
        <v>46222.553194444445</v>
      </c>
      <c r="R391" s="2">
        <v>46222.443368055552</v>
      </c>
      <c r="S391">
        <v>0</v>
      </c>
      <c r="T391" t="s">
        <v>67</v>
      </c>
      <c r="U391" t="s">
        <v>67</v>
      </c>
      <c r="W391" t="str">
        <f>"400428"</f>
        <v>400428</v>
      </c>
      <c r="X391" t="s">
        <v>41</v>
      </c>
      <c r="AD391" s="2">
        <v>46222.553194444445</v>
      </c>
    </row>
    <row r="392" spans="1:30" x14ac:dyDescent="0.35">
      <c r="A392" t="s">
        <v>30</v>
      </c>
      <c r="B392" t="s">
        <v>31</v>
      </c>
      <c r="C392" t="s">
        <v>835</v>
      </c>
      <c r="D392" t="s">
        <v>33</v>
      </c>
      <c r="E392" t="str">
        <f>"400428"</f>
        <v>400428</v>
      </c>
      <c r="F392" t="s">
        <v>833</v>
      </c>
      <c r="G392">
        <v>4</v>
      </c>
      <c r="H392">
        <v>0</v>
      </c>
      <c r="I392" t="s">
        <v>836</v>
      </c>
      <c r="J392" t="str">
        <f>"153000423"</f>
        <v>153000423</v>
      </c>
      <c r="K392" s="1">
        <v>48027</v>
      </c>
      <c r="M392" s="1">
        <v>46202</v>
      </c>
      <c r="N392" t="str">
        <f t="shared" si="60"/>
        <v>1329001965</v>
      </c>
      <c r="O392">
        <v>4</v>
      </c>
      <c r="P392" s="2">
        <v>46222.443969907406</v>
      </c>
      <c r="Q392" s="2">
        <v>46222.554398148146</v>
      </c>
      <c r="R392" s="2">
        <v>46222.443969907406</v>
      </c>
      <c r="S392">
        <v>0</v>
      </c>
      <c r="T392" t="s">
        <v>67</v>
      </c>
      <c r="U392" t="s">
        <v>67</v>
      </c>
      <c r="W392" t="str">
        <f>"400428"</f>
        <v>400428</v>
      </c>
      <c r="X392" t="s">
        <v>41</v>
      </c>
      <c r="AD392" s="2">
        <v>46222.554398148146</v>
      </c>
    </row>
    <row r="393" spans="1:30" x14ac:dyDescent="0.35">
      <c r="A393" t="s">
        <v>30</v>
      </c>
      <c r="B393" t="s">
        <v>31</v>
      </c>
      <c r="C393" t="s">
        <v>837</v>
      </c>
      <c r="D393" t="s">
        <v>33</v>
      </c>
      <c r="E393" t="str">
        <f>"400428"</f>
        <v>400428</v>
      </c>
      <c r="F393" t="s">
        <v>833</v>
      </c>
      <c r="G393">
        <v>4</v>
      </c>
      <c r="H393">
        <v>0</v>
      </c>
      <c r="I393" t="s">
        <v>838</v>
      </c>
      <c r="J393" t="str">
        <f>"153000448"</f>
        <v>153000448</v>
      </c>
      <c r="K393" s="1">
        <v>48039</v>
      </c>
      <c r="M393" s="1">
        <v>46214</v>
      </c>
      <c r="N393" t="str">
        <f t="shared" si="60"/>
        <v>1329001965</v>
      </c>
      <c r="O393">
        <v>4</v>
      </c>
      <c r="P393" s="2">
        <v>46222.445115740738</v>
      </c>
      <c r="Q393" s="2">
        <v>46222.555625000001</v>
      </c>
      <c r="R393" s="2">
        <v>46222.445115740738</v>
      </c>
      <c r="S393">
        <v>0</v>
      </c>
      <c r="T393" t="s">
        <v>67</v>
      </c>
      <c r="U393" t="s">
        <v>67</v>
      </c>
      <c r="W393" t="str">
        <f>"400428"</f>
        <v>400428</v>
      </c>
      <c r="X393" t="s">
        <v>41</v>
      </c>
      <c r="AD393" s="2">
        <v>46222.555625000001</v>
      </c>
    </row>
    <row r="394" spans="1:30" x14ac:dyDescent="0.35">
      <c r="A394" t="s">
        <v>30</v>
      </c>
      <c r="B394" t="s">
        <v>31</v>
      </c>
      <c r="C394" t="s">
        <v>839</v>
      </c>
      <c r="D394" t="s">
        <v>33</v>
      </c>
      <c r="E394" t="str">
        <f>"400428"</f>
        <v>400428</v>
      </c>
      <c r="F394" t="s">
        <v>833</v>
      </c>
      <c r="G394">
        <v>4</v>
      </c>
      <c r="H394">
        <v>0</v>
      </c>
      <c r="I394" t="s">
        <v>840</v>
      </c>
      <c r="J394" t="str">
        <f>"153000423"</f>
        <v>153000423</v>
      </c>
      <c r="K394" s="1">
        <v>48027</v>
      </c>
      <c r="M394" s="1">
        <v>46202</v>
      </c>
      <c r="N394" t="str">
        <f t="shared" si="60"/>
        <v>1329001965</v>
      </c>
      <c r="O394">
        <v>4</v>
      </c>
      <c r="P394" s="2">
        <v>46222.444976851853</v>
      </c>
      <c r="Q394" s="2">
        <v>46222.558078703703</v>
      </c>
      <c r="R394" s="2">
        <v>46222.444976851853</v>
      </c>
      <c r="S394">
        <v>0</v>
      </c>
      <c r="T394" t="s">
        <v>67</v>
      </c>
      <c r="U394" t="s">
        <v>67</v>
      </c>
      <c r="W394" t="str">
        <f>"400428"</f>
        <v>400428</v>
      </c>
      <c r="X394" t="s">
        <v>41</v>
      </c>
      <c r="AD394" s="2">
        <v>46222.558078703703</v>
      </c>
    </row>
    <row r="395" spans="1:30" x14ac:dyDescent="0.35">
      <c r="A395" t="s">
        <v>30</v>
      </c>
      <c r="B395" t="s">
        <v>31</v>
      </c>
      <c r="C395" t="s">
        <v>841</v>
      </c>
      <c r="D395" t="s">
        <v>33</v>
      </c>
      <c r="E395" t="str">
        <f>"400428"</f>
        <v>400428</v>
      </c>
      <c r="F395" t="s">
        <v>833</v>
      </c>
      <c r="G395">
        <v>4</v>
      </c>
      <c r="H395">
        <v>0</v>
      </c>
      <c r="I395" t="s">
        <v>842</v>
      </c>
      <c r="J395" t="str">
        <f>"153000423"</f>
        <v>153000423</v>
      </c>
      <c r="K395" s="1">
        <v>48027</v>
      </c>
      <c r="M395" s="1">
        <v>46202</v>
      </c>
      <c r="N395" t="str">
        <f t="shared" si="60"/>
        <v>1329001965</v>
      </c>
      <c r="O395">
        <v>4</v>
      </c>
      <c r="P395" s="2">
        <v>46222.444803240738</v>
      </c>
      <c r="Q395" s="2">
        <v>46222.558842592596</v>
      </c>
      <c r="R395" s="2">
        <v>46222.444803240738</v>
      </c>
      <c r="S395">
        <v>0</v>
      </c>
      <c r="T395" t="s">
        <v>67</v>
      </c>
      <c r="U395" t="s">
        <v>67</v>
      </c>
      <c r="W395" t="str">
        <f>"400428"</f>
        <v>400428</v>
      </c>
      <c r="X395" t="s">
        <v>41</v>
      </c>
      <c r="AD395" s="2">
        <v>46222.558842592596</v>
      </c>
    </row>
    <row r="396" spans="1:30" x14ac:dyDescent="0.35">
      <c r="A396" t="s">
        <v>30</v>
      </c>
      <c r="B396" t="s">
        <v>31</v>
      </c>
      <c r="C396" t="s">
        <v>843</v>
      </c>
      <c r="D396" t="s">
        <v>33</v>
      </c>
      <c r="E396" t="str">
        <f t="shared" ref="E396:E408" si="62">"400445"</f>
        <v>400445</v>
      </c>
      <c r="F396" t="s">
        <v>424</v>
      </c>
      <c r="G396">
        <v>4</v>
      </c>
      <c r="H396">
        <v>0</v>
      </c>
      <c r="I396" t="s">
        <v>844</v>
      </c>
      <c r="J396" t="str">
        <f t="shared" ref="J396:J408" si="63">"153000452"</f>
        <v>153000452</v>
      </c>
      <c r="K396" s="1">
        <v>48041</v>
      </c>
      <c r="M396" s="1">
        <v>46216</v>
      </c>
      <c r="N396" t="str">
        <f t="shared" ref="N396:N408" si="64">"1329001972"</f>
        <v>1329001972</v>
      </c>
      <c r="O396">
        <v>4</v>
      </c>
      <c r="P396" s="2">
        <v>46223.55908564815</v>
      </c>
      <c r="Q396" s="2">
        <v>46223.57671296296</v>
      </c>
      <c r="R396" s="2">
        <v>46223.55908564815</v>
      </c>
      <c r="S396">
        <v>0</v>
      </c>
      <c r="T396" t="s">
        <v>67</v>
      </c>
      <c r="U396" t="s">
        <v>67</v>
      </c>
      <c r="W396" t="str">
        <f t="shared" ref="W396:W408" si="65">"400445"</f>
        <v>400445</v>
      </c>
      <c r="X396" t="s">
        <v>41</v>
      </c>
      <c r="AD396" s="2">
        <v>46223.57671296296</v>
      </c>
    </row>
    <row r="397" spans="1:30" x14ac:dyDescent="0.35">
      <c r="A397" t="s">
        <v>30</v>
      </c>
      <c r="B397" t="s">
        <v>31</v>
      </c>
      <c r="C397" t="s">
        <v>845</v>
      </c>
      <c r="D397" t="s">
        <v>33</v>
      </c>
      <c r="E397" t="str">
        <f t="shared" si="62"/>
        <v>400445</v>
      </c>
      <c r="F397" t="s">
        <v>424</v>
      </c>
      <c r="G397">
        <v>4</v>
      </c>
      <c r="H397">
        <v>0</v>
      </c>
      <c r="I397" t="s">
        <v>846</v>
      </c>
      <c r="J397" t="str">
        <f t="shared" si="63"/>
        <v>153000452</v>
      </c>
      <c r="K397" s="1">
        <v>48041</v>
      </c>
      <c r="M397" s="1">
        <v>46216</v>
      </c>
      <c r="N397" t="str">
        <f t="shared" si="64"/>
        <v>1329001972</v>
      </c>
      <c r="O397">
        <v>4</v>
      </c>
      <c r="P397" s="2">
        <v>46223.559259259258</v>
      </c>
      <c r="Q397" s="2">
        <v>46223.577187499999</v>
      </c>
      <c r="R397" s="2">
        <v>46223.559259259258</v>
      </c>
      <c r="S397">
        <v>0</v>
      </c>
      <c r="T397" t="s">
        <v>67</v>
      </c>
      <c r="U397" t="s">
        <v>67</v>
      </c>
      <c r="W397" t="str">
        <f t="shared" si="65"/>
        <v>400445</v>
      </c>
      <c r="X397" t="s">
        <v>41</v>
      </c>
      <c r="AD397" s="2">
        <v>46223.577187499999</v>
      </c>
    </row>
    <row r="398" spans="1:30" x14ac:dyDescent="0.35">
      <c r="A398" t="s">
        <v>30</v>
      </c>
      <c r="B398" t="s">
        <v>31</v>
      </c>
      <c r="C398" t="s">
        <v>847</v>
      </c>
      <c r="D398" t="s">
        <v>33</v>
      </c>
      <c r="E398" t="str">
        <f t="shared" si="62"/>
        <v>400445</v>
      </c>
      <c r="F398" t="s">
        <v>424</v>
      </c>
      <c r="G398">
        <v>4</v>
      </c>
      <c r="H398">
        <v>0</v>
      </c>
      <c r="I398" t="s">
        <v>848</v>
      </c>
      <c r="J398" t="str">
        <f t="shared" si="63"/>
        <v>153000452</v>
      </c>
      <c r="K398" s="1">
        <v>48041</v>
      </c>
      <c r="M398" s="1">
        <v>46216</v>
      </c>
      <c r="N398" t="str">
        <f t="shared" si="64"/>
        <v>1329001972</v>
      </c>
      <c r="O398">
        <v>4</v>
      </c>
      <c r="P398" s="2">
        <v>46223.558807870373</v>
      </c>
      <c r="Q398" s="2">
        <v>46223.577928240738</v>
      </c>
      <c r="R398" s="2">
        <v>46223.558807870373</v>
      </c>
      <c r="S398">
        <v>0</v>
      </c>
      <c r="T398" t="s">
        <v>67</v>
      </c>
      <c r="U398" t="s">
        <v>67</v>
      </c>
      <c r="W398" t="str">
        <f t="shared" si="65"/>
        <v>400445</v>
      </c>
      <c r="X398" t="s">
        <v>41</v>
      </c>
      <c r="AD398" s="2">
        <v>46223.577928240738</v>
      </c>
    </row>
    <row r="399" spans="1:30" x14ac:dyDescent="0.35">
      <c r="A399" t="s">
        <v>30</v>
      </c>
      <c r="B399" t="s">
        <v>31</v>
      </c>
      <c r="C399" t="s">
        <v>849</v>
      </c>
      <c r="D399" t="s">
        <v>33</v>
      </c>
      <c r="E399" t="str">
        <f t="shared" si="62"/>
        <v>400445</v>
      </c>
      <c r="F399" t="s">
        <v>424</v>
      </c>
      <c r="G399">
        <v>4</v>
      </c>
      <c r="H399">
        <v>0</v>
      </c>
      <c r="I399" t="s">
        <v>850</v>
      </c>
      <c r="J399" t="str">
        <f t="shared" si="63"/>
        <v>153000452</v>
      </c>
      <c r="K399" s="1">
        <v>48041</v>
      </c>
      <c r="M399" s="1">
        <v>46216</v>
      </c>
      <c r="N399" t="str">
        <f t="shared" si="64"/>
        <v>1329001972</v>
      </c>
      <c r="O399">
        <v>4</v>
      </c>
      <c r="P399" s="2">
        <v>46223.560219907406</v>
      </c>
      <c r="Q399" s="2">
        <v>46223.5783912037</v>
      </c>
      <c r="R399" s="2">
        <v>46223.560219907406</v>
      </c>
      <c r="S399">
        <v>0</v>
      </c>
      <c r="T399" t="s">
        <v>67</v>
      </c>
      <c r="U399" t="s">
        <v>67</v>
      </c>
      <c r="W399" t="str">
        <f t="shared" si="65"/>
        <v>400445</v>
      </c>
      <c r="X399" t="s">
        <v>41</v>
      </c>
      <c r="AD399" s="2">
        <v>46223.578379629631</v>
      </c>
    </row>
    <row r="400" spans="1:30" x14ac:dyDescent="0.35">
      <c r="A400" t="s">
        <v>30</v>
      </c>
      <c r="B400" t="s">
        <v>31</v>
      </c>
      <c r="C400" t="s">
        <v>851</v>
      </c>
      <c r="D400" t="s">
        <v>33</v>
      </c>
      <c r="E400" t="str">
        <f t="shared" si="62"/>
        <v>400445</v>
      </c>
      <c r="F400" t="s">
        <v>424</v>
      </c>
      <c r="G400">
        <v>4</v>
      </c>
      <c r="H400">
        <v>0</v>
      </c>
      <c r="I400" t="s">
        <v>852</v>
      </c>
      <c r="J400" t="str">
        <f t="shared" si="63"/>
        <v>153000452</v>
      </c>
      <c r="K400" s="1">
        <v>48041</v>
      </c>
      <c r="M400" s="1">
        <v>46216</v>
      </c>
      <c r="N400" t="str">
        <f t="shared" si="64"/>
        <v>1329001972</v>
      </c>
      <c r="O400">
        <v>4</v>
      </c>
      <c r="P400" s="2">
        <v>46223.561585648145</v>
      </c>
      <c r="Q400" s="2">
        <v>46223.58388888889</v>
      </c>
      <c r="R400" s="2">
        <v>46223.561585648145</v>
      </c>
      <c r="S400">
        <v>0</v>
      </c>
      <c r="T400" t="s">
        <v>67</v>
      </c>
      <c r="U400" t="s">
        <v>67</v>
      </c>
      <c r="W400" t="str">
        <f t="shared" si="65"/>
        <v>400445</v>
      </c>
      <c r="X400" t="s">
        <v>41</v>
      </c>
      <c r="AD400" s="2">
        <v>46223.58388888889</v>
      </c>
    </row>
    <row r="401" spans="1:30" x14ac:dyDescent="0.35">
      <c r="A401" t="s">
        <v>30</v>
      </c>
      <c r="B401" t="s">
        <v>31</v>
      </c>
      <c r="C401" t="s">
        <v>853</v>
      </c>
      <c r="D401" t="s">
        <v>33</v>
      </c>
      <c r="E401" t="str">
        <f t="shared" si="62"/>
        <v>400445</v>
      </c>
      <c r="F401" t="s">
        <v>424</v>
      </c>
      <c r="G401">
        <v>4</v>
      </c>
      <c r="H401">
        <v>0</v>
      </c>
      <c r="I401" t="s">
        <v>854</v>
      </c>
      <c r="J401" t="str">
        <f t="shared" si="63"/>
        <v>153000452</v>
      </c>
      <c r="K401" s="1">
        <v>48041</v>
      </c>
      <c r="M401" s="1">
        <v>46216</v>
      </c>
      <c r="N401" t="str">
        <f t="shared" si="64"/>
        <v>1329001972</v>
      </c>
      <c r="O401">
        <v>4</v>
      </c>
      <c r="P401" s="2">
        <v>46223.56050925926</v>
      </c>
      <c r="Q401" s="2">
        <v>46223.584363425929</v>
      </c>
      <c r="R401" s="2">
        <v>46223.56050925926</v>
      </c>
      <c r="S401">
        <v>0</v>
      </c>
      <c r="T401" t="s">
        <v>67</v>
      </c>
      <c r="U401" t="s">
        <v>67</v>
      </c>
      <c r="W401" t="str">
        <f t="shared" si="65"/>
        <v>400445</v>
      </c>
      <c r="X401" t="s">
        <v>41</v>
      </c>
      <c r="AD401" s="2">
        <v>46223.584351851852</v>
      </c>
    </row>
    <row r="402" spans="1:30" x14ac:dyDescent="0.35">
      <c r="A402" t="s">
        <v>30</v>
      </c>
      <c r="B402" t="s">
        <v>31</v>
      </c>
      <c r="C402" t="s">
        <v>855</v>
      </c>
      <c r="D402" t="s">
        <v>33</v>
      </c>
      <c r="E402" t="str">
        <f t="shared" si="62"/>
        <v>400445</v>
      </c>
      <c r="F402" t="s">
        <v>424</v>
      </c>
      <c r="G402">
        <v>4</v>
      </c>
      <c r="H402">
        <v>0</v>
      </c>
      <c r="I402" t="s">
        <v>856</v>
      </c>
      <c r="J402" t="str">
        <f t="shared" si="63"/>
        <v>153000452</v>
      </c>
      <c r="K402" s="1">
        <v>48041</v>
      </c>
      <c r="M402" s="1">
        <v>46216</v>
      </c>
      <c r="N402" t="str">
        <f t="shared" si="64"/>
        <v>1329001972</v>
      </c>
      <c r="O402">
        <v>4</v>
      </c>
      <c r="P402" s="2">
        <v>46223.561689814815</v>
      </c>
      <c r="Q402" s="2">
        <v>46223.584826388891</v>
      </c>
      <c r="R402" s="2">
        <v>46223.561689814815</v>
      </c>
      <c r="S402">
        <v>0</v>
      </c>
      <c r="T402" t="s">
        <v>67</v>
      </c>
      <c r="U402" t="s">
        <v>67</v>
      </c>
      <c r="W402" t="str">
        <f t="shared" si="65"/>
        <v>400445</v>
      </c>
      <c r="X402" t="s">
        <v>41</v>
      </c>
      <c r="AD402" s="2">
        <v>46223.584826388891</v>
      </c>
    </row>
    <row r="403" spans="1:30" x14ac:dyDescent="0.35">
      <c r="A403" t="s">
        <v>30</v>
      </c>
      <c r="B403" t="s">
        <v>31</v>
      </c>
      <c r="C403" t="s">
        <v>857</v>
      </c>
      <c r="D403" t="s">
        <v>33</v>
      </c>
      <c r="E403" t="str">
        <f t="shared" si="62"/>
        <v>400445</v>
      </c>
      <c r="F403" t="s">
        <v>424</v>
      </c>
      <c r="G403">
        <v>4</v>
      </c>
      <c r="H403">
        <v>0</v>
      </c>
      <c r="I403" t="s">
        <v>858</v>
      </c>
      <c r="J403" t="str">
        <f t="shared" si="63"/>
        <v>153000452</v>
      </c>
      <c r="K403" s="1">
        <v>48041</v>
      </c>
      <c r="M403" s="1">
        <v>46216</v>
      </c>
      <c r="N403" t="str">
        <f t="shared" si="64"/>
        <v>1329001972</v>
      </c>
      <c r="O403">
        <v>4</v>
      </c>
      <c r="P403" s="2">
        <v>46223.561469907407</v>
      </c>
      <c r="Q403" s="2">
        <v>46223.585335648146</v>
      </c>
      <c r="R403" s="2">
        <v>46223.561469907407</v>
      </c>
      <c r="S403">
        <v>0</v>
      </c>
      <c r="T403" t="s">
        <v>67</v>
      </c>
      <c r="U403" t="s">
        <v>67</v>
      </c>
      <c r="W403" t="str">
        <f t="shared" si="65"/>
        <v>400445</v>
      </c>
      <c r="X403" t="s">
        <v>41</v>
      </c>
      <c r="AD403" s="2">
        <v>46223.585335648146</v>
      </c>
    </row>
    <row r="404" spans="1:30" x14ac:dyDescent="0.35">
      <c r="A404" t="s">
        <v>30</v>
      </c>
      <c r="B404" t="s">
        <v>31</v>
      </c>
      <c r="C404" t="s">
        <v>859</v>
      </c>
      <c r="D404" t="s">
        <v>33</v>
      </c>
      <c r="E404" t="str">
        <f t="shared" si="62"/>
        <v>400445</v>
      </c>
      <c r="F404" t="s">
        <v>424</v>
      </c>
      <c r="G404">
        <v>4</v>
      </c>
      <c r="H404">
        <v>0</v>
      </c>
      <c r="I404" t="s">
        <v>860</v>
      </c>
      <c r="J404" t="str">
        <f t="shared" si="63"/>
        <v>153000452</v>
      </c>
      <c r="K404" s="1">
        <v>48041</v>
      </c>
      <c r="M404" s="1">
        <v>46216</v>
      </c>
      <c r="N404" t="str">
        <f t="shared" si="64"/>
        <v>1329001972</v>
      </c>
      <c r="O404">
        <v>4</v>
      </c>
      <c r="P404" s="2">
        <v>46223.560439814813</v>
      </c>
      <c r="Q404" s="2">
        <v>46223.586076388892</v>
      </c>
      <c r="R404" s="2">
        <v>46223.560439814813</v>
      </c>
      <c r="S404">
        <v>0</v>
      </c>
      <c r="T404" t="s">
        <v>67</v>
      </c>
      <c r="U404" t="s">
        <v>67</v>
      </c>
      <c r="W404" t="str">
        <f t="shared" si="65"/>
        <v>400445</v>
      </c>
      <c r="X404" t="s">
        <v>41</v>
      </c>
      <c r="AD404" s="2">
        <v>46223.586076388892</v>
      </c>
    </row>
    <row r="405" spans="1:30" x14ac:dyDescent="0.35">
      <c r="A405" t="s">
        <v>30</v>
      </c>
      <c r="B405" t="s">
        <v>31</v>
      </c>
      <c r="C405" t="s">
        <v>861</v>
      </c>
      <c r="D405" t="s">
        <v>33</v>
      </c>
      <c r="E405" t="str">
        <f t="shared" si="62"/>
        <v>400445</v>
      </c>
      <c r="F405" t="s">
        <v>424</v>
      </c>
      <c r="G405">
        <v>4</v>
      </c>
      <c r="H405">
        <v>0</v>
      </c>
      <c r="I405" t="s">
        <v>862</v>
      </c>
      <c r="J405" t="str">
        <f t="shared" si="63"/>
        <v>153000452</v>
      </c>
      <c r="K405" s="1">
        <v>48041</v>
      </c>
      <c r="M405" s="1">
        <v>46216</v>
      </c>
      <c r="N405" t="str">
        <f t="shared" si="64"/>
        <v>1329001972</v>
      </c>
      <c r="O405">
        <v>4</v>
      </c>
      <c r="P405" s="2">
        <v>46223.560590277775</v>
      </c>
      <c r="Q405" s="2">
        <v>46223.586863425924</v>
      </c>
      <c r="R405" s="2">
        <v>46223.560590277775</v>
      </c>
      <c r="S405">
        <v>0</v>
      </c>
      <c r="T405" t="s">
        <v>67</v>
      </c>
      <c r="U405" t="s">
        <v>67</v>
      </c>
      <c r="W405" t="str">
        <f t="shared" si="65"/>
        <v>400445</v>
      </c>
      <c r="X405" t="s">
        <v>41</v>
      </c>
      <c r="AD405" s="2">
        <v>46223.586863425924</v>
      </c>
    </row>
    <row r="406" spans="1:30" x14ac:dyDescent="0.35">
      <c r="A406" t="s">
        <v>30</v>
      </c>
      <c r="B406" t="s">
        <v>31</v>
      </c>
      <c r="C406" t="s">
        <v>863</v>
      </c>
      <c r="D406" t="s">
        <v>33</v>
      </c>
      <c r="E406" t="str">
        <f t="shared" si="62"/>
        <v>400445</v>
      </c>
      <c r="F406" t="s">
        <v>424</v>
      </c>
      <c r="G406">
        <v>4</v>
      </c>
      <c r="H406">
        <v>0</v>
      </c>
      <c r="I406" t="s">
        <v>864</v>
      </c>
      <c r="J406" t="str">
        <f t="shared" si="63"/>
        <v>153000452</v>
      </c>
      <c r="K406" s="1">
        <v>48041</v>
      </c>
      <c r="M406" s="1">
        <v>46216</v>
      </c>
      <c r="N406" t="str">
        <f t="shared" si="64"/>
        <v>1329001972</v>
      </c>
      <c r="O406">
        <v>4</v>
      </c>
      <c r="P406" s="2">
        <v>46223.561365740738</v>
      </c>
      <c r="Q406" s="2">
        <v>46223.587893518517</v>
      </c>
      <c r="R406" s="2">
        <v>46223.561365740738</v>
      </c>
      <c r="S406">
        <v>0</v>
      </c>
      <c r="T406" t="s">
        <v>67</v>
      </c>
      <c r="U406" t="s">
        <v>67</v>
      </c>
      <c r="W406" t="str">
        <f t="shared" si="65"/>
        <v>400445</v>
      </c>
      <c r="X406" t="s">
        <v>41</v>
      </c>
      <c r="AD406" s="2">
        <v>46223.587893518517</v>
      </c>
    </row>
    <row r="407" spans="1:30" x14ac:dyDescent="0.35">
      <c r="A407" t="s">
        <v>30</v>
      </c>
      <c r="B407" t="s">
        <v>31</v>
      </c>
      <c r="C407" t="s">
        <v>865</v>
      </c>
      <c r="D407" t="s">
        <v>33</v>
      </c>
      <c r="E407" t="str">
        <f t="shared" si="62"/>
        <v>400445</v>
      </c>
      <c r="F407" t="s">
        <v>424</v>
      </c>
      <c r="G407">
        <v>4</v>
      </c>
      <c r="H407">
        <v>0</v>
      </c>
      <c r="I407" t="s">
        <v>866</v>
      </c>
      <c r="J407" t="str">
        <f t="shared" si="63"/>
        <v>153000452</v>
      </c>
      <c r="K407" s="1">
        <v>48041</v>
      </c>
      <c r="M407" s="1">
        <v>46216</v>
      </c>
      <c r="N407" t="str">
        <f t="shared" si="64"/>
        <v>1329001972</v>
      </c>
      <c r="O407">
        <v>4</v>
      </c>
      <c r="P407" s="2">
        <v>46223.560682870368</v>
      </c>
      <c r="Q407" s="2">
        <v>46223.58898148148</v>
      </c>
      <c r="R407" s="2">
        <v>46223.560682870368</v>
      </c>
      <c r="S407">
        <v>0</v>
      </c>
      <c r="T407" t="s">
        <v>67</v>
      </c>
      <c r="U407" t="s">
        <v>67</v>
      </c>
      <c r="W407" t="str">
        <f t="shared" si="65"/>
        <v>400445</v>
      </c>
      <c r="X407" t="s">
        <v>41</v>
      </c>
      <c r="AD407" s="2">
        <v>46223.58898148148</v>
      </c>
    </row>
    <row r="408" spans="1:30" x14ac:dyDescent="0.35">
      <c r="A408" t="s">
        <v>30</v>
      </c>
      <c r="B408" t="s">
        <v>31</v>
      </c>
      <c r="C408" t="s">
        <v>867</v>
      </c>
      <c r="D408" t="s">
        <v>33</v>
      </c>
      <c r="E408" t="str">
        <f t="shared" si="62"/>
        <v>400445</v>
      </c>
      <c r="F408" t="s">
        <v>424</v>
      </c>
      <c r="G408">
        <v>4</v>
      </c>
      <c r="H408">
        <v>0</v>
      </c>
      <c r="I408" t="s">
        <v>868</v>
      </c>
      <c r="J408" t="str">
        <f t="shared" si="63"/>
        <v>153000452</v>
      </c>
      <c r="K408" s="1">
        <v>48041</v>
      </c>
      <c r="M408" s="1">
        <v>46216</v>
      </c>
      <c r="N408" t="str">
        <f t="shared" si="64"/>
        <v>1329001972</v>
      </c>
      <c r="O408">
        <v>4</v>
      </c>
      <c r="P408" s="2">
        <v>46223.558923611112</v>
      </c>
      <c r="Q408" s="2">
        <v>46223.591111111113</v>
      </c>
      <c r="R408" s="2">
        <v>46223.558923611112</v>
      </c>
      <c r="S408">
        <v>0</v>
      </c>
      <c r="T408" t="s">
        <v>67</v>
      </c>
      <c r="U408" t="s">
        <v>67</v>
      </c>
      <c r="W408" t="str">
        <f t="shared" si="65"/>
        <v>400445</v>
      </c>
      <c r="X408" t="s">
        <v>41</v>
      </c>
      <c r="AD408" s="2">
        <v>46223.591111111113</v>
      </c>
    </row>
    <row r="409" spans="1:30" x14ac:dyDescent="0.35">
      <c r="A409" t="s">
        <v>30</v>
      </c>
      <c r="B409" t="s">
        <v>31</v>
      </c>
      <c r="C409" t="s">
        <v>869</v>
      </c>
      <c r="D409" t="s">
        <v>33</v>
      </c>
      <c r="E409" t="str">
        <f>"400417"</f>
        <v>400417</v>
      </c>
      <c r="F409" t="s">
        <v>376</v>
      </c>
      <c r="G409">
        <v>24</v>
      </c>
      <c r="H409">
        <v>0</v>
      </c>
      <c r="I409" t="s">
        <v>870</v>
      </c>
      <c r="J409" t="str">
        <f>"153000398"</f>
        <v>153000398</v>
      </c>
      <c r="K409" s="1">
        <v>48011</v>
      </c>
      <c r="M409" s="1">
        <v>46186</v>
      </c>
      <c r="N409" t="str">
        <f>"1329001931"</f>
        <v>1329001931</v>
      </c>
      <c r="O409">
        <v>24</v>
      </c>
      <c r="P409" s="2">
        <v>46212.628888888888</v>
      </c>
      <c r="Q409" s="2">
        <v>46223.592187499999</v>
      </c>
      <c r="R409" s="2">
        <v>46212.628888888888</v>
      </c>
      <c r="S409">
        <v>0</v>
      </c>
      <c r="T409" t="s">
        <v>192</v>
      </c>
      <c r="U409" t="s">
        <v>192</v>
      </c>
      <c r="V409" t="s">
        <v>871</v>
      </c>
      <c r="W409" t="str">
        <f>"400417"</f>
        <v>400417</v>
      </c>
      <c r="X409" t="s">
        <v>378</v>
      </c>
      <c r="AD409" s="2">
        <v>46212.637488425928</v>
      </c>
    </row>
    <row r="410" spans="1:30" x14ac:dyDescent="0.35">
      <c r="A410" t="s">
        <v>30</v>
      </c>
      <c r="B410" t="s">
        <v>31</v>
      </c>
      <c r="C410" t="s">
        <v>872</v>
      </c>
      <c r="D410" t="s">
        <v>33</v>
      </c>
      <c r="E410" t="str">
        <f>"400445"</f>
        <v>400445</v>
      </c>
      <c r="F410" t="s">
        <v>424</v>
      </c>
      <c r="G410">
        <v>4</v>
      </c>
      <c r="H410">
        <v>0</v>
      </c>
      <c r="I410" t="s">
        <v>871</v>
      </c>
      <c r="J410" t="str">
        <f>"153000452"</f>
        <v>153000452</v>
      </c>
      <c r="K410" s="1">
        <v>48041</v>
      </c>
      <c r="M410" s="1">
        <v>46216</v>
      </c>
      <c r="N410" t="str">
        <f>"1329001972"</f>
        <v>1329001972</v>
      </c>
      <c r="O410">
        <v>4</v>
      </c>
      <c r="P410" s="2">
        <v>46223.560324074075</v>
      </c>
      <c r="Q410" s="2">
        <v>46223.592812499999</v>
      </c>
      <c r="R410" s="2">
        <v>46223.560324074075</v>
      </c>
      <c r="S410">
        <v>0</v>
      </c>
      <c r="T410" t="s">
        <v>67</v>
      </c>
      <c r="U410" t="s">
        <v>67</v>
      </c>
      <c r="W410" t="str">
        <f>"400445"</f>
        <v>400445</v>
      </c>
      <c r="X410" t="s">
        <v>41</v>
      </c>
      <c r="AD410" s="2">
        <v>46223.592812499999</v>
      </c>
    </row>
    <row r="411" spans="1:30" x14ac:dyDescent="0.35">
      <c r="A411" t="s">
        <v>30</v>
      </c>
      <c r="B411" t="s">
        <v>31</v>
      </c>
      <c r="C411" t="s">
        <v>873</v>
      </c>
      <c r="D411" t="s">
        <v>33</v>
      </c>
      <c r="E411" t="str">
        <f>"400445"</f>
        <v>400445</v>
      </c>
      <c r="F411" t="s">
        <v>424</v>
      </c>
      <c r="G411">
        <v>4</v>
      </c>
      <c r="H411">
        <v>0</v>
      </c>
      <c r="I411" t="s">
        <v>874</v>
      </c>
      <c r="J411" t="str">
        <f>"153000452"</f>
        <v>153000452</v>
      </c>
      <c r="K411" s="1">
        <v>48041</v>
      </c>
      <c r="M411" s="1">
        <v>46216</v>
      </c>
      <c r="N411" t="str">
        <f>"1329001972"</f>
        <v>1329001972</v>
      </c>
      <c r="O411">
        <v>4</v>
      </c>
      <c r="P411" s="2">
        <v>46223.559710648151</v>
      </c>
      <c r="Q411" s="2">
        <v>46223.594780092593</v>
      </c>
      <c r="R411" s="2">
        <v>46223.559710648151</v>
      </c>
      <c r="S411">
        <v>0</v>
      </c>
      <c r="T411" t="s">
        <v>67</v>
      </c>
      <c r="U411" t="s">
        <v>67</v>
      </c>
      <c r="W411" t="str">
        <f>"400445"</f>
        <v>400445</v>
      </c>
      <c r="X411" t="s">
        <v>41</v>
      </c>
      <c r="AD411" s="2">
        <v>46223.594780092593</v>
      </c>
    </row>
    <row r="412" spans="1:30" x14ac:dyDescent="0.35">
      <c r="A412" t="s">
        <v>30</v>
      </c>
      <c r="B412" t="s">
        <v>31</v>
      </c>
      <c r="C412" t="s">
        <v>875</v>
      </c>
      <c r="D412" t="s">
        <v>33</v>
      </c>
      <c r="E412" t="str">
        <f>"400445"</f>
        <v>400445</v>
      </c>
      <c r="F412" t="s">
        <v>424</v>
      </c>
      <c r="G412">
        <v>4</v>
      </c>
      <c r="H412">
        <v>0</v>
      </c>
      <c r="I412" t="s">
        <v>876</v>
      </c>
      <c r="J412" t="str">
        <f>"153000452"</f>
        <v>153000452</v>
      </c>
      <c r="K412" s="1">
        <v>48041</v>
      </c>
      <c r="M412" s="1">
        <v>46216</v>
      </c>
      <c r="N412" t="str">
        <f>"1329001972"</f>
        <v>1329001972</v>
      </c>
      <c r="O412">
        <v>4</v>
      </c>
      <c r="P412" s="2">
        <v>46223.559814814813</v>
      </c>
      <c r="Q412" s="2">
        <v>46223.596458333333</v>
      </c>
      <c r="R412" s="2">
        <v>46223.559814814813</v>
      </c>
      <c r="S412">
        <v>0</v>
      </c>
      <c r="T412" t="s">
        <v>67</v>
      </c>
      <c r="U412" t="s">
        <v>67</v>
      </c>
      <c r="W412" t="str">
        <f>"400445"</f>
        <v>400445</v>
      </c>
      <c r="X412" t="s">
        <v>41</v>
      </c>
      <c r="AD412" s="2">
        <v>46223.596458333333</v>
      </c>
    </row>
    <row r="413" spans="1:30" x14ac:dyDescent="0.35">
      <c r="A413" t="s">
        <v>30</v>
      </c>
      <c r="B413" t="s">
        <v>31</v>
      </c>
      <c r="C413" t="s">
        <v>877</v>
      </c>
      <c r="D413" t="s">
        <v>33</v>
      </c>
      <c r="E413" t="str">
        <f>"400445"</f>
        <v>400445</v>
      </c>
      <c r="F413" t="s">
        <v>424</v>
      </c>
      <c r="G413">
        <v>4</v>
      </c>
      <c r="H413">
        <v>0</v>
      </c>
      <c r="I413" t="s">
        <v>878</v>
      </c>
      <c r="J413" t="str">
        <f>"153000452"</f>
        <v>153000452</v>
      </c>
      <c r="K413" s="1">
        <v>48041</v>
      </c>
      <c r="M413" s="1">
        <v>46216</v>
      </c>
      <c r="N413" t="str">
        <f>"1329001972"</f>
        <v>1329001972</v>
      </c>
      <c r="O413">
        <v>4</v>
      </c>
      <c r="P413" s="2">
        <v>46223.559930555559</v>
      </c>
      <c r="Q413" s="2">
        <v>46223.596932870372</v>
      </c>
      <c r="R413" s="2">
        <v>46223.559930555559</v>
      </c>
      <c r="S413">
        <v>0</v>
      </c>
      <c r="T413" t="s">
        <v>67</v>
      </c>
      <c r="U413" t="s">
        <v>67</v>
      </c>
      <c r="W413" t="str">
        <f>"400445"</f>
        <v>400445</v>
      </c>
      <c r="X413" t="s">
        <v>41</v>
      </c>
      <c r="AD413" s="2">
        <v>46223.596932870372</v>
      </c>
    </row>
    <row r="414" spans="1:30" x14ac:dyDescent="0.35">
      <c r="A414" t="s">
        <v>30</v>
      </c>
      <c r="B414" t="s">
        <v>31</v>
      </c>
      <c r="C414" t="s">
        <v>879</v>
      </c>
      <c r="D414" t="s">
        <v>33</v>
      </c>
      <c r="E414" t="str">
        <f>"400426"</f>
        <v>400426</v>
      </c>
      <c r="F414" t="s">
        <v>34</v>
      </c>
      <c r="G414">
        <v>24</v>
      </c>
      <c r="H414">
        <v>0</v>
      </c>
      <c r="I414" t="s">
        <v>880</v>
      </c>
      <c r="J414" t="str">
        <f>"153000404"</f>
        <v>153000404</v>
      </c>
      <c r="K414" s="1">
        <v>48018</v>
      </c>
      <c r="M414" s="1">
        <v>46193</v>
      </c>
      <c r="N414" t="str">
        <f>"1329001909"</f>
        <v>1329001909</v>
      </c>
      <c r="O414">
        <v>24</v>
      </c>
      <c r="P414" s="2">
        <v>46204.489814814813</v>
      </c>
      <c r="Q414" s="2">
        <v>46223.597581018519</v>
      </c>
      <c r="R414" s="2">
        <v>46204.489814814813</v>
      </c>
      <c r="S414">
        <v>0</v>
      </c>
      <c r="T414" t="s">
        <v>36</v>
      </c>
      <c r="U414" t="s">
        <v>36</v>
      </c>
      <c r="V414" t="s">
        <v>881</v>
      </c>
      <c r="W414" t="str">
        <f>"400426"</f>
        <v>400426</v>
      </c>
      <c r="X414" t="s">
        <v>37</v>
      </c>
      <c r="AD414" s="2">
        <v>46204.749976851854</v>
      </c>
    </row>
    <row r="415" spans="1:30" x14ac:dyDescent="0.35">
      <c r="A415" t="s">
        <v>30</v>
      </c>
      <c r="B415" t="s">
        <v>31</v>
      </c>
      <c r="C415" t="s">
        <v>882</v>
      </c>
      <c r="D415" t="s">
        <v>33</v>
      </c>
      <c r="E415" t="str">
        <f>"400445"</f>
        <v>400445</v>
      </c>
      <c r="F415" t="s">
        <v>424</v>
      </c>
      <c r="G415">
        <v>4</v>
      </c>
      <c r="H415">
        <v>0</v>
      </c>
      <c r="I415" t="s">
        <v>881</v>
      </c>
      <c r="J415" t="str">
        <f>"153000452"</f>
        <v>153000452</v>
      </c>
      <c r="K415" s="1">
        <v>48041</v>
      </c>
      <c r="M415" s="1">
        <v>46216</v>
      </c>
      <c r="N415" t="str">
        <f>"1329001972"</f>
        <v>1329001972</v>
      </c>
      <c r="O415">
        <v>4</v>
      </c>
      <c r="P415" s="2">
        <v>46223.560081018521</v>
      </c>
      <c r="Q415" s="2">
        <v>46223.59851851852</v>
      </c>
      <c r="R415" s="2">
        <v>46223.560081018521</v>
      </c>
      <c r="S415">
        <v>0</v>
      </c>
      <c r="T415" t="s">
        <v>67</v>
      </c>
      <c r="U415" t="s">
        <v>67</v>
      </c>
      <c r="V415" t="s">
        <v>883</v>
      </c>
      <c r="W415" t="str">
        <f>"400445"</f>
        <v>400445</v>
      </c>
      <c r="X415" t="s">
        <v>41</v>
      </c>
      <c r="AD415" s="2">
        <v>46223.598090277781</v>
      </c>
    </row>
    <row r="416" spans="1:30" x14ac:dyDescent="0.35">
      <c r="A416" t="s">
        <v>30</v>
      </c>
      <c r="B416" t="s">
        <v>31</v>
      </c>
      <c r="C416" t="s">
        <v>884</v>
      </c>
      <c r="D416" t="s">
        <v>33</v>
      </c>
      <c r="E416" t="str">
        <f>"400445"</f>
        <v>400445</v>
      </c>
      <c r="F416" t="s">
        <v>424</v>
      </c>
      <c r="G416">
        <v>4</v>
      </c>
      <c r="H416">
        <v>0</v>
      </c>
      <c r="I416" t="s">
        <v>885</v>
      </c>
      <c r="J416" t="str">
        <f>"153000452"</f>
        <v>153000452</v>
      </c>
      <c r="K416" s="1">
        <v>48041</v>
      </c>
      <c r="M416" s="1">
        <v>46216</v>
      </c>
      <c r="N416" t="str">
        <f>"1329001972"</f>
        <v>1329001972</v>
      </c>
      <c r="O416">
        <v>4</v>
      </c>
      <c r="P416" s="2">
        <v>46223.559155092589</v>
      </c>
      <c r="Q416" s="2">
        <v>46223.599699074075</v>
      </c>
      <c r="R416" s="2">
        <v>46223.559155092589</v>
      </c>
      <c r="S416">
        <v>0</v>
      </c>
      <c r="T416" t="s">
        <v>67</v>
      </c>
      <c r="U416" t="s">
        <v>67</v>
      </c>
      <c r="W416" t="str">
        <f>"400445"</f>
        <v>400445</v>
      </c>
      <c r="X416" t="s">
        <v>41</v>
      </c>
      <c r="AD416" s="2">
        <v>46223.599699074075</v>
      </c>
    </row>
    <row r="417" spans="1:30" x14ac:dyDescent="0.35">
      <c r="A417" t="s">
        <v>30</v>
      </c>
      <c r="B417" t="s">
        <v>31</v>
      </c>
      <c r="C417" t="s">
        <v>886</v>
      </c>
      <c r="D417" t="s">
        <v>33</v>
      </c>
      <c r="E417" t="str">
        <f>"400426"</f>
        <v>400426</v>
      </c>
      <c r="F417" t="s">
        <v>34</v>
      </c>
      <c r="G417">
        <v>24</v>
      </c>
      <c r="H417">
        <v>0</v>
      </c>
      <c r="I417" t="s">
        <v>883</v>
      </c>
      <c r="J417" t="str">
        <f>"153000404"</f>
        <v>153000404</v>
      </c>
      <c r="K417" s="1">
        <v>48018</v>
      </c>
      <c r="M417" s="1">
        <v>46193</v>
      </c>
      <c r="N417" t="str">
        <f>"1329001909"</f>
        <v>1329001909</v>
      </c>
      <c r="O417">
        <v>24</v>
      </c>
      <c r="P417" s="2">
        <v>46204.489976851852</v>
      </c>
      <c r="Q417" s="2">
        <v>46223.600428240738</v>
      </c>
      <c r="R417" s="2">
        <v>46204.489976851852</v>
      </c>
      <c r="S417">
        <v>0</v>
      </c>
      <c r="T417" t="s">
        <v>36</v>
      </c>
      <c r="U417" t="s">
        <v>36</v>
      </c>
      <c r="V417" t="s">
        <v>887</v>
      </c>
      <c r="W417" t="str">
        <f>"400426"</f>
        <v>400426</v>
      </c>
      <c r="X417" t="s">
        <v>37</v>
      </c>
      <c r="AD417" s="2">
        <v>46204.753125000003</v>
      </c>
    </row>
    <row r="418" spans="1:30" x14ac:dyDescent="0.35">
      <c r="A418" t="s">
        <v>30</v>
      </c>
      <c r="B418" t="s">
        <v>31</v>
      </c>
      <c r="C418" t="s">
        <v>888</v>
      </c>
      <c r="D418" t="s">
        <v>33</v>
      </c>
      <c r="E418" t="str">
        <f>"400432"</f>
        <v>400432</v>
      </c>
      <c r="F418" t="s">
        <v>889</v>
      </c>
      <c r="G418">
        <v>4</v>
      </c>
      <c r="H418">
        <v>0</v>
      </c>
      <c r="I418" t="s">
        <v>887</v>
      </c>
      <c r="J418" t="str">
        <f>"153000358"</f>
        <v>153000358</v>
      </c>
      <c r="K418" s="1">
        <v>48005</v>
      </c>
      <c r="M418" s="1">
        <v>46180</v>
      </c>
      <c r="N418" t="str">
        <f>"1329001963"</f>
        <v>1329001963</v>
      </c>
      <c r="O418">
        <v>4</v>
      </c>
      <c r="P418" s="2">
        <v>46223.56449074074</v>
      </c>
      <c r="Q418" s="2">
        <v>46223.602280092593</v>
      </c>
      <c r="R418" s="2">
        <v>46223.56449074074</v>
      </c>
      <c r="S418">
        <v>0</v>
      </c>
      <c r="T418" t="s">
        <v>67</v>
      </c>
      <c r="U418" t="s">
        <v>67</v>
      </c>
      <c r="W418" t="str">
        <f>"400432"</f>
        <v>400432</v>
      </c>
      <c r="X418" t="s">
        <v>41</v>
      </c>
      <c r="AD418" s="2">
        <v>46223.602280092593</v>
      </c>
    </row>
    <row r="419" spans="1:30" x14ac:dyDescent="0.35">
      <c r="A419" t="s">
        <v>30</v>
      </c>
      <c r="B419" t="s">
        <v>31</v>
      </c>
      <c r="C419" t="s">
        <v>890</v>
      </c>
      <c r="D419" t="s">
        <v>33</v>
      </c>
      <c r="E419" t="str">
        <f>"400445"</f>
        <v>400445</v>
      </c>
      <c r="F419" t="s">
        <v>424</v>
      </c>
      <c r="G419">
        <v>4</v>
      </c>
      <c r="H419">
        <v>0</v>
      </c>
      <c r="I419" t="s">
        <v>891</v>
      </c>
      <c r="J419" t="str">
        <f>"153000452"</f>
        <v>153000452</v>
      </c>
      <c r="K419" s="1">
        <v>48041</v>
      </c>
      <c r="M419" s="1">
        <v>46216</v>
      </c>
      <c r="N419" t="str">
        <f>"1329001972"</f>
        <v>1329001972</v>
      </c>
      <c r="O419">
        <v>4</v>
      </c>
      <c r="P419" s="2">
        <v>46223.56077546296</v>
      </c>
      <c r="Q419" s="2">
        <v>46223.602824074071</v>
      </c>
      <c r="R419" s="2">
        <v>46223.56077546296</v>
      </c>
      <c r="S419">
        <v>0</v>
      </c>
      <c r="T419" t="s">
        <v>67</v>
      </c>
      <c r="U419" t="s">
        <v>67</v>
      </c>
      <c r="W419" t="str">
        <f>"400445"</f>
        <v>400445</v>
      </c>
      <c r="X419" t="s">
        <v>41</v>
      </c>
      <c r="AD419" s="2">
        <v>46223.602824074071</v>
      </c>
    </row>
    <row r="420" spans="1:30" x14ac:dyDescent="0.35">
      <c r="A420" t="s">
        <v>30</v>
      </c>
      <c r="B420" t="s">
        <v>31</v>
      </c>
      <c r="C420" t="s">
        <v>892</v>
      </c>
      <c r="D420" t="s">
        <v>33</v>
      </c>
      <c r="E420" t="str">
        <f>"400445"</f>
        <v>400445</v>
      </c>
      <c r="F420" t="s">
        <v>424</v>
      </c>
      <c r="G420">
        <v>4</v>
      </c>
      <c r="H420">
        <v>0</v>
      </c>
      <c r="I420" t="s">
        <v>893</v>
      </c>
      <c r="J420" t="str">
        <f>"153000452"</f>
        <v>153000452</v>
      </c>
      <c r="K420" s="1">
        <v>48041</v>
      </c>
      <c r="M420" s="1">
        <v>46216</v>
      </c>
      <c r="N420" t="str">
        <f>"1329001972"</f>
        <v>1329001972</v>
      </c>
      <c r="O420">
        <v>4</v>
      </c>
      <c r="P420" s="2">
        <v>46223.559374999997</v>
      </c>
      <c r="Q420" s="2">
        <v>46223.603356481479</v>
      </c>
      <c r="R420" s="2">
        <v>46223.559374999997</v>
      </c>
      <c r="S420">
        <v>0</v>
      </c>
      <c r="T420" t="s">
        <v>67</v>
      </c>
      <c r="U420" t="s">
        <v>67</v>
      </c>
      <c r="W420" t="str">
        <f>"400445"</f>
        <v>400445</v>
      </c>
      <c r="X420" t="s">
        <v>41</v>
      </c>
      <c r="AD420" s="2">
        <v>46223.603356481479</v>
      </c>
    </row>
    <row r="421" spans="1:30" x14ac:dyDescent="0.35">
      <c r="A421" t="s">
        <v>30</v>
      </c>
      <c r="B421" t="s">
        <v>31</v>
      </c>
      <c r="C421" t="s">
        <v>894</v>
      </c>
      <c r="D421" t="s">
        <v>33</v>
      </c>
      <c r="E421" t="str">
        <f>"400445"</f>
        <v>400445</v>
      </c>
      <c r="F421" t="s">
        <v>424</v>
      </c>
      <c r="G421">
        <v>4</v>
      </c>
      <c r="H421">
        <v>0</v>
      </c>
      <c r="I421" t="s">
        <v>895</v>
      </c>
      <c r="J421" t="str">
        <f>"153000452"</f>
        <v>153000452</v>
      </c>
      <c r="K421" s="1">
        <v>48041</v>
      </c>
      <c r="M421" s="1">
        <v>46216</v>
      </c>
      <c r="N421" t="str">
        <f>"1329001972"</f>
        <v>1329001972</v>
      </c>
      <c r="O421">
        <v>4</v>
      </c>
      <c r="P421" s="2">
        <v>46223.559479166666</v>
      </c>
      <c r="Q421" s="2">
        <v>46223.60423611111</v>
      </c>
      <c r="R421" s="2">
        <v>46223.559479166666</v>
      </c>
      <c r="S421">
        <v>0</v>
      </c>
      <c r="T421" t="s">
        <v>67</v>
      </c>
      <c r="U421" t="s">
        <v>67</v>
      </c>
      <c r="W421" t="str">
        <f>"400445"</f>
        <v>400445</v>
      </c>
      <c r="X421" t="s">
        <v>41</v>
      </c>
      <c r="AD421" s="2">
        <v>46223.60423611111</v>
      </c>
    </row>
    <row r="422" spans="1:30" x14ac:dyDescent="0.35">
      <c r="A422" t="s">
        <v>30</v>
      </c>
      <c r="B422" t="s">
        <v>31</v>
      </c>
      <c r="C422" t="s">
        <v>896</v>
      </c>
      <c r="D422" t="s">
        <v>33</v>
      </c>
      <c r="E422" t="str">
        <f>"400426"</f>
        <v>400426</v>
      </c>
      <c r="F422" t="s">
        <v>34</v>
      </c>
      <c r="G422">
        <v>24</v>
      </c>
      <c r="H422">
        <v>0</v>
      </c>
      <c r="I422" t="s">
        <v>897</v>
      </c>
      <c r="J422" t="str">
        <f>"153000404"</f>
        <v>153000404</v>
      </c>
      <c r="K422" s="1">
        <v>48018</v>
      </c>
      <c r="M422" s="1">
        <v>46193</v>
      </c>
      <c r="N422" t="str">
        <f>"1329001909"</f>
        <v>1329001909</v>
      </c>
      <c r="O422">
        <v>24</v>
      </c>
      <c r="P422" s="2">
        <v>46204.489363425928</v>
      </c>
      <c r="Q422" s="2">
        <v>46223.604849537034</v>
      </c>
      <c r="R422" s="2">
        <v>46204.489363425928</v>
      </c>
      <c r="S422">
        <v>0</v>
      </c>
      <c r="T422" t="s">
        <v>36</v>
      </c>
      <c r="U422" t="s">
        <v>36</v>
      </c>
      <c r="V422" t="s">
        <v>898</v>
      </c>
      <c r="W422" t="str">
        <f>"400426"</f>
        <v>400426</v>
      </c>
      <c r="X422" t="s">
        <v>37</v>
      </c>
      <c r="AD422" s="2">
        <v>46204.737708333334</v>
      </c>
    </row>
    <row r="423" spans="1:30" x14ac:dyDescent="0.35">
      <c r="A423" t="s">
        <v>30</v>
      </c>
      <c r="B423" t="s">
        <v>31</v>
      </c>
      <c r="C423" t="s">
        <v>899</v>
      </c>
      <c r="D423" t="s">
        <v>33</v>
      </c>
      <c r="E423" t="str">
        <f>"400445"</f>
        <v>400445</v>
      </c>
      <c r="F423" t="s">
        <v>424</v>
      </c>
      <c r="G423">
        <v>4</v>
      </c>
      <c r="H423">
        <v>0</v>
      </c>
      <c r="I423" t="s">
        <v>898</v>
      </c>
      <c r="J423" t="str">
        <f>"153000452"</f>
        <v>153000452</v>
      </c>
      <c r="K423" s="1">
        <v>48041</v>
      </c>
      <c r="M423" s="1">
        <v>46216</v>
      </c>
      <c r="N423" t="str">
        <f>"1329001972"</f>
        <v>1329001972</v>
      </c>
      <c r="O423">
        <v>4</v>
      </c>
      <c r="P423" s="2">
        <v>46223.559583333335</v>
      </c>
      <c r="Q423" s="2">
        <v>46223.606030092589</v>
      </c>
      <c r="R423" s="2">
        <v>46223.559583333335</v>
      </c>
      <c r="S423">
        <v>0</v>
      </c>
      <c r="T423" t="s">
        <v>67</v>
      </c>
      <c r="U423" t="s">
        <v>67</v>
      </c>
      <c r="W423" t="str">
        <f>"400445"</f>
        <v>400445</v>
      </c>
      <c r="X423" t="s">
        <v>41</v>
      </c>
      <c r="AD423" s="2">
        <v>46223.606030092589</v>
      </c>
    </row>
    <row r="424" spans="1:30" x14ac:dyDescent="0.35">
      <c r="A424" t="s">
        <v>30</v>
      </c>
      <c r="B424" t="s">
        <v>31</v>
      </c>
      <c r="C424" t="s">
        <v>900</v>
      </c>
      <c r="D424" t="s">
        <v>33</v>
      </c>
      <c r="E424" t="str">
        <f>"400445"</f>
        <v>400445</v>
      </c>
      <c r="F424" t="s">
        <v>424</v>
      </c>
      <c r="G424">
        <v>4</v>
      </c>
      <c r="H424">
        <v>0</v>
      </c>
      <c r="I424" t="s">
        <v>901</v>
      </c>
      <c r="J424" t="str">
        <f>"153000452"</f>
        <v>153000452</v>
      </c>
      <c r="K424" s="1">
        <v>48041</v>
      </c>
      <c r="M424" s="1">
        <v>46216</v>
      </c>
      <c r="N424" t="str">
        <f>"1329001972"</f>
        <v>1329001972</v>
      </c>
      <c r="O424">
        <v>4</v>
      </c>
      <c r="P424" s="2">
        <v>46223.558993055558</v>
      </c>
      <c r="Q424" s="2">
        <v>46223.610405092593</v>
      </c>
      <c r="R424" s="2">
        <v>46223.558993055558</v>
      </c>
      <c r="S424">
        <v>0</v>
      </c>
      <c r="T424" t="s">
        <v>67</v>
      </c>
      <c r="U424" t="s">
        <v>67</v>
      </c>
      <c r="W424" t="str">
        <f>"400445"</f>
        <v>400445</v>
      </c>
      <c r="X424" t="s">
        <v>41</v>
      </c>
      <c r="AD424" s="2">
        <v>46223.610405092593</v>
      </c>
    </row>
    <row r="425" spans="1:30" x14ac:dyDescent="0.35">
      <c r="A425" t="s">
        <v>30</v>
      </c>
      <c r="B425" t="s">
        <v>31</v>
      </c>
      <c r="C425" t="s">
        <v>902</v>
      </c>
      <c r="D425" t="s">
        <v>33</v>
      </c>
      <c r="E425" t="str">
        <f>"400432"</f>
        <v>400432</v>
      </c>
      <c r="F425" t="s">
        <v>889</v>
      </c>
      <c r="G425">
        <v>4</v>
      </c>
      <c r="H425">
        <v>0</v>
      </c>
      <c r="I425" t="s">
        <v>903</v>
      </c>
      <c r="J425" t="str">
        <f>"153000358"</f>
        <v>153000358</v>
      </c>
      <c r="K425" s="1">
        <v>48005</v>
      </c>
      <c r="M425" s="1">
        <v>46180</v>
      </c>
      <c r="N425" t="str">
        <f>"1329001963"</f>
        <v>1329001963</v>
      </c>
      <c r="O425">
        <v>4</v>
      </c>
      <c r="P425" s="2">
        <v>46223.566192129627</v>
      </c>
      <c r="Q425" s="2">
        <v>46223.610798611109</v>
      </c>
      <c r="R425" s="2">
        <v>46223.566192129627</v>
      </c>
      <c r="S425">
        <v>0</v>
      </c>
      <c r="T425" t="s">
        <v>67</v>
      </c>
      <c r="U425" t="s">
        <v>67</v>
      </c>
      <c r="W425" t="str">
        <f>"400432"</f>
        <v>400432</v>
      </c>
      <c r="X425" t="s">
        <v>41</v>
      </c>
      <c r="AD425" s="2">
        <v>46223.610798611109</v>
      </c>
    </row>
    <row r="426" spans="1:30" x14ac:dyDescent="0.35">
      <c r="A426" t="s">
        <v>30</v>
      </c>
      <c r="B426" t="s">
        <v>31</v>
      </c>
      <c r="C426" t="s">
        <v>904</v>
      </c>
      <c r="D426" t="s">
        <v>33</v>
      </c>
      <c r="E426" t="str">
        <f>"400432"</f>
        <v>400432</v>
      </c>
      <c r="F426" t="s">
        <v>889</v>
      </c>
      <c r="G426">
        <v>4</v>
      </c>
      <c r="H426">
        <v>0</v>
      </c>
      <c r="I426" t="s">
        <v>905</v>
      </c>
      <c r="J426" t="str">
        <f>"153000358"</f>
        <v>153000358</v>
      </c>
      <c r="K426" s="1">
        <v>48005</v>
      </c>
      <c r="M426" s="1">
        <v>46180</v>
      </c>
      <c r="N426" t="str">
        <f>"1329001963"</f>
        <v>1329001963</v>
      </c>
      <c r="O426">
        <v>4</v>
      </c>
      <c r="P426" s="2">
        <v>46223.566354166665</v>
      </c>
      <c r="Q426" s="2">
        <v>46223.611226851855</v>
      </c>
      <c r="R426" s="2">
        <v>46223.566354166665</v>
      </c>
      <c r="S426">
        <v>0</v>
      </c>
      <c r="T426" t="s">
        <v>67</v>
      </c>
      <c r="U426" t="s">
        <v>67</v>
      </c>
      <c r="W426" t="str">
        <f>"400432"</f>
        <v>400432</v>
      </c>
      <c r="X426" t="s">
        <v>41</v>
      </c>
      <c r="AD426" s="2">
        <v>46223.611226851855</v>
      </c>
    </row>
    <row r="427" spans="1:30" x14ac:dyDescent="0.35">
      <c r="A427" t="s">
        <v>30</v>
      </c>
      <c r="B427" t="s">
        <v>31</v>
      </c>
      <c r="C427" t="s">
        <v>906</v>
      </c>
      <c r="D427" t="s">
        <v>33</v>
      </c>
      <c r="E427" t="str">
        <f>"400432"</f>
        <v>400432</v>
      </c>
      <c r="F427" t="s">
        <v>889</v>
      </c>
      <c r="G427">
        <v>4</v>
      </c>
      <c r="H427">
        <v>0</v>
      </c>
      <c r="I427" t="s">
        <v>907</v>
      </c>
      <c r="J427" t="str">
        <f>"153000358"</f>
        <v>153000358</v>
      </c>
      <c r="K427" s="1">
        <v>48005</v>
      </c>
      <c r="M427" s="1">
        <v>46180</v>
      </c>
      <c r="N427" t="str">
        <f>"1329001963"</f>
        <v>1329001963</v>
      </c>
      <c r="O427">
        <v>4</v>
      </c>
      <c r="P427" s="2">
        <v>46223.565983796296</v>
      </c>
      <c r="Q427" s="2">
        <v>46223.611666666664</v>
      </c>
      <c r="R427" s="2">
        <v>46223.565983796296</v>
      </c>
      <c r="S427">
        <v>0</v>
      </c>
      <c r="T427" t="s">
        <v>67</v>
      </c>
      <c r="U427" t="s">
        <v>67</v>
      </c>
      <c r="W427" t="str">
        <f>"400432"</f>
        <v>400432</v>
      </c>
      <c r="X427" t="s">
        <v>41</v>
      </c>
      <c r="AD427" s="2">
        <v>46223.611666666664</v>
      </c>
    </row>
    <row r="428" spans="1:30" x14ac:dyDescent="0.35">
      <c r="A428" t="s">
        <v>30</v>
      </c>
      <c r="B428" t="s">
        <v>31</v>
      </c>
      <c r="C428" t="s">
        <v>908</v>
      </c>
      <c r="D428" t="s">
        <v>33</v>
      </c>
      <c r="E428" t="str">
        <f>"400432"</f>
        <v>400432</v>
      </c>
      <c r="F428" t="s">
        <v>889</v>
      </c>
      <c r="G428">
        <v>4</v>
      </c>
      <c r="H428">
        <v>0</v>
      </c>
      <c r="I428" t="s">
        <v>909</v>
      </c>
      <c r="J428" t="str">
        <f>"153000421"</f>
        <v>153000421</v>
      </c>
      <c r="K428" s="1">
        <v>48026</v>
      </c>
      <c r="M428" s="1">
        <v>46201</v>
      </c>
      <c r="N428" t="str">
        <f>"1329001963"</f>
        <v>1329001963</v>
      </c>
      <c r="O428">
        <v>4</v>
      </c>
      <c r="P428" s="2">
        <v>46223.565868055557</v>
      </c>
      <c r="Q428" s="2">
        <v>46223.612129629626</v>
      </c>
      <c r="R428" s="2">
        <v>46223.565868055557</v>
      </c>
      <c r="S428">
        <v>0</v>
      </c>
      <c r="T428" t="s">
        <v>67</v>
      </c>
      <c r="U428" t="s">
        <v>67</v>
      </c>
      <c r="W428" t="str">
        <f>"400432"</f>
        <v>400432</v>
      </c>
      <c r="X428" t="s">
        <v>41</v>
      </c>
      <c r="AD428" s="2">
        <v>46223.612129629626</v>
      </c>
    </row>
    <row r="429" spans="1:30" x14ac:dyDescent="0.35">
      <c r="A429" t="s">
        <v>30</v>
      </c>
      <c r="B429" t="s">
        <v>31</v>
      </c>
      <c r="C429" t="s">
        <v>910</v>
      </c>
      <c r="D429" t="s">
        <v>33</v>
      </c>
      <c r="E429" t="str">
        <f>"400432"</f>
        <v>400432</v>
      </c>
      <c r="F429" t="s">
        <v>889</v>
      </c>
      <c r="G429">
        <v>4</v>
      </c>
      <c r="H429">
        <v>0</v>
      </c>
      <c r="I429" t="s">
        <v>911</v>
      </c>
      <c r="J429" t="str">
        <f>"153000358"</f>
        <v>153000358</v>
      </c>
      <c r="K429" s="1">
        <v>48005</v>
      </c>
      <c r="M429" s="1">
        <v>46180</v>
      </c>
      <c r="N429" t="str">
        <f>"1329001963"</f>
        <v>1329001963</v>
      </c>
      <c r="O429">
        <v>4</v>
      </c>
      <c r="P429" s="2">
        <v>46223.564363425925</v>
      </c>
      <c r="Q429" s="2">
        <v>46223.612627314818</v>
      </c>
      <c r="R429" s="2">
        <v>46223.564363425925</v>
      </c>
      <c r="S429">
        <v>0</v>
      </c>
      <c r="T429" t="s">
        <v>67</v>
      </c>
      <c r="U429" t="s">
        <v>67</v>
      </c>
      <c r="W429" t="str">
        <f>"400432"</f>
        <v>400432</v>
      </c>
      <c r="X429" t="s">
        <v>41</v>
      </c>
      <c r="AD429" s="2">
        <v>46223.612627314818</v>
      </c>
    </row>
    <row r="430" spans="1:30" x14ac:dyDescent="0.35">
      <c r="A430" t="s">
        <v>30</v>
      </c>
      <c r="B430" t="s">
        <v>31</v>
      </c>
      <c r="C430" t="s">
        <v>912</v>
      </c>
      <c r="D430" t="s">
        <v>33</v>
      </c>
      <c r="E430" t="str">
        <f>"400445"</f>
        <v>400445</v>
      </c>
      <c r="F430" t="s">
        <v>424</v>
      </c>
      <c r="G430">
        <v>4</v>
      </c>
      <c r="H430">
        <v>0</v>
      </c>
      <c r="I430" t="s">
        <v>913</v>
      </c>
      <c r="J430" t="str">
        <f>"153000452"</f>
        <v>153000452</v>
      </c>
      <c r="K430" s="1">
        <v>48041</v>
      </c>
      <c r="M430" s="1">
        <v>46216</v>
      </c>
      <c r="N430" t="str">
        <f>"1329001972"</f>
        <v>1329001972</v>
      </c>
      <c r="O430">
        <v>4</v>
      </c>
      <c r="P430" s="2">
        <v>46223.561030092591</v>
      </c>
      <c r="Q430" s="2">
        <v>46223.613136574073</v>
      </c>
      <c r="R430" s="2">
        <v>46223.561030092591</v>
      </c>
      <c r="S430">
        <v>0</v>
      </c>
      <c r="T430" t="s">
        <v>67</v>
      </c>
      <c r="U430" t="s">
        <v>67</v>
      </c>
      <c r="W430" t="str">
        <f>"400445"</f>
        <v>400445</v>
      </c>
      <c r="X430" t="s">
        <v>41</v>
      </c>
      <c r="AD430" s="2">
        <v>46223.613136574073</v>
      </c>
    </row>
    <row r="431" spans="1:30" x14ac:dyDescent="0.35">
      <c r="A431" t="s">
        <v>30</v>
      </c>
      <c r="B431" t="s">
        <v>31</v>
      </c>
      <c r="C431" t="s">
        <v>914</v>
      </c>
      <c r="D431" t="s">
        <v>33</v>
      </c>
      <c r="E431" t="str">
        <f>"400445"</f>
        <v>400445</v>
      </c>
      <c r="F431" t="s">
        <v>424</v>
      </c>
      <c r="G431">
        <v>4</v>
      </c>
      <c r="H431">
        <v>0</v>
      </c>
      <c r="I431" t="s">
        <v>915</v>
      </c>
      <c r="J431" t="str">
        <f>"153000452"</f>
        <v>153000452</v>
      </c>
      <c r="K431" s="1">
        <v>48041</v>
      </c>
      <c r="M431" s="1">
        <v>46216</v>
      </c>
      <c r="N431" t="str">
        <f>"1329001972"</f>
        <v>1329001972</v>
      </c>
      <c r="O431">
        <v>4</v>
      </c>
      <c r="P431" s="2">
        <v>46223.560879629629</v>
      </c>
      <c r="Q431" s="2">
        <v>46223.613587962966</v>
      </c>
      <c r="R431" s="2">
        <v>46223.560879629629</v>
      </c>
      <c r="S431">
        <v>0</v>
      </c>
      <c r="T431" t="s">
        <v>67</v>
      </c>
      <c r="U431" t="s">
        <v>67</v>
      </c>
      <c r="W431" t="str">
        <f>"400445"</f>
        <v>400445</v>
      </c>
      <c r="X431" t="s">
        <v>41</v>
      </c>
      <c r="AD431" s="2">
        <v>46223.613587962966</v>
      </c>
    </row>
    <row r="432" spans="1:30" x14ac:dyDescent="0.35">
      <c r="A432" t="s">
        <v>30</v>
      </c>
      <c r="B432" t="s">
        <v>31</v>
      </c>
      <c r="C432" t="s">
        <v>916</v>
      </c>
      <c r="D432" t="s">
        <v>33</v>
      </c>
      <c r="E432" t="str">
        <f t="shared" ref="E432:E438" si="66">"400432"</f>
        <v>400432</v>
      </c>
      <c r="F432" t="s">
        <v>889</v>
      </c>
      <c r="G432">
        <v>4</v>
      </c>
      <c r="H432">
        <v>0</v>
      </c>
      <c r="I432" t="s">
        <v>917</v>
      </c>
      <c r="J432" t="str">
        <f>"153000421"</f>
        <v>153000421</v>
      </c>
      <c r="K432" s="1">
        <v>48026</v>
      </c>
      <c r="M432" s="1">
        <v>46201</v>
      </c>
      <c r="N432" t="str">
        <f t="shared" ref="N432:N438" si="67">"1329001963"</f>
        <v>1329001963</v>
      </c>
      <c r="O432">
        <v>4</v>
      </c>
      <c r="P432" s="2">
        <v>46223.565752314818</v>
      </c>
      <c r="Q432" s="2">
        <v>46223.614108796297</v>
      </c>
      <c r="R432" s="2">
        <v>46223.565752314818</v>
      </c>
      <c r="S432">
        <v>0</v>
      </c>
      <c r="T432" t="s">
        <v>67</v>
      </c>
      <c r="U432" t="s">
        <v>67</v>
      </c>
      <c r="W432" t="str">
        <f t="shared" ref="W432:W438" si="68">"400432"</f>
        <v>400432</v>
      </c>
      <c r="X432" t="s">
        <v>41</v>
      </c>
      <c r="AD432" s="2">
        <v>46223.614108796297</v>
      </c>
    </row>
    <row r="433" spans="1:30" x14ac:dyDescent="0.35">
      <c r="A433" t="s">
        <v>30</v>
      </c>
      <c r="B433" t="s">
        <v>31</v>
      </c>
      <c r="C433" t="s">
        <v>918</v>
      </c>
      <c r="D433" t="s">
        <v>33</v>
      </c>
      <c r="E433" t="str">
        <f t="shared" si="66"/>
        <v>400432</v>
      </c>
      <c r="F433" t="s">
        <v>889</v>
      </c>
      <c r="G433">
        <v>4</v>
      </c>
      <c r="H433">
        <v>0</v>
      </c>
      <c r="I433" t="s">
        <v>919</v>
      </c>
      <c r="J433" t="str">
        <f>"153000358"</f>
        <v>153000358</v>
      </c>
      <c r="K433" s="1">
        <v>48005</v>
      </c>
      <c r="M433" s="1">
        <v>46180</v>
      </c>
      <c r="N433" t="str">
        <f t="shared" si="67"/>
        <v>1329001963</v>
      </c>
      <c r="O433">
        <v>4</v>
      </c>
      <c r="P433" s="2">
        <v>46223.565682870372</v>
      </c>
      <c r="Q433" s="2">
        <v>46223.61451388889</v>
      </c>
      <c r="R433" s="2">
        <v>46223.565682870372</v>
      </c>
      <c r="S433">
        <v>0</v>
      </c>
      <c r="T433" t="s">
        <v>67</v>
      </c>
      <c r="U433" t="s">
        <v>67</v>
      </c>
      <c r="W433" t="str">
        <f t="shared" si="68"/>
        <v>400432</v>
      </c>
      <c r="X433" t="s">
        <v>41</v>
      </c>
      <c r="AD433" s="2">
        <v>46223.61451388889</v>
      </c>
    </row>
    <row r="434" spans="1:30" x14ac:dyDescent="0.35">
      <c r="A434" t="s">
        <v>30</v>
      </c>
      <c r="B434" t="s">
        <v>31</v>
      </c>
      <c r="C434" t="s">
        <v>920</v>
      </c>
      <c r="D434" t="s">
        <v>33</v>
      </c>
      <c r="E434" t="str">
        <f t="shared" si="66"/>
        <v>400432</v>
      </c>
      <c r="F434" t="s">
        <v>889</v>
      </c>
      <c r="G434">
        <v>4</v>
      </c>
      <c r="H434">
        <v>0</v>
      </c>
      <c r="I434" t="s">
        <v>921</v>
      </c>
      <c r="J434" t="str">
        <f>"153000358"</f>
        <v>153000358</v>
      </c>
      <c r="K434" s="1">
        <v>48005</v>
      </c>
      <c r="M434" s="1">
        <v>46180</v>
      </c>
      <c r="N434" t="str">
        <f t="shared" si="67"/>
        <v>1329001963</v>
      </c>
      <c r="O434">
        <v>4</v>
      </c>
      <c r="P434" s="2">
        <v>46223.565115740741</v>
      </c>
      <c r="Q434" s="2">
        <v>46223.614965277775</v>
      </c>
      <c r="R434" s="2">
        <v>46223.565115740741</v>
      </c>
      <c r="S434">
        <v>0</v>
      </c>
      <c r="T434" t="s">
        <v>67</v>
      </c>
      <c r="U434" t="s">
        <v>67</v>
      </c>
      <c r="W434" t="str">
        <f t="shared" si="68"/>
        <v>400432</v>
      </c>
      <c r="X434" t="s">
        <v>41</v>
      </c>
      <c r="AD434" s="2">
        <v>46223.614965277775</v>
      </c>
    </row>
    <row r="435" spans="1:30" x14ac:dyDescent="0.35">
      <c r="A435" t="s">
        <v>30</v>
      </c>
      <c r="B435" t="s">
        <v>31</v>
      </c>
      <c r="C435" t="s">
        <v>922</v>
      </c>
      <c r="D435" t="s">
        <v>33</v>
      </c>
      <c r="E435" t="str">
        <f t="shared" si="66"/>
        <v>400432</v>
      </c>
      <c r="F435" t="s">
        <v>889</v>
      </c>
      <c r="G435">
        <v>4</v>
      </c>
      <c r="H435">
        <v>0</v>
      </c>
      <c r="I435" t="s">
        <v>923</v>
      </c>
      <c r="J435" t="str">
        <f>"153000421"</f>
        <v>153000421</v>
      </c>
      <c r="K435" s="1">
        <v>48026</v>
      </c>
      <c r="M435" s="1">
        <v>46201</v>
      </c>
      <c r="N435" t="str">
        <f t="shared" si="67"/>
        <v>1329001963</v>
      </c>
      <c r="O435">
        <v>4</v>
      </c>
      <c r="P435" s="2">
        <v>46223.564988425926</v>
      </c>
      <c r="Q435" s="2">
        <v>46223.615439814814</v>
      </c>
      <c r="R435" s="2">
        <v>46223.564988425926</v>
      </c>
      <c r="S435">
        <v>0</v>
      </c>
      <c r="T435" t="s">
        <v>67</v>
      </c>
      <c r="U435" t="s">
        <v>67</v>
      </c>
      <c r="W435" t="str">
        <f t="shared" si="68"/>
        <v>400432</v>
      </c>
      <c r="X435" t="s">
        <v>41</v>
      </c>
      <c r="AD435" s="2">
        <v>46223.615439814814</v>
      </c>
    </row>
    <row r="436" spans="1:30" x14ac:dyDescent="0.35">
      <c r="A436" t="s">
        <v>30</v>
      </c>
      <c r="B436" t="s">
        <v>31</v>
      </c>
      <c r="C436" t="s">
        <v>924</v>
      </c>
      <c r="D436" t="s">
        <v>33</v>
      </c>
      <c r="E436" t="str">
        <f t="shared" si="66"/>
        <v>400432</v>
      </c>
      <c r="F436" t="s">
        <v>889</v>
      </c>
      <c r="G436">
        <v>4</v>
      </c>
      <c r="H436">
        <v>0</v>
      </c>
      <c r="I436" t="s">
        <v>925</v>
      </c>
      <c r="J436" t="str">
        <f>"153000358"</f>
        <v>153000358</v>
      </c>
      <c r="K436" s="1">
        <v>48005</v>
      </c>
      <c r="M436" s="1">
        <v>46180</v>
      </c>
      <c r="N436" t="str">
        <f t="shared" si="67"/>
        <v>1329001963</v>
      </c>
      <c r="O436">
        <v>4</v>
      </c>
      <c r="P436" s="2">
        <v>46223.56490740741</v>
      </c>
      <c r="Q436" s="2">
        <v>46223.615914351853</v>
      </c>
      <c r="R436" s="2">
        <v>46223.56490740741</v>
      </c>
      <c r="S436">
        <v>0</v>
      </c>
      <c r="T436" t="s">
        <v>67</v>
      </c>
      <c r="U436" t="s">
        <v>67</v>
      </c>
      <c r="W436" t="str">
        <f t="shared" si="68"/>
        <v>400432</v>
      </c>
      <c r="X436" t="s">
        <v>41</v>
      </c>
      <c r="AD436" s="2">
        <v>46223.615914351853</v>
      </c>
    </row>
    <row r="437" spans="1:30" x14ac:dyDescent="0.35">
      <c r="A437" t="s">
        <v>30</v>
      </c>
      <c r="B437" t="s">
        <v>31</v>
      </c>
      <c r="C437" t="s">
        <v>926</v>
      </c>
      <c r="D437" t="s">
        <v>33</v>
      </c>
      <c r="E437" t="str">
        <f t="shared" si="66"/>
        <v>400432</v>
      </c>
      <c r="F437" t="s">
        <v>889</v>
      </c>
      <c r="G437">
        <v>4</v>
      </c>
      <c r="H437">
        <v>0</v>
      </c>
      <c r="I437" t="s">
        <v>927</v>
      </c>
      <c r="J437" t="str">
        <f>"153000421"</f>
        <v>153000421</v>
      </c>
      <c r="K437" s="1">
        <v>48026</v>
      </c>
      <c r="M437" s="1">
        <v>46201</v>
      </c>
      <c r="N437" t="str">
        <f t="shared" si="67"/>
        <v>1329001963</v>
      </c>
      <c r="O437">
        <v>4</v>
      </c>
      <c r="P437" s="2">
        <v>46223.564780092594</v>
      </c>
      <c r="Q437" s="2">
        <v>46223.616990740738</v>
      </c>
      <c r="R437" s="2">
        <v>46223.564780092594</v>
      </c>
      <c r="S437">
        <v>0</v>
      </c>
      <c r="T437" t="s">
        <v>67</v>
      </c>
      <c r="U437" t="s">
        <v>67</v>
      </c>
      <c r="W437" t="str">
        <f t="shared" si="68"/>
        <v>400432</v>
      </c>
      <c r="X437" t="s">
        <v>41</v>
      </c>
      <c r="AD437" s="2">
        <v>46223.616990740738</v>
      </c>
    </row>
    <row r="438" spans="1:30" x14ac:dyDescent="0.35">
      <c r="A438" t="s">
        <v>30</v>
      </c>
      <c r="B438" t="s">
        <v>31</v>
      </c>
      <c r="C438" t="s">
        <v>928</v>
      </c>
      <c r="D438" t="s">
        <v>33</v>
      </c>
      <c r="E438" t="str">
        <f t="shared" si="66"/>
        <v>400432</v>
      </c>
      <c r="F438" t="s">
        <v>889</v>
      </c>
      <c r="G438">
        <v>4</v>
      </c>
      <c r="H438">
        <v>0</v>
      </c>
      <c r="I438" t="s">
        <v>929</v>
      </c>
      <c r="J438" t="str">
        <f>"153000358"</f>
        <v>153000358</v>
      </c>
      <c r="K438" s="1">
        <v>48005</v>
      </c>
      <c r="M438" s="1">
        <v>46180</v>
      </c>
      <c r="N438" t="str">
        <f t="shared" si="67"/>
        <v>1329001963</v>
      </c>
      <c r="O438">
        <v>4</v>
      </c>
      <c r="P438" s="2">
        <v>46223.56459490741</v>
      </c>
      <c r="Q438" s="2">
        <v>46223.61791666667</v>
      </c>
      <c r="R438" s="2">
        <v>46223.56459490741</v>
      </c>
      <c r="S438">
        <v>0</v>
      </c>
      <c r="T438" t="s">
        <v>67</v>
      </c>
      <c r="U438" t="s">
        <v>67</v>
      </c>
      <c r="W438" t="str">
        <f t="shared" si="68"/>
        <v>400432</v>
      </c>
      <c r="X438" t="s">
        <v>41</v>
      </c>
      <c r="AD438" s="2">
        <v>46223.61791666667</v>
      </c>
    </row>
    <row r="439" spans="1:30" x14ac:dyDescent="0.35">
      <c r="A439" t="s">
        <v>30</v>
      </c>
      <c r="B439" t="s">
        <v>31</v>
      </c>
      <c r="C439" t="s">
        <v>930</v>
      </c>
      <c r="D439" t="s">
        <v>33</v>
      </c>
      <c r="E439" t="str">
        <f>"400445"</f>
        <v>400445</v>
      </c>
      <c r="F439" t="s">
        <v>424</v>
      </c>
      <c r="G439">
        <v>4</v>
      </c>
      <c r="H439">
        <v>0</v>
      </c>
      <c r="I439" t="s">
        <v>931</v>
      </c>
      <c r="J439" t="str">
        <f>"153000452"</f>
        <v>153000452</v>
      </c>
      <c r="K439" s="1">
        <v>48041</v>
      </c>
      <c r="M439" s="1">
        <v>46216</v>
      </c>
      <c r="N439" t="str">
        <f>"1329001972"</f>
        <v>1329001972</v>
      </c>
      <c r="O439">
        <v>4</v>
      </c>
      <c r="P439" s="2">
        <v>46223.558657407404</v>
      </c>
      <c r="Q439" s="2">
        <v>46223.62059027778</v>
      </c>
      <c r="R439" s="2">
        <v>46223.558657407404</v>
      </c>
      <c r="S439">
        <v>0</v>
      </c>
      <c r="T439" t="s">
        <v>67</v>
      </c>
      <c r="U439" t="s">
        <v>67</v>
      </c>
      <c r="W439" t="str">
        <f>"400445"</f>
        <v>400445</v>
      </c>
      <c r="X439" t="s">
        <v>41</v>
      </c>
      <c r="AD439" s="2">
        <v>46223.62059027778</v>
      </c>
    </row>
    <row r="440" spans="1:30" x14ac:dyDescent="0.35">
      <c r="A440" t="s">
        <v>30</v>
      </c>
      <c r="B440" t="s">
        <v>31</v>
      </c>
      <c r="C440" t="s">
        <v>932</v>
      </c>
      <c r="D440" t="s">
        <v>33</v>
      </c>
      <c r="E440" t="str">
        <f>"400445"</f>
        <v>400445</v>
      </c>
      <c r="F440" t="s">
        <v>424</v>
      </c>
      <c r="G440">
        <v>4</v>
      </c>
      <c r="H440">
        <v>0</v>
      </c>
      <c r="I440" t="s">
        <v>933</v>
      </c>
      <c r="J440" t="str">
        <f>"153000452"</f>
        <v>153000452</v>
      </c>
      <c r="K440" s="1">
        <v>48041</v>
      </c>
      <c r="M440" s="1">
        <v>46216</v>
      </c>
      <c r="N440" t="str">
        <f>"1329001972"</f>
        <v>1329001972</v>
      </c>
      <c r="O440">
        <v>4</v>
      </c>
      <c r="P440" s="2">
        <v>46223.561157407406</v>
      </c>
      <c r="Q440" s="2">
        <v>46223.621365740742</v>
      </c>
      <c r="R440" s="2">
        <v>46223.561157407406</v>
      </c>
      <c r="S440">
        <v>0</v>
      </c>
      <c r="T440" t="s">
        <v>67</v>
      </c>
      <c r="U440" t="s">
        <v>67</v>
      </c>
      <c r="W440" t="str">
        <f>"400445"</f>
        <v>400445</v>
      </c>
      <c r="X440" t="s">
        <v>41</v>
      </c>
      <c r="AD440" s="2">
        <v>46223.621365740742</v>
      </c>
    </row>
    <row r="441" spans="1:30" x14ac:dyDescent="0.35">
      <c r="A441" t="s">
        <v>30</v>
      </c>
      <c r="B441" t="s">
        <v>31</v>
      </c>
      <c r="C441" t="s">
        <v>934</v>
      </c>
      <c r="D441" t="s">
        <v>33</v>
      </c>
      <c r="E441" t="str">
        <f>"400445"</f>
        <v>400445</v>
      </c>
      <c r="F441" t="s">
        <v>424</v>
      </c>
      <c r="G441">
        <v>4</v>
      </c>
      <c r="H441">
        <v>0</v>
      </c>
      <c r="I441" t="s">
        <v>935</v>
      </c>
      <c r="J441" t="str">
        <f>"153000452"</f>
        <v>153000452</v>
      </c>
      <c r="K441" s="1">
        <v>48041</v>
      </c>
      <c r="M441" s="1">
        <v>46216</v>
      </c>
      <c r="N441" t="str">
        <f>"1329001972"</f>
        <v>1329001972</v>
      </c>
      <c r="O441">
        <v>4</v>
      </c>
      <c r="P441" s="2">
        <v>46223.558541666665</v>
      </c>
      <c r="Q441" s="2">
        <v>46223.621886574074</v>
      </c>
      <c r="R441" s="2">
        <v>46223.558541666665</v>
      </c>
      <c r="S441">
        <v>0</v>
      </c>
      <c r="T441" t="s">
        <v>67</v>
      </c>
      <c r="U441" t="s">
        <v>67</v>
      </c>
      <c r="W441" t="str">
        <f>"400445"</f>
        <v>400445</v>
      </c>
      <c r="X441" t="s">
        <v>41</v>
      </c>
      <c r="AD441" s="2">
        <v>46223.621886574074</v>
      </c>
    </row>
    <row r="442" spans="1:30" x14ac:dyDescent="0.35">
      <c r="A442" t="s">
        <v>30</v>
      </c>
      <c r="B442" t="s">
        <v>31</v>
      </c>
      <c r="C442" t="s">
        <v>936</v>
      </c>
      <c r="D442" t="s">
        <v>33</v>
      </c>
      <c r="E442" t="str">
        <f>"400445"</f>
        <v>400445</v>
      </c>
      <c r="F442" t="s">
        <v>424</v>
      </c>
      <c r="G442">
        <v>4</v>
      </c>
      <c r="H442">
        <v>0</v>
      </c>
      <c r="I442" t="s">
        <v>937</v>
      </c>
      <c r="J442" t="str">
        <f>"153000452"</f>
        <v>153000452</v>
      </c>
      <c r="K442" s="1">
        <v>48041</v>
      </c>
      <c r="M442" s="1">
        <v>46216</v>
      </c>
      <c r="N442" t="str">
        <f>"1329001972"</f>
        <v>1329001972</v>
      </c>
      <c r="O442">
        <v>4</v>
      </c>
      <c r="P442" s="2">
        <v>46223.561273148145</v>
      </c>
      <c r="Q442" s="2">
        <v>46223.62395833333</v>
      </c>
      <c r="R442" s="2">
        <v>46223.561273148145</v>
      </c>
      <c r="S442">
        <v>0</v>
      </c>
      <c r="T442" t="s">
        <v>67</v>
      </c>
      <c r="U442" t="s">
        <v>67</v>
      </c>
      <c r="W442" t="str">
        <f>"400445"</f>
        <v>400445</v>
      </c>
      <c r="X442" t="s">
        <v>41</v>
      </c>
      <c r="AD442" s="2">
        <v>46223.62395833333</v>
      </c>
    </row>
    <row r="443" spans="1:30" x14ac:dyDescent="0.35">
      <c r="A443" t="s">
        <v>30</v>
      </c>
      <c r="B443" t="s">
        <v>31</v>
      </c>
      <c r="C443" t="s">
        <v>938</v>
      </c>
      <c r="D443" t="s">
        <v>33</v>
      </c>
      <c r="E443" t="str">
        <f t="shared" ref="E443:E464" si="69">"400426"</f>
        <v>400426</v>
      </c>
      <c r="F443" t="s">
        <v>34</v>
      </c>
      <c r="G443">
        <v>24</v>
      </c>
      <c r="H443">
        <v>0</v>
      </c>
      <c r="I443" t="s">
        <v>939</v>
      </c>
      <c r="J443" t="str">
        <f>"153000403"</f>
        <v>153000403</v>
      </c>
      <c r="K443" s="1">
        <v>48016</v>
      </c>
      <c r="M443" s="1">
        <v>46191</v>
      </c>
      <c r="N443" t="str">
        <f t="shared" ref="N443:N464" si="70">"1329001978"</f>
        <v>1329001978</v>
      </c>
      <c r="O443">
        <v>24</v>
      </c>
      <c r="P443" s="2">
        <v>46224.584618055553</v>
      </c>
      <c r="Q443" s="2">
        <v>46224.943437499998</v>
      </c>
      <c r="R443" s="2">
        <v>46224.584618055553</v>
      </c>
      <c r="S443">
        <v>0</v>
      </c>
      <c r="T443" t="s">
        <v>67</v>
      </c>
      <c r="U443" t="s">
        <v>67</v>
      </c>
      <c r="W443" t="str">
        <f t="shared" ref="W443:W464" si="71">"400426"</f>
        <v>400426</v>
      </c>
      <c r="X443" t="s">
        <v>37</v>
      </c>
      <c r="AD443" s="2">
        <v>46224.943437499998</v>
      </c>
    </row>
    <row r="444" spans="1:30" x14ac:dyDescent="0.35">
      <c r="A444" t="s">
        <v>30</v>
      </c>
      <c r="B444" t="s">
        <v>31</v>
      </c>
      <c r="C444" t="s">
        <v>940</v>
      </c>
      <c r="D444" t="s">
        <v>33</v>
      </c>
      <c r="E444" t="str">
        <f t="shared" si="69"/>
        <v>400426</v>
      </c>
      <c r="F444" t="s">
        <v>34</v>
      </c>
      <c r="G444">
        <v>24</v>
      </c>
      <c r="H444">
        <v>0</v>
      </c>
      <c r="I444" t="s">
        <v>941</v>
      </c>
      <c r="J444" t="str">
        <f>"153000403"</f>
        <v>153000403</v>
      </c>
      <c r="K444" s="1">
        <v>48016</v>
      </c>
      <c r="M444" s="1">
        <v>46191</v>
      </c>
      <c r="N444" t="str">
        <f t="shared" si="70"/>
        <v>1329001978</v>
      </c>
      <c r="O444">
        <v>24</v>
      </c>
      <c r="P444" s="2">
        <v>46224.584699074076</v>
      </c>
      <c r="Q444" s="2">
        <v>46224.944490740738</v>
      </c>
      <c r="R444" s="2">
        <v>46224.584699074076</v>
      </c>
      <c r="S444">
        <v>0</v>
      </c>
      <c r="T444" t="s">
        <v>67</v>
      </c>
      <c r="U444" t="s">
        <v>67</v>
      </c>
      <c r="W444" t="str">
        <f t="shared" si="71"/>
        <v>400426</v>
      </c>
      <c r="X444" t="s">
        <v>37</v>
      </c>
      <c r="AD444" s="2">
        <v>46224.944490740738</v>
      </c>
    </row>
    <row r="445" spans="1:30" x14ac:dyDescent="0.35">
      <c r="A445" t="s">
        <v>30</v>
      </c>
      <c r="B445" t="s">
        <v>31</v>
      </c>
      <c r="C445" t="s">
        <v>942</v>
      </c>
      <c r="D445" t="s">
        <v>33</v>
      </c>
      <c r="E445" t="str">
        <f t="shared" si="69"/>
        <v>400426</v>
      </c>
      <c r="F445" t="s">
        <v>34</v>
      </c>
      <c r="G445">
        <v>24</v>
      </c>
      <c r="H445">
        <v>0</v>
      </c>
      <c r="I445" t="s">
        <v>943</v>
      </c>
      <c r="J445" t="str">
        <f>"153000403"</f>
        <v>153000403</v>
      </c>
      <c r="K445" s="1">
        <v>48016</v>
      </c>
      <c r="M445" s="1">
        <v>46191</v>
      </c>
      <c r="N445" t="str">
        <f t="shared" si="70"/>
        <v>1329001978</v>
      </c>
      <c r="O445">
        <v>24</v>
      </c>
      <c r="P445" s="2">
        <v>46224.582499999997</v>
      </c>
      <c r="Q445" s="2">
        <v>46224.945416666669</v>
      </c>
      <c r="R445" s="2">
        <v>46224.582499999997</v>
      </c>
      <c r="S445">
        <v>0</v>
      </c>
      <c r="T445" t="s">
        <v>67</v>
      </c>
      <c r="U445" t="s">
        <v>67</v>
      </c>
      <c r="W445" t="str">
        <f t="shared" si="71"/>
        <v>400426</v>
      </c>
      <c r="X445" t="s">
        <v>37</v>
      </c>
      <c r="AD445" s="2">
        <v>46224.945416666669</v>
      </c>
    </row>
    <row r="446" spans="1:30" x14ac:dyDescent="0.35">
      <c r="A446" t="s">
        <v>30</v>
      </c>
      <c r="B446" t="s">
        <v>31</v>
      </c>
      <c r="C446" t="s">
        <v>944</v>
      </c>
      <c r="D446" t="s">
        <v>33</v>
      </c>
      <c r="E446" t="str">
        <f t="shared" si="69"/>
        <v>400426</v>
      </c>
      <c r="F446" t="s">
        <v>34</v>
      </c>
      <c r="G446">
        <v>24</v>
      </c>
      <c r="H446">
        <v>0</v>
      </c>
      <c r="I446" t="s">
        <v>945</v>
      </c>
      <c r="J446" t="str">
        <f>"153000403"</f>
        <v>153000403</v>
      </c>
      <c r="K446" s="1">
        <v>48016</v>
      </c>
      <c r="M446" s="1">
        <v>46191</v>
      </c>
      <c r="N446" t="str">
        <f t="shared" si="70"/>
        <v>1329001978</v>
      </c>
      <c r="O446">
        <v>24</v>
      </c>
      <c r="P446" s="2">
        <v>46224.584768518522</v>
      </c>
      <c r="Q446" s="2">
        <v>46224.946469907409</v>
      </c>
      <c r="R446" s="2">
        <v>46224.584768518522</v>
      </c>
      <c r="S446">
        <v>0</v>
      </c>
      <c r="T446" t="s">
        <v>67</v>
      </c>
      <c r="U446" t="s">
        <v>67</v>
      </c>
      <c r="W446" t="str">
        <f t="shared" si="71"/>
        <v>400426</v>
      </c>
      <c r="X446" t="s">
        <v>37</v>
      </c>
      <c r="AD446" s="2">
        <v>46224.946469907409</v>
      </c>
    </row>
    <row r="447" spans="1:30" x14ac:dyDescent="0.35">
      <c r="A447" t="s">
        <v>30</v>
      </c>
      <c r="B447" t="s">
        <v>31</v>
      </c>
      <c r="C447" t="s">
        <v>946</v>
      </c>
      <c r="D447" t="s">
        <v>33</v>
      </c>
      <c r="E447" t="str">
        <f t="shared" si="69"/>
        <v>400426</v>
      </c>
      <c r="F447" t="s">
        <v>34</v>
      </c>
      <c r="G447">
        <v>24</v>
      </c>
      <c r="H447">
        <v>0</v>
      </c>
      <c r="I447" t="s">
        <v>947</v>
      </c>
      <c r="J447" t="str">
        <f>"153000403"</f>
        <v>153000403</v>
      </c>
      <c r="K447" s="1">
        <v>48016</v>
      </c>
      <c r="M447" s="1">
        <v>46191</v>
      </c>
      <c r="N447" t="str">
        <f t="shared" si="70"/>
        <v>1329001978</v>
      </c>
      <c r="O447">
        <v>24</v>
      </c>
      <c r="P447" s="2">
        <v>46224.584907407407</v>
      </c>
      <c r="Q447" s="2">
        <v>46224.947569444441</v>
      </c>
      <c r="R447" s="2">
        <v>46224.584907407407</v>
      </c>
      <c r="S447">
        <v>0</v>
      </c>
      <c r="T447" t="s">
        <v>67</v>
      </c>
      <c r="U447" t="s">
        <v>67</v>
      </c>
      <c r="W447" t="str">
        <f t="shared" si="71"/>
        <v>400426</v>
      </c>
      <c r="X447" t="s">
        <v>37</v>
      </c>
      <c r="AD447" s="2">
        <v>46224.947569444441</v>
      </c>
    </row>
    <row r="448" spans="1:30" x14ac:dyDescent="0.35">
      <c r="A448" t="s">
        <v>30</v>
      </c>
      <c r="B448" t="s">
        <v>31</v>
      </c>
      <c r="C448" t="s">
        <v>948</v>
      </c>
      <c r="D448" t="s">
        <v>33</v>
      </c>
      <c r="E448" t="str">
        <f t="shared" si="69"/>
        <v>400426</v>
      </c>
      <c r="F448" t="s">
        <v>34</v>
      </c>
      <c r="G448">
        <v>24</v>
      </c>
      <c r="H448">
        <v>0</v>
      </c>
      <c r="I448" t="s">
        <v>949</v>
      </c>
      <c r="J448" t="str">
        <f>"153000404"</f>
        <v>153000404</v>
      </c>
      <c r="K448" s="1">
        <v>48018</v>
      </c>
      <c r="M448" s="1">
        <v>46193</v>
      </c>
      <c r="N448" t="str">
        <f t="shared" si="70"/>
        <v>1329001978</v>
      </c>
      <c r="O448">
        <v>24</v>
      </c>
      <c r="P448" s="2">
        <v>46224.582615740743</v>
      </c>
      <c r="Q448" s="2">
        <v>46224.948541666665</v>
      </c>
      <c r="R448" s="2">
        <v>46224.582615740743</v>
      </c>
      <c r="S448">
        <v>0</v>
      </c>
      <c r="T448" t="s">
        <v>67</v>
      </c>
      <c r="U448" t="s">
        <v>67</v>
      </c>
      <c r="W448" t="str">
        <f t="shared" si="71"/>
        <v>400426</v>
      </c>
      <c r="X448" t="s">
        <v>37</v>
      </c>
      <c r="AD448" s="2">
        <v>46224.948541666665</v>
      </c>
    </row>
    <row r="449" spans="1:30" x14ac:dyDescent="0.35">
      <c r="A449" t="s">
        <v>30</v>
      </c>
      <c r="B449" t="s">
        <v>31</v>
      </c>
      <c r="C449" t="s">
        <v>950</v>
      </c>
      <c r="D449" t="s">
        <v>33</v>
      </c>
      <c r="E449" t="str">
        <f t="shared" si="69"/>
        <v>400426</v>
      </c>
      <c r="F449" t="s">
        <v>34</v>
      </c>
      <c r="G449">
        <v>24</v>
      </c>
      <c r="H449">
        <v>0</v>
      </c>
      <c r="I449" t="s">
        <v>951</v>
      </c>
      <c r="J449" t="str">
        <f>"153000404"</f>
        <v>153000404</v>
      </c>
      <c r="K449" s="1">
        <v>48018</v>
      </c>
      <c r="M449" s="1">
        <v>46193</v>
      </c>
      <c r="N449" t="str">
        <f t="shared" si="70"/>
        <v>1329001978</v>
      </c>
      <c r="O449">
        <v>24</v>
      </c>
      <c r="P449" s="2">
        <v>46224.582731481481</v>
      </c>
      <c r="Q449" s="2">
        <v>46224.949976851851</v>
      </c>
      <c r="R449" s="2">
        <v>46224.582731481481</v>
      </c>
      <c r="S449">
        <v>0</v>
      </c>
      <c r="T449" t="s">
        <v>67</v>
      </c>
      <c r="U449" t="s">
        <v>67</v>
      </c>
      <c r="W449" t="str">
        <f t="shared" si="71"/>
        <v>400426</v>
      </c>
      <c r="X449" t="s">
        <v>37</v>
      </c>
      <c r="AD449" s="2">
        <v>46224.949976851851</v>
      </c>
    </row>
    <row r="450" spans="1:30" x14ac:dyDescent="0.35">
      <c r="A450" t="s">
        <v>30</v>
      </c>
      <c r="B450" t="s">
        <v>31</v>
      </c>
      <c r="C450" t="s">
        <v>952</v>
      </c>
      <c r="D450" t="s">
        <v>33</v>
      </c>
      <c r="E450" t="str">
        <f t="shared" si="69"/>
        <v>400426</v>
      </c>
      <c r="F450" t="s">
        <v>34</v>
      </c>
      <c r="G450">
        <v>24</v>
      </c>
      <c r="H450">
        <v>0</v>
      </c>
      <c r="I450" t="s">
        <v>953</v>
      </c>
      <c r="J450" t="str">
        <f>"153000405"</f>
        <v>153000405</v>
      </c>
      <c r="K450" s="1">
        <v>48020</v>
      </c>
      <c r="M450" s="1">
        <v>46195</v>
      </c>
      <c r="N450" t="str">
        <f t="shared" si="70"/>
        <v>1329001978</v>
      </c>
      <c r="O450">
        <v>24</v>
      </c>
      <c r="P450" s="2">
        <v>46224.582800925928</v>
      </c>
      <c r="Q450" s="2">
        <v>46224.951284722221</v>
      </c>
      <c r="R450" s="2">
        <v>46224.582800925928</v>
      </c>
      <c r="S450">
        <v>0</v>
      </c>
      <c r="T450" t="s">
        <v>67</v>
      </c>
      <c r="U450" t="s">
        <v>67</v>
      </c>
      <c r="W450" t="str">
        <f t="shared" si="71"/>
        <v>400426</v>
      </c>
      <c r="X450" t="s">
        <v>37</v>
      </c>
      <c r="AD450" s="2">
        <v>46224.951284722221</v>
      </c>
    </row>
    <row r="451" spans="1:30" x14ac:dyDescent="0.35">
      <c r="A451" t="s">
        <v>30</v>
      </c>
      <c r="B451" t="s">
        <v>31</v>
      </c>
      <c r="C451" t="s">
        <v>954</v>
      </c>
      <c r="D451" t="s">
        <v>33</v>
      </c>
      <c r="E451" t="str">
        <f t="shared" si="69"/>
        <v>400426</v>
      </c>
      <c r="F451" t="s">
        <v>34</v>
      </c>
      <c r="G451">
        <v>24</v>
      </c>
      <c r="H451">
        <v>0</v>
      </c>
      <c r="I451" t="s">
        <v>955</v>
      </c>
      <c r="J451" t="str">
        <f>"153000404"</f>
        <v>153000404</v>
      </c>
      <c r="K451" s="1">
        <v>48018</v>
      </c>
      <c r="M451" s="1">
        <v>46193</v>
      </c>
      <c r="N451" t="str">
        <f t="shared" si="70"/>
        <v>1329001978</v>
      </c>
      <c r="O451">
        <v>24</v>
      </c>
      <c r="P451" s="2">
        <v>46224.58289351852</v>
      </c>
      <c r="Q451" s="2">
        <v>46224.952488425923</v>
      </c>
      <c r="R451" s="2">
        <v>46224.58289351852</v>
      </c>
      <c r="S451">
        <v>0</v>
      </c>
      <c r="T451" t="s">
        <v>67</v>
      </c>
      <c r="U451" t="s">
        <v>67</v>
      </c>
      <c r="W451" t="str">
        <f t="shared" si="71"/>
        <v>400426</v>
      </c>
      <c r="X451" t="s">
        <v>37</v>
      </c>
      <c r="AD451" s="2">
        <v>46224.952488425923</v>
      </c>
    </row>
    <row r="452" spans="1:30" x14ac:dyDescent="0.35">
      <c r="A452" t="s">
        <v>30</v>
      </c>
      <c r="B452" t="s">
        <v>31</v>
      </c>
      <c r="C452" t="s">
        <v>956</v>
      </c>
      <c r="D452" t="s">
        <v>33</v>
      </c>
      <c r="E452" t="str">
        <f t="shared" si="69"/>
        <v>400426</v>
      </c>
      <c r="F452" t="s">
        <v>34</v>
      </c>
      <c r="G452">
        <v>24</v>
      </c>
      <c r="H452">
        <v>0</v>
      </c>
      <c r="I452" t="s">
        <v>957</v>
      </c>
      <c r="J452" t="str">
        <f>"153000405"</f>
        <v>153000405</v>
      </c>
      <c r="K452" s="1">
        <v>48020</v>
      </c>
      <c r="M452" s="1">
        <v>46195</v>
      </c>
      <c r="N452" t="str">
        <f t="shared" si="70"/>
        <v>1329001978</v>
      </c>
      <c r="O452">
        <v>24</v>
      </c>
      <c r="P452" s="2">
        <v>46224.582962962966</v>
      </c>
      <c r="Q452" s="2">
        <v>46224.953564814816</v>
      </c>
      <c r="R452" s="2">
        <v>46224.582962962966</v>
      </c>
      <c r="S452">
        <v>0</v>
      </c>
      <c r="T452" t="s">
        <v>67</v>
      </c>
      <c r="U452" t="s">
        <v>67</v>
      </c>
      <c r="W452" t="str">
        <f t="shared" si="71"/>
        <v>400426</v>
      </c>
      <c r="X452" t="s">
        <v>37</v>
      </c>
      <c r="AD452" s="2">
        <v>46224.953564814816</v>
      </c>
    </row>
    <row r="453" spans="1:30" x14ac:dyDescent="0.35">
      <c r="A453" t="s">
        <v>30</v>
      </c>
      <c r="B453" t="s">
        <v>31</v>
      </c>
      <c r="C453" t="s">
        <v>958</v>
      </c>
      <c r="D453" t="s">
        <v>33</v>
      </c>
      <c r="E453" t="str">
        <f t="shared" si="69"/>
        <v>400426</v>
      </c>
      <c r="F453" t="s">
        <v>34</v>
      </c>
      <c r="G453">
        <v>24</v>
      </c>
      <c r="H453">
        <v>0</v>
      </c>
      <c r="I453" t="s">
        <v>959</v>
      </c>
      <c r="J453" t="str">
        <f>"153000404"</f>
        <v>153000404</v>
      </c>
      <c r="K453" s="1">
        <v>48018</v>
      </c>
      <c r="M453" s="1">
        <v>46193</v>
      </c>
      <c r="N453" t="str">
        <f t="shared" si="70"/>
        <v>1329001978</v>
      </c>
      <c r="O453">
        <v>24</v>
      </c>
      <c r="P453" s="2">
        <v>46224.583043981482</v>
      </c>
      <c r="Q453" s="2">
        <v>46224.954675925925</v>
      </c>
      <c r="R453" s="2">
        <v>46224.583043981482</v>
      </c>
      <c r="S453">
        <v>0</v>
      </c>
      <c r="T453" t="s">
        <v>67</v>
      </c>
      <c r="U453" t="s">
        <v>67</v>
      </c>
      <c r="W453" t="str">
        <f t="shared" si="71"/>
        <v>400426</v>
      </c>
      <c r="X453" t="s">
        <v>37</v>
      </c>
      <c r="AD453" s="2">
        <v>46224.954675925925</v>
      </c>
    </row>
    <row r="454" spans="1:30" x14ac:dyDescent="0.35">
      <c r="A454" t="s">
        <v>30</v>
      </c>
      <c r="B454" t="s">
        <v>31</v>
      </c>
      <c r="C454" t="s">
        <v>960</v>
      </c>
      <c r="D454" t="s">
        <v>33</v>
      </c>
      <c r="E454" t="str">
        <f t="shared" si="69"/>
        <v>400426</v>
      </c>
      <c r="F454" t="s">
        <v>34</v>
      </c>
      <c r="G454">
        <v>24</v>
      </c>
      <c r="H454">
        <v>0</v>
      </c>
      <c r="I454" t="s">
        <v>961</v>
      </c>
      <c r="J454" t="str">
        <f>"153000404"</f>
        <v>153000404</v>
      </c>
      <c r="K454" s="1">
        <v>48018</v>
      </c>
      <c r="M454" s="1">
        <v>46193</v>
      </c>
      <c r="N454" t="str">
        <f t="shared" si="70"/>
        <v>1329001978</v>
      </c>
      <c r="O454">
        <v>24</v>
      </c>
      <c r="P454" s="2">
        <v>46224.583124999997</v>
      </c>
      <c r="Q454" s="2">
        <v>46224.955868055556</v>
      </c>
      <c r="R454" s="2">
        <v>46224.583124999997</v>
      </c>
      <c r="S454">
        <v>0</v>
      </c>
      <c r="T454" t="s">
        <v>67</v>
      </c>
      <c r="U454" t="s">
        <v>67</v>
      </c>
      <c r="W454" t="str">
        <f t="shared" si="71"/>
        <v>400426</v>
      </c>
      <c r="X454" t="s">
        <v>37</v>
      </c>
      <c r="AD454" s="2">
        <v>46224.955868055556</v>
      </c>
    </row>
    <row r="455" spans="1:30" x14ac:dyDescent="0.35">
      <c r="A455" t="s">
        <v>30</v>
      </c>
      <c r="B455" t="s">
        <v>31</v>
      </c>
      <c r="C455" t="s">
        <v>962</v>
      </c>
      <c r="D455" t="s">
        <v>33</v>
      </c>
      <c r="E455" t="str">
        <f t="shared" si="69"/>
        <v>400426</v>
      </c>
      <c r="F455" t="s">
        <v>34</v>
      </c>
      <c r="G455">
        <v>24</v>
      </c>
      <c r="H455">
        <v>0</v>
      </c>
      <c r="I455" t="s">
        <v>963</v>
      </c>
      <c r="J455" t="str">
        <f>"153000404"</f>
        <v>153000404</v>
      </c>
      <c r="K455" s="1">
        <v>48018</v>
      </c>
      <c r="M455" s="1">
        <v>46193</v>
      </c>
      <c r="N455" t="str">
        <f t="shared" si="70"/>
        <v>1329001978</v>
      </c>
      <c r="O455">
        <v>24</v>
      </c>
      <c r="P455" s="2">
        <v>46224.58320601852</v>
      </c>
      <c r="Q455" s="2">
        <v>46224.957627314812</v>
      </c>
      <c r="R455" s="2">
        <v>46224.58320601852</v>
      </c>
      <c r="S455">
        <v>0</v>
      </c>
      <c r="T455" t="s">
        <v>67</v>
      </c>
      <c r="U455" t="s">
        <v>67</v>
      </c>
      <c r="W455" t="str">
        <f t="shared" si="71"/>
        <v>400426</v>
      </c>
      <c r="X455" t="s">
        <v>37</v>
      </c>
      <c r="AD455" s="2">
        <v>46224.957627314812</v>
      </c>
    </row>
    <row r="456" spans="1:30" x14ac:dyDescent="0.35">
      <c r="A456" t="s">
        <v>30</v>
      </c>
      <c r="B456" t="s">
        <v>31</v>
      </c>
      <c r="C456" t="s">
        <v>964</v>
      </c>
      <c r="D456" t="s">
        <v>33</v>
      </c>
      <c r="E456" t="str">
        <f t="shared" si="69"/>
        <v>400426</v>
      </c>
      <c r="F456" t="s">
        <v>34</v>
      </c>
      <c r="G456">
        <v>24</v>
      </c>
      <c r="H456">
        <v>0</v>
      </c>
      <c r="I456" t="s">
        <v>965</v>
      </c>
      <c r="J456" t="str">
        <f t="shared" ref="J456:J464" si="72">"153000403"</f>
        <v>153000403</v>
      </c>
      <c r="K456" s="1">
        <v>48016</v>
      </c>
      <c r="M456" s="1">
        <v>46191</v>
      </c>
      <c r="N456" t="str">
        <f t="shared" si="70"/>
        <v>1329001978</v>
      </c>
      <c r="O456">
        <v>24</v>
      </c>
      <c r="P456" s="2">
        <v>46224.584293981483</v>
      </c>
      <c r="Q456" s="2">
        <v>46224.960150462961</v>
      </c>
      <c r="R456" s="2">
        <v>46224.584293981483</v>
      </c>
      <c r="S456">
        <v>0</v>
      </c>
      <c r="T456" t="s">
        <v>67</v>
      </c>
      <c r="U456" t="s">
        <v>67</v>
      </c>
      <c r="W456" t="str">
        <f t="shared" si="71"/>
        <v>400426</v>
      </c>
      <c r="X456" t="s">
        <v>37</v>
      </c>
      <c r="AD456" s="2">
        <v>46224.960138888891</v>
      </c>
    </row>
    <row r="457" spans="1:30" x14ac:dyDescent="0.35">
      <c r="A457" t="s">
        <v>30</v>
      </c>
      <c r="B457" t="s">
        <v>31</v>
      </c>
      <c r="C457" t="s">
        <v>966</v>
      </c>
      <c r="D457" t="s">
        <v>33</v>
      </c>
      <c r="E457" t="str">
        <f t="shared" si="69"/>
        <v>400426</v>
      </c>
      <c r="F457" t="s">
        <v>34</v>
      </c>
      <c r="G457">
        <v>24</v>
      </c>
      <c r="H457">
        <v>0</v>
      </c>
      <c r="I457" t="s">
        <v>967</v>
      </c>
      <c r="J457" t="str">
        <f t="shared" si="72"/>
        <v>153000403</v>
      </c>
      <c r="K457" s="1">
        <v>48016</v>
      </c>
      <c r="M457" s="1">
        <v>46191</v>
      </c>
      <c r="N457" t="str">
        <f t="shared" si="70"/>
        <v>1329001978</v>
      </c>
      <c r="O457">
        <v>24</v>
      </c>
      <c r="P457" s="2">
        <v>46224.584166666667</v>
      </c>
      <c r="Q457" s="2">
        <v>46224.96025462963</v>
      </c>
      <c r="R457" s="2">
        <v>46224.584166666667</v>
      </c>
      <c r="S457">
        <v>0</v>
      </c>
      <c r="T457" t="s">
        <v>67</v>
      </c>
      <c r="U457" t="s">
        <v>67</v>
      </c>
      <c r="W457" t="str">
        <f t="shared" si="71"/>
        <v>400426</v>
      </c>
      <c r="X457" t="s">
        <v>37</v>
      </c>
      <c r="AD457" s="2">
        <v>46224.96025462963</v>
      </c>
    </row>
    <row r="458" spans="1:30" x14ac:dyDescent="0.35">
      <c r="A458" t="s">
        <v>30</v>
      </c>
      <c r="B458" t="s">
        <v>31</v>
      </c>
      <c r="C458" t="s">
        <v>968</v>
      </c>
      <c r="D458" t="s">
        <v>33</v>
      </c>
      <c r="E458" t="str">
        <f t="shared" si="69"/>
        <v>400426</v>
      </c>
      <c r="F458" t="s">
        <v>34</v>
      </c>
      <c r="G458">
        <v>24</v>
      </c>
      <c r="H458">
        <v>0</v>
      </c>
      <c r="I458" t="s">
        <v>969</v>
      </c>
      <c r="J458" t="str">
        <f t="shared" si="72"/>
        <v>153000403</v>
      </c>
      <c r="K458" s="1">
        <v>48016</v>
      </c>
      <c r="M458" s="1">
        <v>46191</v>
      </c>
      <c r="N458" t="str">
        <f t="shared" si="70"/>
        <v>1329001978</v>
      </c>
      <c r="O458">
        <v>24</v>
      </c>
      <c r="P458" s="2">
        <v>46224.584050925929</v>
      </c>
      <c r="Q458" s="2">
        <v>46224.961319444446</v>
      </c>
      <c r="R458" s="2">
        <v>46224.584050925929</v>
      </c>
      <c r="S458">
        <v>0</v>
      </c>
      <c r="T458" t="s">
        <v>67</v>
      </c>
      <c r="U458" t="s">
        <v>67</v>
      </c>
      <c r="W458" t="str">
        <f t="shared" si="71"/>
        <v>400426</v>
      </c>
      <c r="X458" t="s">
        <v>37</v>
      </c>
      <c r="AD458" s="2">
        <v>46224.961319444446</v>
      </c>
    </row>
    <row r="459" spans="1:30" x14ac:dyDescent="0.35">
      <c r="A459" t="s">
        <v>30</v>
      </c>
      <c r="B459" t="s">
        <v>31</v>
      </c>
      <c r="C459" t="s">
        <v>970</v>
      </c>
      <c r="D459" t="s">
        <v>33</v>
      </c>
      <c r="E459" t="str">
        <f t="shared" si="69"/>
        <v>400426</v>
      </c>
      <c r="F459" t="s">
        <v>34</v>
      </c>
      <c r="G459">
        <v>24</v>
      </c>
      <c r="H459">
        <v>0</v>
      </c>
      <c r="I459" t="s">
        <v>971</v>
      </c>
      <c r="J459" t="str">
        <f t="shared" si="72"/>
        <v>153000403</v>
      </c>
      <c r="K459" s="1">
        <v>48016</v>
      </c>
      <c r="M459" s="1">
        <v>46191</v>
      </c>
      <c r="N459" t="str">
        <f t="shared" si="70"/>
        <v>1329001978</v>
      </c>
      <c r="O459">
        <v>24</v>
      </c>
      <c r="P459" s="2">
        <v>46224.583958333336</v>
      </c>
      <c r="Q459" s="2">
        <v>46224.962488425925</v>
      </c>
      <c r="R459" s="2">
        <v>46224.583958333336</v>
      </c>
      <c r="S459">
        <v>0</v>
      </c>
      <c r="T459" t="s">
        <v>67</v>
      </c>
      <c r="U459" t="s">
        <v>67</v>
      </c>
      <c r="W459" t="str">
        <f t="shared" si="71"/>
        <v>400426</v>
      </c>
      <c r="X459" t="s">
        <v>37</v>
      </c>
      <c r="AD459" s="2">
        <v>46224.962488425925</v>
      </c>
    </row>
    <row r="460" spans="1:30" x14ac:dyDescent="0.35">
      <c r="A460" t="s">
        <v>30</v>
      </c>
      <c r="B460" t="s">
        <v>31</v>
      </c>
      <c r="C460" t="s">
        <v>972</v>
      </c>
      <c r="D460" t="s">
        <v>33</v>
      </c>
      <c r="E460" t="str">
        <f t="shared" si="69"/>
        <v>400426</v>
      </c>
      <c r="F460" t="s">
        <v>34</v>
      </c>
      <c r="G460">
        <v>24</v>
      </c>
      <c r="H460">
        <v>0</v>
      </c>
      <c r="I460" t="s">
        <v>973</v>
      </c>
      <c r="J460" t="str">
        <f t="shared" si="72"/>
        <v>153000403</v>
      </c>
      <c r="K460" s="1">
        <v>48016</v>
      </c>
      <c r="M460" s="1">
        <v>46191</v>
      </c>
      <c r="N460" t="str">
        <f t="shared" si="70"/>
        <v>1329001978</v>
      </c>
      <c r="O460">
        <v>24</v>
      </c>
      <c r="P460" s="2">
        <v>46224.58384259259</v>
      </c>
      <c r="Q460" s="2">
        <v>46224.963703703703</v>
      </c>
      <c r="R460" s="2">
        <v>46224.58384259259</v>
      </c>
      <c r="S460">
        <v>0</v>
      </c>
      <c r="T460" t="s">
        <v>67</v>
      </c>
      <c r="U460" t="s">
        <v>67</v>
      </c>
      <c r="W460" t="str">
        <f t="shared" si="71"/>
        <v>400426</v>
      </c>
      <c r="X460" t="s">
        <v>37</v>
      </c>
      <c r="AD460" s="2">
        <v>46224.963703703703</v>
      </c>
    </row>
    <row r="461" spans="1:30" x14ac:dyDescent="0.35">
      <c r="A461" t="s">
        <v>30</v>
      </c>
      <c r="B461" t="s">
        <v>31</v>
      </c>
      <c r="C461" t="s">
        <v>974</v>
      </c>
      <c r="D461" t="s">
        <v>33</v>
      </c>
      <c r="E461" t="str">
        <f t="shared" si="69"/>
        <v>400426</v>
      </c>
      <c r="F461" t="s">
        <v>34</v>
      </c>
      <c r="G461">
        <v>24</v>
      </c>
      <c r="H461">
        <v>0</v>
      </c>
      <c r="I461" t="s">
        <v>975</v>
      </c>
      <c r="J461" t="str">
        <f t="shared" si="72"/>
        <v>153000403</v>
      </c>
      <c r="K461" s="1">
        <v>48016</v>
      </c>
      <c r="M461" s="1">
        <v>46191</v>
      </c>
      <c r="N461" t="str">
        <f t="shared" si="70"/>
        <v>1329001978</v>
      </c>
      <c r="O461">
        <v>24</v>
      </c>
      <c r="P461" s="2">
        <v>46224.583703703705</v>
      </c>
      <c r="Q461" s="2">
        <v>46224.96502314815</v>
      </c>
      <c r="R461" s="2">
        <v>46224.583703703705</v>
      </c>
      <c r="S461">
        <v>0</v>
      </c>
      <c r="T461" t="s">
        <v>67</v>
      </c>
      <c r="U461" t="s">
        <v>67</v>
      </c>
      <c r="W461" t="str">
        <f t="shared" si="71"/>
        <v>400426</v>
      </c>
      <c r="X461" t="s">
        <v>37</v>
      </c>
      <c r="AD461" s="2">
        <v>46224.96502314815</v>
      </c>
    </row>
    <row r="462" spans="1:30" x14ac:dyDescent="0.35">
      <c r="A462" t="s">
        <v>30</v>
      </c>
      <c r="B462" t="s">
        <v>31</v>
      </c>
      <c r="C462" t="s">
        <v>976</v>
      </c>
      <c r="D462" t="s">
        <v>33</v>
      </c>
      <c r="E462" t="str">
        <f t="shared" si="69"/>
        <v>400426</v>
      </c>
      <c r="F462" t="s">
        <v>34</v>
      </c>
      <c r="G462">
        <v>24</v>
      </c>
      <c r="H462">
        <v>0</v>
      </c>
      <c r="I462" t="s">
        <v>977</v>
      </c>
      <c r="J462" t="str">
        <f t="shared" si="72"/>
        <v>153000403</v>
      </c>
      <c r="K462" s="1">
        <v>48016</v>
      </c>
      <c r="M462" s="1">
        <v>46191</v>
      </c>
      <c r="N462" t="str">
        <f t="shared" si="70"/>
        <v>1329001978</v>
      </c>
      <c r="O462">
        <v>24</v>
      </c>
      <c r="P462" s="2">
        <v>46224.583587962959</v>
      </c>
      <c r="Q462" s="2">
        <v>46224.966319444444</v>
      </c>
      <c r="R462" s="2">
        <v>46224.583587962959</v>
      </c>
      <c r="S462">
        <v>0</v>
      </c>
      <c r="T462" t="s">
        <v>67</v>
      </c>
      <c r="U462" t="s">
        <v>67</v>
      </c>
      <c r="W462" t="str">
        <f t="shared" si="71"/>
        <v>400426</v>
      </c>
      <c r="X462" t="s">
        <v>37</v>
      </c>
      <c r="AD462" s="2">
        <v>46224.966319444444</v>
      </c>
    </row>
    <row r="463" spans="1:30" x14ac:dyDescent="0.35">
      <c r="A463" t="s">
        <v>30</v>
      </c>
      <c r="B463" t="s">
        <v>31</v>
      </c>
      <c r="C463" t="s">
        <v>978</v>
      </c>
      <c r="D463" t="s">
        <v>33</v>
      </c>
      <c r="E463" t="str">
        <f t="shared" si="69"/>
        <v>400426</v>
      </c>
      <c r="F463" t="s">
        <v>34</v>
      </c>
      <c r="G463">
        <v>24</v>
      </c>
      <c r="H463">
        <v>0</v>
      </c>
      <c r="I463" t="s">
        <v>979</v>
      </c>
      <c r="J463" t="str">
        <f t="shared" si="72"/>
        <v>153000403</v>
      </c>
      <c r="K463" s="1">
        <v>48016</v>
      </c>
      <c r="M463" s="1">
        <v>46191</v>
      </c>
      <c r="N463" t="str">
        <f t="shared" si="70"/>
        <v>1329001978</v>
      </c>
      <c r="O463">
        <v>24</v>
      </c>
      <c r="P463" s="2">
        <v>46224.583472222221</v>
      </c>
      <c r="Q463" s="2">
        <v>46224.967650462961</v>
      </c>
      <c r="R463" s="2">
        <v>46224.583472222221</v>
      </c>
      <c r="S463">
        <v>0</v>
      </c>
      <c r="T463" t="s">
        <v>67</v>
      </c>
      <c r="U463" t="s">
        <v>67</v>
      </c>
      <c r="W463" t="str">
        <f t="shared" si="71"/>
        <v>400426</v>
      </c>
      <c r="X463" t="s">
        <v>37</v>
      </c>
      <c r="AD463" s="2">
        <v>46224.967650462961</v>
      </c>
    </row>
    <row r="464" spans="1:30" x14ac:dyDescent="0.35">
      <c r="A464" t="s">
        <v>30</v>
      </c>
      <c r="B464" t="s">
        <v>31</v>
      </c>
      <c r="C464" t="s">
        <v>980</v>
      </c>
      <c r="D464" t="s">
        <v>33</v>
      </c>
      <c r="E464" t="str">
        <f t="shared" si="69"/>
        <v>400426</v>
      </c>
      <c r="F464" t="s">
        <v>34</v>
      </c>
      <c r="G464">
        <v>24</v>
      </c>
      <c r="H464">
        <v>0</v>
      </c>
      <c r="I464" t="s">
        <v>981</v>
      </c>
      <c r="J464" t="str">
        <f t="shared" si="72"/>
        <v>153000403</v>
      </c>
      <c r="K464" s="1">
        <v>48016</v>
      </c>
      <c r="M464" s="1">
        <v>46191</v>
      </c>
      <c r="N464" t="str">
        <f t="shared" si="70"/>
        <v>1329001978</v>
      </c>
      <c r="O464">
        <v>24</v>
      </c>
      <c r="P464" s="2">
        <v>46224.583310185182</v>
      </c>
      <c r="Q464" s="2">
        <v>46224.9690162037</v>
      </c>
      <c r="R464" s="2">
        <v>46224.583310185182</v>
      </c>
      <c r="S464">
        <v>0</v>
      </c>
      <c r="T464" t="s">
        <v>67</v>
      </c>
      <c r="U464" t="s">
        <v>67</v>
      </c>
      <c r="W464" t="str">
        <f t="shared" si="71"/>
        <v>400426</v>
      </c>
      <c r="X464" t="s">
        <v>37</v>
      </c>
      <c r="AD464" s="2">
        <v>46224.9690162037</v>
      </c>
    </row>
    <row r="465" spans="1:30" x14ac:dyDescent="0.35">
      <c r="A465" t="s">
        <v>30</v>
      </c>
      <c r="B465" t="s">
        <v>31</v>
      </c>
      <c r="C465" t="s">
        <v>982</v>
      </c>
      <c r="D465" t="s">
        <v>33</v>
      </c>
      <c r="E465" t="str">
        <f t="shared" ref="E465:E484" si="73">"400929"</f>
        <v>400929</v>
      </c>
      <c r="F465" t="s">
        <v>983</v>
      </c>
      <c r="G465">
        <v>24</v>
      </c>
      <c r="H465">
        <v>0</v>
      </c>
      <c r="I465" t="s">
        <v>984</v>
      </c>
      <c r="J465" t="str">
        <f t="shared" ref="J465:J484" si="74">"153000461"</f>
        <v>153000461</v>
      </c>
      <c r="K465" s="1">
        <v>48043</v>
      </c>
      <c r="M465" s="1">
        <v>46218</v>
      </c>
      <c r="N465" t="str">
        <f t="shared" ref="N465:N484" si="75">"1329001977"</f>
        <v>1329001977</v>
      </c>
      <c r="O465">
        <v>24</v>
      </c>
      <c r="P465" s="2">
        <v>46224.58630787037</v>
      </c>
      <c r="Q465" s="2">
        <v>46224.970277777778</v>
      </c>
      <c r="R465" s="2">
        <v>46224.58630787037</v>
      </c>
      <c r="S465">
        <v>0</v>
      </c>
      <c r="T465" t="s">
        <v>67</v>
      </c>
      <c r="U465" t="s">
        <v>67</v>
      </c>
      <c r="W465" t="str">
        <f t="shared" ref="W465:W484" si="76">"400929"</f>
        <v>400929</v>
      </c>
      <c r="X465" t="s">
        <v>37</v>
      </c>
      <c r="AD465" s="2">
        <v>46224.970277777778</v>
      </c>
    </row>
    <row r="466" spans="1:30" x14ac:dyDescent="0.35">
      <c r="A466" t="s">
        <v>30</v>
      </c>
      <c r="B466" t="s">
        <v>31</v>
      </c>
      <c r="C466" t="s">
        <v>985</v>
      </c>
      <c r="D466" t="s">
        <v>33</v>
      </c>
      <c r="E466" t="str">
        <f t="shared" si="73"/>
        <v>400929</v>
      </c>
      <c r="F466" t="s">
        <v>983</v>
      </c>
      <c r="G466">
        <v>24</v>
      </c>
      <c r="H466">
        <v>0</v>
      </c>
      <c r="I466" t="s">
        <v>986</v>
      </c>
      <c r="J466" t="str">
        <f t="shared" si="74"/>
        <v>153000461</v>
      </c>
      <c r="K466" s="1">
        <v>48043</v>
      </c>
      <c r="M466" s="1">
        <v>46218</v>
      </c>
      <c r="N466" t="str">
        <f t="shared" si="75"/>
        <v>1329001977</v>
      </c>
      <c r="O466">
        <v>24</v>
      </c>
      <c r="P466" s="2">
        <v>46224.586446759262</v>
      </c>
      <c r="Q466" s="2">
        <v>46224.971574074072</v>
      </c>
      <c r="R466" s="2">
        <v>46224.586446759262</v>
      </c>
      <c r="S466">
        <v>0</v>
      </c>
      <c r="T466" t="s">
        <v>67</v>
      </c>
      <c r="U466" t="s">
        <v>67</v>
      </c>
      <c r="W466" t="str">
        <f t="shared" si="76"/>
        <v>400929</v>
      </c>
      <c r="X466" t="s">
        <v>37</v>
      </c>
      <c r="AD466" s="2">
        <v>46224.971574074072</v>
      </c>
    </row>
    <row r="467" spans="1:30" x14ac:dyDescent="0.35">
      <c r="A467" t="s">
        <v>30</v>
      </c>
      <c r="B467" t="s">
        <v>31</v>
      </c>
      <c r="C467" t="s">
        <v>987</v>
      </c>
      <c r="D467" t="s">
        <v>33</v>
      </c>
      <c r="E467" t="str">
        <f t="shared" si="73"/>
        <v>400929</v>
      </c>
      <c r="F467" t="s">
        <v>983</v>
      </c>
      <c r="G467">
        <v>24</v>
      </c>
      <c r="H467">
        <v>0</v>
      </c>
      <c r="I467" t="s">
        <v>988</v>
      </c>
      <c r="J467" t="str">
        <f t="shared" si="74"/>
        <v>153000461</v>
      </c>
      <c r="K467" s="1">
        <v>48043</v>
      </c>
      <c r="M467" s="1">
        <v>46218</v>
      </c>
      <c r="N467" t="str">
        <f t="shared" si="75"/>
        <v>1329001977</v>
      </c>
      <c r="O467">
        <v>24</v>
      </c>
      <c r="P467" s="2">
        <v>46224.586539351854</v>
      </c>
      <c r="Q467" s="2">
        <v>46224.972881944443</v>
      </c>
      <c r="R467" s="2">
        <v>46224.586539351854</v>
      </c>
      <c r="S467">
        <v>0</v>
      </c>
      <c r="T467" t="s">
        <v>67</v>
      </c>
      <c r="U467" t="s">
        <v>67</v>
      </c>
      <c r="W467" t="str">
        <f t="shared" si="76"/>
        <v>400929</v>
      </c>
      <c r="X467" t="s">
        <v>37</v>
      </c>
      <c r="AD467" s="2">
        <v>46224.972881944443</v>
      </c>
    </row>
    <row r="468" spans="1:30" x14ac:dyDescent="0.35">
      <c r="A468" t="s">
        <v>30</v>
      </c>
      <c r="B468" t="s">
        <v>31</v>
      </c>
      <c r="C468" t="s">
        <v>989</v>
      </c>
      <c r="D468" t="s">
        <v>33</v>
      </c>
      <c r="E468" t="str">
        <f t="shared" si="73"/>
        <v>400929</v>
      </c>
      <c r="F468" t="s">
        <v>983</v>
      </c>
      <c r="G468">
        <v>24</v>
      </c>
      <c r="H468">
        <v>0</v>
      </c>
      <c r="I468" t="s">
        <v>990</v>
      </c>
      <c r="J468" t="str">
        <f t="shared" si="74"/>
        <v>153000461</v>
      </c>
      <c r="K468" s="1">
        <v>48043</v>
      </c>
      <c r="M468" s="1">
        <v>46218</v>
      </c>
      <c r="N468" t="str">
        <f t="shared" si="75"/>
        <v>1329001977</v>
      </c>
      <c r="O468">
        <v>24</v>
      </c>
      <c r="P468" s="2">
        <v>46224.586608796293</v>
      </c>
      <c r="Q468" s="2">
        <v>46224.973946759259</v>
      </c>
      <c r="R468" s="2">
        <v>46224.586608796293</v>
      </c>
      <c r="S468">
        <v>0</v>
      </c>
      <c r="T468" t="s">
        <v>67</v>
      </c>
      <c r="U468" t="s">
        <v>67</v>
      </c>
      <c r="W468" t="str">
        <f t="shared" si="76"/>
        <v>400929</v>
      </c>
      <c r="X468" t="s">
        <v>37</v>
      </c>
      <c r="AD468" s="2">
        <v>46224.973946759259</v>
      </c>
    </row>
    <row r="469" spans="1:30" x14ac:dyDescent="0.35">
      <c r="A469" t="s">
        <v>30</v>
      </c>
      <c r="B469" t="s">
        <v>31</v>
      </c>
      <c r="C469" t="s">
        <v>991</v>
      </c>
      <c r="D469" t="s">
        <v>33</v>
      </c>
      <c r="E469" t="str">
        <f t="shared" si="73"/>
        <v>400929</v>
      </c>
      <c r="F469" t="s">
        <v>983</v>
      </c>
      <c r="G469">
        <v>24</v>
      </c>
      <c r="H469">
        <v>0</v>
      </c>
      <c r="I469" t="s">
        <v>992</v>
      </c>
      <c r="J469" t="str">
        <f t="shared" si="74"/>
        <v>153000461</v>
      </c>
      <c r="K469" s="1">
        <v>48043</v>
      </c>
      <c r="M469" s="1">
        <v>46218</v>
      </c>
      <c r="N469" t="str">
        <f t="shared" si="75"/>
        <v>1329001977</v>
      </c>
      <c r="O469">
        <v>24</v>
      </c>
      <c r="P469" s="2">
        <v>46224.586701388886</v>
      </c>
      <c r="Q469" s="2">
        <v>46224.974791666667</v>
      </c>
      <c r="R469" s="2">
        <v>46224.586701388886</v>
      </c>
      <c r="S469">
        <v>0</v>
      </c>
      <c r="T469" t="s">
        <v>67</v>
      </c>
      <c r="U469" t="s">
        <v>67</v>
      </c>
      <c r="W469" t="str">
        <f t="shared" si="76"/>
        <v>400929</v>
      </c>
      <c r="X469" t="s">
        <v>37</v>
      </c>
      <c r="AD469" s="2">
        <v>46224.974791666667</v>
      </c>
    </row>
    <row r="470" spans="1:30" x14ac:dyDescent="0.35">
      <c r="A470" t="s">
        <v>30</v>
      </c>
      <c r="B470" t="s">
        <v>31</v>
      </c>
      <c r="C470" t="s">
        <v>993</v>
      </c>
      <c r="D470" t="s">
        <v>33</v>
      </c>
      <c r="E470" t="str">
        <f t="shared" si="73"/>
        <v>400929</v>
      </c>
      <c r="F470" t="s">
        <v>983</v>
      </c>
      <c r="G470">
        <v>24</v>
      </c>
      <c r="H470">
        <v>0</v>
      </c>
      <c r="I470" t="s">
        <v>994</v>
      </c>
      <c r="J470" t="str">
        <f t="shared" si="74"/>
        <v>153000461</v>
      </c>
      <c r="K470" s="1">
        <v>48043</v>
      </c>
      <c r="M470" s="1">
        <v>46218</v>
      </c>
      <c r="N470" t="str">
        <f t="shared" si="75"/>
        <v>1329001977</v>
      </c>
      <c r="O470">
        <v>24</v>
      </c>
      <c r="P470" s="2">
        <v>46224.586793981478</v>
      </c>
      <c r="Q470" s="2">
        <v>46224.975821759261</v>
      </c>
      <c r="R470" s="2">
        <v>46224.586793981478</v>
      </c>
      <c r="S470">
        <v>0</v>
      </c>
      <c r="T470" t="s">
        <v>67</v>
      </c>
      <c r="U470" t="s">
        <v>67</v>
      </c>
      <c r="W470" t="str">
        <f t="shared" si="76"/>
        <v>400929</v>
      </c>
      <c r="X470" t="s">
        <v>37</v>
      </c>
      <c r="AD470" s="2">
        <v>46224.975821759261</v>
      </c>
    </row>
    <row r="471" spans="1:30" x14ac:dyDescent="0.35">
      <c r="A471" t="s">
        <v>30</v>
      </c>
      <c r="B471" t="s">
        <v>31</v>
      </c>
      <c r="C471" t="s">
        <v>995</v>
      </c>
      <c r="D471" t="s">
        <v>33</v>
      </c>
      <c r="E471" t="str">
        <f t="shared" si="73"/>
        <v>400929</v>
      </c>
      <c r="F471" t="s">
        <v>983</v>
      </c>
      <c r="G471">
        <v>24</v>
      </c>
      <c r="H471">
        <v>0</v>
      </c>
      <c r="I471" t="s">
        <v>996</v>
      </c>
      <c r="J471" t="str">
        <f t="shared" si="74"/>
        <v>153000461</v>
      </c>
      <c r="K471" s="1">
        <v>48043</v>
      </c>
      <c r="M471" s="1">
        <v>46218</v>
      </c>
      <c r="N471" t="str">
        <f t="shared" si="75"/>
        <v>1329001977</v>
      </c>
      <c r="O471">
        <v>24</v>
      </c>
      <c r="P471" s="2">
        <v>46224.586898148147</v>
      </c>
      <c r="Q471" s="2">
        <v>46224.976851851854</v>
      </c>
      <c r="R471" s="2">
        <v>46224.586898148147</v>
      </c>
      <c r="S471">
        <v>0</v>
      </c>
      <c r="T471" t="s">
        <v>67</v>
      </c>
      <c r="U471" t="s">
        <v>67</v>
      </c>
      <c r="W471" t="str">
        <f t="shared" si="76"/>
        <v>400929</v>
      </c>
      <c r="X471" t="s">
        <v>37</v>
      </c>
      <c r="AD471" s="2">
        <v>46224.976851851854</v>
      </c>
    </row>
    <row r="472" spans="1:30" x14ac:dyDescent="0.35">
      <c r="A472" t="s">
        <v>30</v>
      </c>
      <c r="B472" t="s">
        <v>31</v>
      </c>
      <c r="C472" t="s">
        <v>997</v>
      </c>
      <c r="D472" t="s">
        <v>33</v>
      </c>
      <c r="E472" t="str">
        <f t="shared" si="73"/>
        <v>400929</v>
      </c>
      <c r="F472" t="s">
        <v>983</v>
      </c>
      <c r="G472">
        <v>24</v>
      </c>
      <c r="H472">
        <v>0</v>
      </c>
      <c r="I472" t="s">
        <v>998</v>
      </c>
      <c r="J472" t="str">
        <f t="shared" si="74"/>
        <v>153000461</v>
      </c>
      <c r="K472" s="1">
        <v>48043</v>
      </c>
      <c r="M472" s="1">
        <v>46218</v>
      </c>
      <c r="N472" t="str">
        <f t="shared" si="75"/>
        <v>1329001977</v>
      </c>
      <c r="O472">
        <v>24</v>
      </c>
      <c r="P472" s="2">
        <v>46224.588287037041</v>
      </c>
      <c r="Q472" s="2">
        <v>46224.977916666663</v>
      </c>
      <c r="R472" s="2">
        <v>46224.588287037041</v>
      </c>
      <c r="S472">
        <v>0</v>
      </c>
      <c r="T472" t="s">
        <v>67</v>
      </c>
      <c r="U472" t="s">
        <v>67</v>
      </c>
      <c r="W472" t="str">
        <f t="shared" si="76"/>
        <v>400929</v>
      </c>
      <c r="X472" t="s">
        <v>37</v>
      </c>
      <c r="AD472" s="2">
        <v>46224.977916666663</v>
      </c>
    </row>
    <row r="473" spans="1:30" x14ac:dyDescent="0.35">
      <c r="A473" t="s">
        <v>30</v>
      </c>
      <c r="B473" t="s">
        <v>31</v>
      </c>
      <c r="C473" t="s">
        <v>999</v>
      </c>
      <c r="D473" t="s">
        <v>33</v>
      </c>
      <c r="E473" t="str">
        <f t="shared" si="73"/>
        <v>400929</v>
      </c>
      <c r="F473" t="s">
        <v>983</v>
      </c>
      <c r="G473">
        <v>24</v>
      </c>
      <c r="H473">
        <v>0</v>
      </c>
      <c r="I473" t="s">
        <v>1000</v>
      </c>
      <c r="J473" t="str">
        <f t="shared" si="74"/>
        <v>153000461</v>
      </c>
      <c r="K473" s="1">
        <v>48043</v>
      </c>
      <c r="M473" s="1">
        <v>46218</v>
      </c>
      <c r="N473" t="str">
        <f t="shared" si="75"/>
        <v>1329001977</v>
      </c>
      <c r="O473">
        <v>24</v>
      </c>
      <c r="P473" s="2">
        <v>46224.588136574072</v>
      </c>
      <c r="Q473" s="2">
        <v>46224.979212962964</v>
      </c>
      <c r="R473" s="2">
        <v>46224.588136574072</v>
      </c>
      <c r="S473">
        <v>0</v>
      </c>
      <c r="T473" t="s">
        <v>67</v>
      </c>
      <c r="U473" t="s">
        <v>67</v>
      </c>
      <c r="W473" t="str">
        <f t="shared" si="76"/>
        <v>400929</v>
      </c>
      <c r="X473" t="s">
        <v>37</v>
      </c>
      <c r="AD473" s="2">
        <v>46224.979212962964</v>
      </c>
    </row>
    <row r="474" spans="1:30" x14ac:dyDescent="0.35">
      <c r="A474" t="s">
        <v>30</v>
      </c>
      <c r="B474" t="s">
        <v>31</v>
      </c>
      <c r="C474" t="s">
        <v>1001</v>
      </c>
      <c r="D474" t="s">
        <v>33</v>
      </c>
      <c r="E474" t="str">
        <f t="shared" si="73"/>
        <v>400929</v>
      </c>
      <c r="F474" t="s">
        <v>983</v>
      </c>
      <c r="G474">
        <v>24</v>
      </c>
      <c r="H474">
        <v>0</v>
      </c>
      <c r="I474" t="s">
        <v>1002</v>
      </c>
      <c r="J474" t="str">
        <f t="shared" si="74"/>
        <v>153000461</v>
      </c>
      <c r="K474" s="1">
        <v>48043</v>
      </c>
      <c r="M474" s="1">
        <v>46218</v>
      </c>
      <c r="N474" t="str">
        <f t="shared" si="75"/>
        <v>1329001977</v>
      </c>
      <c r="O474">
        <v>24</v>
      </c>
      <c r="P474" s="2">
        <v>46224.588437500002</v>
      </c>
      <c r="Q474" s="2">
        <v>46224.979444444441</v>
      </c>
      <c r="R474" s="2">
        <v>46224.588437500002</v>
      </c>
      <c r="S474">
        <v>0</v>
      </c>
      <c r="T474" t="s">
        <v>67</v>
      </c>
      <c r="U474" t="s">
        <v>67</v>
      </c>
      <c r="W474" t="str">
        <f t="shared" si="76"/>
        <v>400929</v>
      </c>
      <c r="X474" t="s">
        <v>37</v>
      </c>
      <c r="AD474" s="2">
        <v>46224.979444444441</v>
      </c>
    </row>
    <row r="475" spans="1:30" x14ac:dyDescent="0.35">
      <c r="A475" t="s">
        <v>30</v>
      </c>
      <c r="B475" t="s">
        <v>31</v>
      </c>
      <c r="C475" t="s">
        <v>1003</v>
      </c>
      <c r="D475" t="s">
        <v>33</v>
      </c>
      <c r="E475" t="str">
        <f t="shared" si="73"/>
        <v>400929</v>
      </c>
      <c r="F475" t="s">
        <v>983</v>
      </c>
      <c r="G475">
        <v>24</v>
      </c>
      <c r="H475">
        <v>0</v>
      </c>
      <c r="I475" t="s">
        <v>1004</v>
      </c>
      <c r="J475" t="str">
        <f t="shared" si="74"/>
        <v>153000461</v>
      </c>
      <c r="K475" s="1">
        <v>48043</v>
      </c>
      <c r="M475" s="1">
        <v>46218</v>
      </c>
      <c r="N475" t="str">
        <f t="shared" si="75"/>
        <v>1329001977</v>
      </c>
      <c r="O475">
        <v>24</v>
      </c>
      <c r="P475" s="2">
        <v>46224.58803240741</v>
      </c>
      <c r="Q475" s="2">
        <v>46224.97996527778</v>
      </c>
      <c r="R475" s="2">
        <v>46224.58803240741</v>
      </c>
      <c r="S475">
        <v>0</v>
      </c>
      <c r="T475" t="s">
        <v>67</v>
      </c>
      <c r="U475" t="s">
        <v>67</v>
      </c>
      <c r="W475" t="str">
        <f t="shared" si="76"/>
        <v>400929</v>
      </c>
      <c r="X475" t="s">
        <v>37</v>
      </c>
      <c r="AD475" s="2">
        <v>46224.97996527778</v>
      </c>
    </row>
    <row r="476" spans="1:30" x14ac:dyDescent="0.35">
      <c r="A476" t="s">
        <v>30</v>
      </c>
      <c r="B476" t="s">
        <v>31</v>
      </c>
      <c r="C476" t="s">
        <v>1005</v>
      </c>
      <c r="D476" t="s">
        <v>33</v>
      </c>
      <c r="E476" t="str">
        <f t="shared" si="73"/>
        <v>400929</v>
      </c>
      <c r="F476" t="s">
        <v>983</v>
      </c>
      <c r="G476">
        <v>24</v>
      </c>
      <c r="H476">
        <v>0</v>
      </c>
      <c r="I476" t="s">
        <v>1006</v>
      </c>
      <c r="J476" t="str">
        <f t="shared" si="74"/>
        <v>153000461</v>
      </c>
      <c r="K476" s="1">
        <v>48043</v>
      </c>
      <c r="M476" s="1">
        <v>46218</v>
      </c>
      <c r="N476" t="str">
        <f t="shared" si="75"/>
        <v>1329001977</v>
      </c>
      <c r="O476">
        <v>24</v>
      </c>
      <c r="P476" s="2">
        <v>46224.588576388887</v>
      </c>
      <c r="Q476" s="2">
        <v>46224.980034722219</v>
      </c>
      <c r="R476" s="2">
        <v>46224.588576388887</v>
      </c>
      <c r="S476">
        <v>0</v>
      </c>
      <c r="T476" t="s">
        <v>67</v>
      </c>
      <c r="U476" t="s">
        <v>67</v>
      </c>
      <c r="W476" t="str">
        <f t="shared" si="76"/>
        <v>400929</v>
      </c>
      <c r="X476" t="s">
        <v>37</v>
      </c>
      <c r="AD476" s="2">
        <v>46224.980034722219</v>
      </c>
    </row>
    <row r="477" spans="1:30" x14ac:dyDescent="0.35">
      <c r="A477" t="s">
        <v>30</v>
      </c>
      <c r="B477" t="s">
        <v>31</v>
      </c>
      <c r="C477" t="s">
        <v>1007</v>
      </c>
      <c r="D477" t="s">
        <v>33</v>
      </c>
      <c r="E477" t="str">
        <f t="shared" si="73"/>
        <v>400929</v>
      </c>
      <c r="F477" t="s">
        <v>983</v>
      </c>
      <c r="G477">
        <v>24</v>
      </c>
      <c r="H477">
        <v>0</v>
      </c>
      <c r="I477" t="s">
        <v>1008</v>
      </c>
      <c r="J477" t="str">
        <f t="shared" si="74"/>
        <v>153000461</v>
      </c>
      <c r="K477" s="1">
        <v>48043</v>
      </c>
      <c r="M477" s="1">
        <v>46218</v>
      </c>
      <c r="N477" t="str">
        <f t="shared" si="75"/>
        <v>1329001977</v>
      </c>
      <c r="O477">
        <v>24</v>
      </c>
      <c r="P477" s="2">
        <v>46224.58865740741</v>
      </c>
      <c r="Q477" s="2">
        <v>46224.98065972222</v>
      </c>
      <c r="R477" s="2">
        <v>46224.58865740741</v>
      </c>
      <c r="S477">
        <v>0</v>
      </c>
      <c r="T477" t="s">
        <v>67</v>
      </c>
      <c r="U477" t="s">
        <v>67</v>
      </c>
      <c r="W477" t="str">
        <f t="shared" si="76"/>
        <v>400929</v>
      </c>
      <c r="X477" t="s">
        <v>37</v>
      </c>
      <c r="AD477" s="2">
        <v>46224.98065972222</v>
      </c>
    </row>
    <row r="478" spans="1:30" x14ac:dyDescent="0.35">
      <c r="A478" t="s">
        <v>30</v>
      </c>
      <c r="B478" t="s">
        <v>31</v>
      </c>
      <c r="C478" t="s">
        <v>1009</v>
      </c>
      <c r="D478" t="s">
        <v>33</v>
      </c>
      <c r="E478" t="str">
        <f t="shared" si="73"/>
        <v>400929</v>
      </c>
      <c r="F478" t="s">
        <v>983</v>
      </c>
      <c r="G478">
        <v>24</v>
      </c>
      <c r="H478">
        <v>0</v>
      </c>
      <c r="I478" t="s">
        <v>1010</v>
      </c>
      <c r="J478" t="str">
        <f t="shared" si="74"/>
        <v>153000461</v>
      </c>
      <c r="K478" s="1">
        <v>48043</v>
      </c>
      <c r="M478" s="1">
        <v>46218</v>
      </c>
      <c r="N478" t="str">
        <f t="shared" si="75"/>
        <v>1329001977</v>
      </c>
      <c r="O478">
        <v>24</v>
      </c>
      <c r="P478" s="2">
        <v>46224.587893518517</v>
      </c>
      <c r="Q478" s="2">
        <v>46224.980833333335</v>
      </c>
      <c r="R478" s="2">
        <v>46224.587893518517</v>
      </c>
      <c r="S478">
        <v>0</v>
      </c>
      <c r="T478" t="s">
        <v>67</v>
      </c>
      <c r="U478" t="s">
        <v>67</v>
      </c>
      <c r="W478" t="str">
        <f t="shared" si="76"/>
        <v>400929</v>
      </c>
      <c r="X478" t="s">
        <v>37</v>
      </c>
      <c r="AD478" s="2">
        <v>46224.980833333335</v>
      </c>
    </row>
    <row r="479" spans="1:30" x14ac:dyDescent="0.35">
      <c r="A479" t="s">
        <v>30</v>
      </c>
      <c r="B479" t="s">
        <v>31</v>
      </c>
      <c r="C479" t="s">
        <v>1011</v>
      </c>
      <c r="D479" t="s">
        <v>33</v>
      </c>
      <c r="E479" t="str">
        <f t="shared" si="73"/>
        <v>400929</v>
      </c>
      <c r="F479" t="s">
        <v>983</v>
      </c>
      <c r="G479">
        <v>24</v>
      </c>
      <c r="H479">
        <v>0</v>
      </c>
      <c r="I479" t="s">
        <v>1012</v>
      </c>
      <c r="J479" t="str">
        <f t="shared" si="74"/>
        <v>153000461</v>
      </c>
      <c r="K479" s="1">
        <v>48043</v>
      </c>
      <c r="M479" s="1">
        <v>46218</v>
      </c>
      <c r="N479" t="str">
        <f t="shared" si="75"/>
        <v>1329001977</v>
      </c>
      <c r="O479">
        <v>24</v>
      </c>
      <c r="P479" s="2">
        <v>46224.588784722226</v>
      </c>
      <c r="Q479" s="2">
        <v>46224.981342592589</v>
      </c>
      <c r="R479" s="2">
        <v>46224.588784722226</v>
      </c>
      <c r="S479">
        <v>0</v>
      </c>
      <c r="T479" t="s">
        <v>67</v>
      </c>
      <c r="U479" t="s">
        <v>67</v>
      </c>
      <c r="W479" t="str">
        <f t="shared" si="76"/>
        <v>400929</v>
      </c>
      <c r="X479" t="s">
        <v>37</v>
      </c>
      <c r="AD479" s="2">
        <v>46224.981342592589</v>
      </c>
    </row>
    <row r="480" spans="1:30" x14ac:dyDescent="0.35">
      <c r="A480" t="s">
        <v>30</v>
      </c>
      <c r="B480" t="s">
        <v>31</v>
      </c>
      <c r="C480" t="s">
        <v>1013</v>
      </c>
      <c r="D480" t="s">
        <v>33</v>
      </c>
      <c r="E480" t="str">
        <f t="shared" si="73"/>
        <v>400929</v>
      </c>
      <c r="F480" t="s">
        <v>983</v>
      </c>
      <c r="G480">
        <v>24</v>
      </c>
      <c r="H480">
        <v>0</v>
      </c>
      <c r="I480" t="s">
        <v>1014</v>
      </c>
      <c r="J480" t="str">
        <f t="shared" si="74"/>
        <v>153000461</v>
      </c>
      <c r="K480" s="1">
        <v>48043</v>
      </c>
      <c r="M480" s="1">
        <v>46218</v>
      </c>
      <c r="N480" t="str">
        <f t="shared" si="75"/>
        <v>1329001977</v>
      </c>
      <c r="O480">
        <v>24</v>
      </c>
      <c r="P480" s="2">
        <v>46224.587766203702</v>
      </c>
      <c r="Q480" s="2">
        <v>46224.981527777774</v>
      </c>
      <c r="R480" s="2">
        <v>46224.587766203702</v>
      </c>
      <c r="S480">
        <v>0</v>
      </c>
      <c r="T480" t="s">
        <v>67</v>
      </c>
      <c r="U480" t="s">
        <v>67</v>
      </c>
      <c r="W480" t="str">
        <f t="shared" si="76"/>
        <v>400929</v>
      </c>
      <c r="X480" t="s">
        <v>37</v>
      </c>
      <c r="AD480" s="2">
        <v>46224.981527777774</v>
      </c>
    </row>
    <row r="481" spans="1:30" x14ac:dyDescent="0.35">
      <c r="A481" t="s">
        <v>30</v>
      </c>
      <c r="B481" t="s">
        <v>31</v>
      </c>
      <c r="C481" t="s">
        <v>1015</v>
      </c>
      <c r="D481" t="s">
        <v>33</v>
      </c>
      <c r="E481" t="str">
        <f t="shared" si="73"/>
        <v>400929</v>
      </c>
      <c r="F481" t="s">
        <v>983</v>
      </c>
      <c r="G481">
        <v>24</v>
      </c>
      <c r="H481">
        <v>0</v>
      </c>
      <c r="I481" t="s">
        <v>1016</v>
      </c>
      <c r="J481" t="str">
        <f t="shared" si="74"/>
        <v>153000461</v>
      </c>
      <c r="K481" s="1">
        <v>48043</v>
      </c>
      <c r="M481" s="1">
        <v>46218</v>
      </c>
      <c r="N481" t="str">
        <f t="shared" si="75"/>
        <v>1329001977</v>
      </c>
      <c r="O481">
        <v>24</v>
      </c>
      <c r="P481" s="2">
        <v>46224.588865740741</v>
      </c>
      <c r="Q481" s="2">
        <v>46224.982129629629</v>
      </c>
      <c r="R481" s="2">
        <v>46224.588865740741</v>
      </c>
      <c r="S481">
        <v>0</v>
      </c>
      <c r="T481" t="s">
        <v>67</v>
      </c>
      <c r="U481" t="s">
        <v>67</v>
      </c>
      <c r="W481" t="str">
        <f t="shared" si="76"/>
        <v>400929</v>
      </c>
      <c r="X481" t="s">
        <v>37</v>
      </c>
      <c r="AD481" s="2">
        <v>46224.982129629629</v>
      </c>
    </row>
    <row r="482" spans="1:30" x14ac:dyDescent="0.35">
      <c r="A482" t="s">
        <v>30</v>
      </c>
      <c r="B482" t="s">
        <v>31</v>
      </c>
      <c r="C482" t="s">
        <v>1017</v>
      </c>
      <c r="D482" t="s">
        <v>33</v>
      </c>
      <c r="E482" t="str">
        <f t="shared" si="73"/>
        <v>400929</v>
      </c>
      <c r="F482" t="s">
        <v>983</v>
      </c>
      <c r="G482">
        <v>24</v>
      </c>
      <c r="H482">
        <v>0</v>
      </c>
      <c r="I482" t="s">
        <v>1018</v>
      </c>
      <c r="J482" t="str">
        <f t="shared" si="74"/>
        <v>153000461</v>
      </c>
      <c r="K482" s="1">
        <v>48043</v>
      </c>
      <c r="M482" s="1">
        <v>46218</v>
      </c>
      <c r="N482" t="str">
        <f t="shared" si="75"/>
        <v>1329001977</v>
      </c>
      <c r="O482">
        <v>24</v>
      </c>
      <c r="P482" s="2">
        <v>46224.58766203704</v>
      </c>
      <c r="Q482" s="2">
        <v>46224.982442129629</v>
      </c>
      <c r="R482" s="2">
        <v>46224.58766203704</v>
      </c>
      <c r="S482">
        <v>0</v>
      </c>
      <c r="T482" t="s">
        <v>67</v>
      </c>
      <c r="U482" t="s">
        <v>67</v>
      </c>
      <c r="W482" t="str">
        <f t="shared" si="76"/>
        <v>400929</v>
      </c>
      <c r="X482" t="s">
        <v>37</v>
      </c>
      <c r="AD482" s="2">
        <v>46224.982442129629</v>
      </c>
    </row>
    <row r="483" spans="1:30" x14ac:dyDescent="0.35">
      <c r="A483" t="s">
        <v>30</v>
      </c>
      <c r="B483" t="s">
        <v>31</v>
      </c>
      <c r="C483" t="s">
        <v>1019</v>
      </c>
      <c r="D483" t="s">
        <v>33</v>
      </c>
      <c r="E483" t="str">
        <f t="shared" si="73"/>
        <v>400929</v>
      </c>
      <c r="F483" t="s">
        <v>983</v>
      </c>
      <c r="G483">
        <v>24</v>
      </c>
      <c r="H483">
        <v>0</v>
      </c>
      <c r="I483" t="s">
        <v>1020</v>
      </c>
      <c r="J483" t="str">
        <f t="shared" si="74"/>
        <v>153000461</v>
      </c>
      <c r="K483" s="1">
        <v>48043</v>
      </c>
      <c r="M483" s="1">
        <v>46218</v>
      </c>
      <c r="N483" t="str">
        <f t="shared" si="75"/>
        <v>1329001977</v>
      </c>
      <c r="O483">
        <v>24</v>
      </c>
      <c r="P483" s="2">
        <v>46224.588946759257</v>
      </c>
      <c r="Q483" s="2">
        <v>46224.98337962963</v>
      </c>
      <c r="R483" s="2">
        <v>46224.588946759257</v>
      </c>
      <c r="S483">
        <v>0</v>
      </c>
      <c r="T483" t="s">
        <v>67</v>
      </c>
      <c r="U483" t="s">
        <v>67</v>
      </c>
      <c r="W483" t="str">
        <f t="shared" si="76"/>
        <v>400929</v>
      </c>
      <c r="X483" t="s">
        <v>37</v>
      </c>
      <c r="AD483" s="2">
        <v>46224.98337962963</v>
      </c>
    </row>
    <row r="484" spans="1:30" x14ac:dyDescent="0.35">
      <c r="A484" t="s">
        <v>30</v>
      </c>
      <c r="B484" t="s">
        <v>31</v>
      </c>
      <c r="C484" t="s">
        <v>1021</v>
      </c>
      <c r="D484" t="s">
        <v>33</v>
      </c>
      <c r="E484" t="str">
        <f t="shared" si="73"/>
        <v>400929</v>
      </c>
      <c r="F484" t="s">
        <v>983</v>
      </c>
      <c r="G484">
        <v>24</v>
      </c>
      <c r="H484">
        <v>0</v>
      </c>
      <c r="I484" t="s">
        <v>1022</v>
      </c>
      <c r="J484" t="str">
        <f t="shared" si="74"/>
        <v>153000461</v>
      </c>
      <c r="K484" s="1">
        <v>48043</v>
      </c>
      <c r="M484" s="1">
        <v>46218</v>
      </c>
      <c r="N484" t="str">
        <f t="shared" si="75"/>
        <v>1329001977</v>
      </c>
      <c r="O484">
        <v>24</v>
      </c>
      <c r="P484" s="2">
        <v>46224.587164351855</v>
      </c>
      <c r="Q484" s="2">
        <v>46224.983993055554</v>
      </c>
      <c r="R484" s="2">
        <v>46224.587164351855</v>
      </c>
      <c r="S484">
        <v>0</v>
      </c>
      <c r="T484" t="s">
        <v>67</v>
      </c>
      <c r="U484" t="s">
        <v>67</v>
      </c>
      <c r="W484" t="str">
        <f t="shared" si="76"/>
        <v>400929</v>
      </c>
      <c r="X484" t="s">
        <v>37</v>
      </c>
      <c r="AD484" s="2">
        <v>46224.983993055554</v>
      </c>
    </row>
    <row r="485" spans="1:30" x14ac:dyDescent="0.35">
      <c r="A485" t="s">
        <v>30</v>
      </c>
      <c r="B485" t="s">
        <v>31</v>
      </c>
      <c r="C485" t="s">
        <v>1023</v>
      </c>
      <c r="D485" t="s">
        <v>33</v>
      </c>
      <c r="E485" t="str">
        <f>"400930"</f>
        <v>400930</v>
      </c>
      <c r="F485" t="s">
        <v>1024</v>
      </c>
      <c r="G485">
        <v>10</v>
      </c>
      <c r="H485">
        <v>0</v>
      </c>
      <c r="I485" t="s">
        <v>1025</v>
      </c>
      <c r="J485" t="str">
        <f>"153000462"</f>
        <v>153000462</v>
      </c>
      <c r="K485" s="1">
        <v>48044</v>
      </c>
      <c r="M485" s="1">
        <v>46219</v>
      </c>
      <c r="N485" t="str">
        <f>"1329001983"</f>
        <v>1329001983</v>
      </c>
      <c r="O485">
        <v>10</v>
      </c>
      <c r="P485" s="2">
        <v>46226.616238425922</v>
      </c>
      <c r="Q485" s="2">
        <v>46226.885046296295</v>
      </c>
      <c r="R485" s="2">
        <v>46226.616238425922</v>
      </c>
      <c r="S485">
        <v>0</v>
      </c>
      <c r="T485" t="s">
        <v>67</v>
      </c>
      <c r="U485" t="s">
        <v>67</v>
      </c>
      <c r="W485" t="str">
        <f>"400930"</f>
        <v>400930</v>
      </c>
      <c r="X485" t="s">
        <v>37</v>
      </c>
      <c r="AD485" s="2">
        <v>46226.885046296295</v>
      </c>
    </row>
    <row r="486" spans="1:30" x14ac:dyDescent="0.35">
      <c r="A486" t="s">
        <v>30</v>
      </c>
      <c r="B486" t="s">
        <v>31</v>
      </c>
      <c r="C486" t="s">
        <v>1026</v>
      </c>
      <c r="D486" t="s">
        <v>33</v>
      </c>
      <c r="E486" t="str">
        <f>"400930"</f>
        <v>400930</v>
      </c>
      <c r="F486" t="s">
        <v>1024</v>
      </c>
      <c r="G486">
        <v>24</v>
      </c>
      <c r="H486">
        <v>0</v>
      </c>
      <c r="I486" t="s">
        <v>1027</v>
      </c>
      <c r="J486" t="str">
        <f>"153000462"</f>
        <v>153000462</v>
      </c>
      <c r="K486" s="1">
        <v>48044</v>
      </c>
      <c r="M486" s="1">
        <v>46219</v>
      </c>
      <c r="N486" t="str">
        <f>"1329001983"</f>
        <v>1329001983</v>
      </c>
      <c r="O486">
        <v>24</v>
      </c>
      <c r="P486" s="2">
        <v>46226.616886574076</v>
      </c>
      <c r="Q486" s="2">
        <v>46226.887071759258</v>
      </c>
      <c r="R486" s="2">
        <v>46226.616886574076</v>
      </c>
      <c r="S486">
        <v>0</v>
      </c>
      <c r="T486" t="s">
        <v>67</v>
      </c>
      <c r="U486" t="s">
        <v>67</v>
      </c>
      <c r="W486" t="str">
        <f>"400930"</f>
        <v>400930</v>
      </c>
      <c r="X486" t="s">
        <v>37</v>
      </c>
      <c r="AD486" s="2">
        <v>46226.887071759258</v>
      </c>
    </row>
    <row r="487" spans="1:30" x14ac:dyDescent="0.35">
      <c r="A487" t="s">
        <v>30</v>
      </c>
      <c r="B487" t="s">
        <v>31</v>
      </c>
      <c r="C487" t="s">
        <v>1028</v>
      </c>
      <c r="D487" t="s">
        <v>33</v>
      </c>
      <c r="E487" t="str">
        <f>"400930"</f>
        <v>400930</v>
      </c>
      <c r="F487" t="s">
        <v>1024</v>
      </c>
      <c r="G487">
        <v>24</v>
      </c>
      <c r="H487">
        <v>0</v>
      </c>
      <c r="I487" t="s">
        <v>1029</v>
      </c>
      <c r="J487" t="str">
        <f>"153000384"</f>
        <v>153000384</v>
      </c>
      <c r="K487" s="1">
        <v>48001</v>
      </c>
      <c r="M487" s="1">
        <v>46176</v>
      </c>
      <c r="N487" t="str">
        <f>"1329001983"</f>
        <v>1329001983</v>
      </c>
      <c r="O487">
        <v>24</v>
      </c>
      <c r="P487" s="2">
        <v>46226.623923611114</v>
      </c>
      <c r="Q487" s="2">
        <v>46226.891469907408</v>
      </c>
      <c r="R487" s="2">
        <v>46226.623923611114</v>
      </c>
      <c r="S487">
        <v>0</v>
      </c>
      <c r="T487" t="s">
        <v>67</v>
      </c>
      <c r="U487" t="s">
        <v>67</v>
      </c>
      <c r="W487" t="str">
        <f>"400930"</f>
        <v>400930</v>
      </c>
      <c r="X487" t="s">
        <v>37</v>
      </c>
      <c r="AD487" s="2">
        <v>46226.891469907408</v>
      </c>
    </row>
    <row r="488" spans="1:30" x14ac:dyDescent="0.35">
      <c r="A488" t="s">
        <v>30</v>
      </c>
      <c r="B488" t="s">
        <v>31</v>
      </c>
      <c r="C488" t="s">
        <v>1030</v>
      </c>
      <c r="D488" t="s">
        <v>33</v>
      </c>
      <c r="E488" t="str">
        <f>"400930"</f>
        <v>400930</v>
      </c>
      <c r="F488" t="s">
        <v>1024</v>
      </c>
      <c r="G488">
        <v>24</v>
      </c>
      <c r="H488">
        <v>0</v>
      </c>
      <c r="I488" t="s">
        <v>1031</v>
      </c>
      <c r="J488" t="str">
        <f>"153000462"</f>
        <v>153000462</v>
      </c>
      <c r="K488" s="1">
        <v>48044</v>
      </c>
      <c r="M488" s="1">
        <v>46219</v>
      </c>
      <c r="N488" t="str">
        <f>"1329001983"</f>
        <v>1329001983</v>
      </c>
      <c r="O488">
        <v>24</v>
      </c>
      <c r="P488" s="2">
        <v>46226.624537037038</v>
      </c>
      <c r="Q488" s="2">
        <v>46226.892650462964</v>
      </c>
      <c r="R488" s="2">
        <v>46226.624537037038</v>
      </c>
      <c r="S488">
        <v>0</v>
      </c>
      <c r="T488" t="s">
        <v>67</v>
      </c>
      <c r="U488" t="s">
        <v>67</v>
      </c>
      <c r="V488" t="s">
        <v>1032</v>
      </c>
      <c r="W488" t="str">
        <f>"400930"</f>
        <v>400930</v>
      </c>
      <c r="X488" t="s">
        <v>37</v>
      </c>
      <c r="AD488" s="2">
        <v>46226.892222222225</v>
      </c>
    </row>
    <row r="489" spans="1:30" x14ac:dyDescent="0.35">
      <c r="A489" t="s">
        <v>30</v>
      </c>
      <c r="B489" t="s">
        <v>31</v>
      </c>
      <c r="C489" t="s">
        <v>1033</v>
      </c>
      <c r="D489" t="s">
        <v>33</v>
      </c>
      <c r="E489" t="str">
        <f>"400929"</f>
        <v>400929</v>
      </c>
      <c r="F489" t="s">
        <v>983</v>
      </c>
      <c r="G489">
        <v>24</v>
      </c>
      <c r="H489">
        <v>0</v>
      </c>
      <c r="I489" t="s">
        <v>1032</v>
      </c>
      <c r="J489" t="str">
        <f>"153000461"</f>
        <v>153000461</v>
      </c>
      <c r="K489" s="1">
        <v>48043</v>
      </c>
      <c r="M489" s="1">
        <v>46218</v>
      </c>
      <c r="N489" t="str">
        <f>"1329001977"</f>
        <v>1329001977</v>
      </c>
      <c r="O489">
        <v>24</v>
      </c>
      <c r="P489" s="2">
        <v>46224.587291666663</v>
      </c>
      <c r="Q489" s="2">
        <v>46226.892777777779</v>
      </c>
      <c r="R489" s="2">
        <v>46224.587291666663</v>
      </c>
      <c r="S489">
        <v>0</v>
      </c>
      <c r="T489" t="s">
        <v>67</v>
      </c>
      <c r="U489" t="s">
        <v>67</v>
      </c>
      <c r="V489" t="s">
        <v>1034</v>
      </c>
      <c r="W489" t="str">
        <f>"400929"</f>
        <v>400929</v>
      </c>
      <c r="X489" t="s">
        <v>37</v>
      </c>
      <c r="AD489" s="2">
        <v>46224.983506944445</v>
      </c>
    </row>
    <row r="490" spans="1:30" x14ac:dyDescent="0.35">
      <c r="A490" t="s">
        <v>30</v>
      </c>
      <c r="B490" t="s">
        <v>31</v>
      </c>
      <c r="C490" t="s">
        <v>1035</v>
      </c>
      <c r="D490" t="s">
        <v>33</v>
      </c>
      <c r="E490" t="str">
        <f t="shared" ref="E490:E497" si="77">"400930"</f>
        <v>400930</v>
      </c>
      <c r="F490" t="s">
        <v>1024</v>
      </c>
      <c r="G490">
        <v>24</v>
      </c>
      <c r="H490">
        <v>0</v>
      </c>
      <c r="I490" t="s">
        <v>1034</v>
      </c>
      <c r="J490" t="str">
        <f>"153000462"</f>
        <v>153000462</v>
      </c>
      <c r="K490" s="1">
        <v>48044</v>
      </c>
      <c r="M490" s="1">
        <v>46219</v>
      </c>
      <c r="N490" t="str">
        <f t="shared" ref="N490:N497" si="78">"1329001983"</f>
        <v>1329001983</v>
      </c>
      <c r="O490">
        <v>24</v>
      </c>
      <c r="P490" s="2">
        <v>46226.624930555554</v>
      </c>
      <c r="Q490" s="2">
        <v>46226.893657407411</v>
      </c>
      <c r="R490" s="2">
        <v>46226.624930555554</v>
      </c>
      <c r="S490">
        <v>0</v>
      </c>
      <c r="T490" t="s">
        <v>67</v>
      </c>
      <c r="U490" t="s">
        <v>67</v>
      </c>
      <c r="W490" t="str">
        <f t="shared" ref="W490:W497" si="79">"400930"</f>
        <v>400930</v>
      </c>
      <c r="X490" t="s">
        <v>37</v>
      </c>
      <c r="AD490" s="2">
        <v>46226.893657407411</v>
      </c>
    </row>
    <row r="491" spans="1:30" x14ac:dyDescent="0.35">
      <c r="A491" t="s">
        <v>30</v>
      </c>
      <c r="B491" t="s">
        <v>31</v>
      </c>
      <c r="C491" t="s">
        <v>1036</v>
      </c>
      <c r="D491" t="s">
        <v>33</v>
      </c>
      <c r="E491" t="str">
        <f t="shared" si="77"/>
        <v>400930</v>
      </c>
      <c r="F491" t="s">
        <v>1024</v>
      </c>
      <c r="G491">
        <v>24</v>
      </c>
      <c r="H491">
        <v>0</v>
      </c>
      <c r="I491" t="s">
        <v>1037</v>
      </c>
      <c r="J491" t="str">
        <f>"153000462"</f>
        <v>153000462</v>
      </c>
      <c r="K491" s="1">
        <v>48044</v>
      </c>
      <c r="M491" s="1">
        <v>46219</v>
      </c>
      <c r="N491" t="str">
        <f t="shared" si="78"/>
        <v>1329001983</v>
      </c>
      <c r="O491">
        <v>24</v>
      </c>
      <c r="P491" s="2">
        <v>46226.625162037039</v>
      </c>
      <c r="Q491" s="2">
        <v>46226.894432870373</v>
      </c>
      <c r="R491" s="2">
        <v>46226.625162037039</v>
      </c>
      <c r="S491">
        <v>0</v>
      </c>
      <c r="T491" t="s">
        <v>67</v>
      </c>
      <c r="U491" t="s">
        <v>67</v>
      </c>
      <c r="W491" t="str">
        <f t="shared" si="79"/>
        <v>400930</v>
      </c>
      <c r="X491" t="s">
        <v>37</v>
      </c>
      <c r="AD491" s="2">
        <v>46226.894432870373</v>
      </c>
    </row>
    <row r="492" spans="1:30" x14ac:dyDescent="0.35">
      <c r="A492" t="s">
        <v>30</v>
      </c>
      <c r="B492" t="s">
        <v>31</v>
      </c>
      <c r="C492" t="s">
        <v>1038</v>
      </c>
      <c r="D492" t="s">
        <v>33</v>
      </c>
      <c r="E492" t="str">
        <f t="shared" si="77"/>
        <v>400930</v>
      </c>
      <c r="F492" t="s">
        <v>1024</v>
      </c>
      <c r="G492">
        <v>24</v>
      </c>
      <c r="H492">
        <v>0</v>
      </c>
      <c r="I492" t="s">
        <v>1039</v>
      </c>
      <c r="J492" t="str">
        <f>"153000348"</f>
        <v>153000348</v>
      </c>
      <c r="K492" s="1">
        <v>48001</v>
      </c>
      <c r="M492" s="1">
        <v>46176</v>
      </c>
      <c r="N492" t="str">
        <f t="shared" si="78"/>
        <v>1329001983</v>
      </c>
      <c r="O492">
        <v>24</v>
      </c>
      <c r="P492" s="2">
        <v>46226.625555555554</v>
      </c>
      <c r="Q492" s="2">
        <v>46226.894641203704</v>
      </c>
      <c r="R492" s="2">
        <v>46226.625555555554</v>
      </c>
      <c r="S492">
        <v>0</v>
      </c>
      <c r="T492" t="s">
        <v>67</v>
      </c>
      <c r="U492" t="s">
        <v>67</v>
      </c>
      <c r="W492" t="str">
        <f t="shared" si="79"/>
        <v>400930</v>
      </c>
      <c r="X492" t="s">
        <v>37</v>
      </c>
      <c r="AD492" s="2">
        <v>46226.894641203704</v>
      </c>
    </row>
    <row r="493" spans="1:30" x14ac:dyDescent="0.35">
      <c r="A493" t="s">
        <v>30</v>
      </c>
      <c r="B493" t="s">
        <v>31</v>
      </c>
      <c r="C493" t="s">
        <v>1040</v>
      </c>
      <c r="D493" t="s">
        <v>33</v>
      </c>
      <c r="E493" t="str">
        <f t="shared" si="77"/>
        <v>400930</v>
      </c>
      <c r="F493" t="s">
        <v>1024</v>
      </c>
      <c r="G493">
        <v>24</v>
      </c>
      <c r="H493">
        <v>0</v>
      </c>
      <c r="I493" t="s">
        <v>1041</v>
      </c>
      <c r="J493" t="str">
        <f>"15300462"</f>
        <v>15300462</v>
      </c>
      <c r="K493" s="1">
        <v>48044</v>
      </c>
      <c r="M493" s="1">
        <v>46219</v>
      </c>
      <c r="N493" t="str">
        <f t="shared" si="78"/>
        <v>1329001983</v>
      </c>
      <c r="O493">
        <v>24</v>
      </c>
      <c r="P493" s="2">
        <v>46226.625960648147</v>
      </c>
      <c r="Q493" s="2">
        <v>46226.895219907405</v>
      </c>
      <c r="R493" s="2">
        <v>46226.625960648147</v>
      </c>
      <c r="S493">
        <v>0</v>
      </c>
      <c r="T493" t="s">
        <v>67</v>
      </c>
      <c r="U493" t="s">
        <v>67</v>
      </c>
      <c r="W493" t="str">
        <f t="shared" si="79"/>
        <v>400930</v>
      </c>
      <c r="X493" t="s">
        <v>37</v>
      </c>
      <c r="AD493" s="2">
        <v>46226.895219907405</v>
      </c>
    </row>
    <row r="494" spans="1:30" x14ac:dyDescent="0.35">
      <c r="A494" t="s">
        <v>30</v>
      </c>
      <c r="B494" t="s">
        <v>31</v>
      </c>
      <c r="C494" t="s">
        <v>1042</v>
      </c>
      <c r="D494" t="s">
        <v>33</v>
      </c>
      <c r="E494" t="str">
        <f t="shared" si="77"/>
        <v>400930</v>
      </c>
      <c r="F494" t="s">
        <v>1024</v>
      </c>
      <c r="G494">
        <v>24</v>
      </c>
      <c r="H494">
        <v>0</v>
      </c>
      <c r="I494" t="s">
        <v>1043</v>
      </c>
      <c r="J494" t="str">
        <f>"153000462"</f>
        <v>153000462</v>
      </c>
      <c r="K494" s="1">
        <v>48044</v>
      </c>
      <c r="M494" s="1">
        <v>46219</v>
      </c>
      <c r="N494" t="str">
        <f t="shared" si="78"/>
        <v>1329001983</v>
      </c>
      <c r="O494">
        <v>24</v>
      </c>
      <c r="P494" s="2">
        <v>46226.626145833332</v>
      </c>
      <c r="Q494" s="2">
        <v>46226.895856481482</v>
      </c>
      <c r="R494" s="2">
        <v>46226.626145833332</v>
      </c>
      <c r="S494">
        <v>0</v>
      </c>
      <c r="T494" t="s">
        <v>67</v>
      </c>
      <c r="U494" t="s">
        <v>67</v>
      </c>
      <c r="W494" t="str">
        <f t="shared" si="79"/>
        <v>400930</v>
      </c>
      <c r="X494" t="s">
        <v>37</v>
      </c>
      <c r="AD494" s="2">
        <v>46226.895856481482</v>
      </c>
    </row>
    <row r="495" spans="1:30" x14ac:dyDescent="0.35">
      <c r="A495" t="s">
        <v>30</v>
      </c>
      <c r="B495" t="s">
        <v>31</v>
      </c>
      <c r="C495" t="s">
        <v>1044</v>
      </c>
      <c r="D495" t="s">
        <v>33</v>
      </c>
      <c r="E495" t="str">
        <f t="shared" si="77"/>
        <v>400930</v>
      </c>
      <c r="F495" t="s">
        <v>1024</v>
      </c>
      <c r="G495">
        <v>24</v>
      </c>
      <c r="H495">
        <v>0</v>
      </c>
      <c r="I495" t="s">
        <v>1045</v>
      </c>
      <c r="J495" t="str">
        <f>"153000462"</f>
        <v>153000462</v>
      </c>
      <c r="K495" s="1">
        <v>48044</v>
      </c>
      <c r="M495" s="1">
        <v>46219</v>
      </c>
      <c r="N495" t="str">
        <f t="shared" si="78"/>
        <v>1329001983</v>
      </c>
      <c r="O495">
        <v>24</v>
      </c>
      <c r="P495" s="2">
        <v>46226.626296296294</v>
      </c>
      <c r="Q495" s="2">
        <v>46226.896469907406</v>
      </c>
      <c r="R495" s="2">
        <v>46226.626296296294</v>
      </c>
      <c r="S495">
        <v>0</v>
      </c>
      <c r="T495" t="s">
        <v>67</v>
      </c>
      <c r="U495" t="s">
        <v>67</v>
      </c>
      <c r="W495" t="str">
        <f t="shared" si="79"/>
        <v>400930</v>
      </c>
      <c r="X495" t="s">
        <v>37</v>
      </c>
      <c r="AD495" s="2">
        <v>46226.896469907406</v>
      </c>
    </row>
    <row r="496" spans="1:30" x14ac:dyDescent="0.35">
      <c r="A496" t="s">
        <v>30</v>
      </c>
      <c r="B496" t="s">
        <v>31</v>
      </c>
      <c r="C496" t="s">
        <v>1046</v>
      </c>
      <c r="D496" t="s">
        <v>33</v>
      </c>
      <c r="E496" t="str">
        <f t="shared" si="77"/>
        <v>400930</v>
      </c>
      <c r="F496" t="s">
        <v>1024</v>
      </c>
      <c r="G496">
        <v>24</v>
      </c>
      <c r="H496">
        <v>0</v>
      </c>
      <c r="I496" t="s">
        <v>1047</v>
      </c>
      <c r="J496" t="str">
        <f>"153000462"</f>
        <v>153000462</v>
      </c>
      <c r="K496" s="1">
        <v>48044</v>
      </c>
      <c r="M496" s="1">
        <v>46219</v>
      </c>
      <c r="N496" t="str">
        <f t="shared" si="78"/>
        <v>1329001983</v>
      </c>
      <c r="O496">
        <v>24</v>
      </c>
      <c r="P496" s="2">
        <v>46226.626458333332</v>
      </c>
      <c r="Q496" s="2">
        <v>46226.897488425922</v>
      </c>
      <c r="R496" s="2">
        <v>46226.626458333332</v>
      </c>
      <c r="S496">
        <v>0</v>
      </c>
      <c r="T496" t="s">
        <v>67</v>
      </c>
      <c r="U496" t="s">
        <v>67</v>
      </c>
      <c r="W496" t="str">
        <f t="shared" si="79"/>
        <v>400930</v>
      </c>
      <c r="X496" t="s">
        <v>37</v>
      </c>
      <c r="AD496" s="2">
        <v>46226.897488425922</v>
      </c>
    </row>
    <row r="497" spans="1:30" x14ac:dyDescent="0.35">
      <c r="A497" t="s">
        <v>30</v>
      </c>
      <c r="B497" t="s">
        <v>31</v>
      </c>
      <c r="C497" t="s">
        <v>1048</v>
      </c>
      <c r="D497" t="s">
        <v>33</v>
      </c>
      <c r="E497" t="str">
        <f t="shared" si="77"/>
        <v>400930</v>
      </c>
      <c r="F497" t="s">
        <v>1024</v>
      </c>
      <c r="G497">
        <v>24</v>
      </c>
      <c r="H497">
        <v>0</v>
      </c>
      <c r="I497" t="s">
        <v>1049</v>
      </c>
      <c r="J497" t="str">
        <f>"153000462"</f>
        <v>153000462</v>
      </c>
      <c r="K497" s="1">
        <v>48044</v>
      </c>
      <c r="M497" s="1">
        <v>46219</v>
      </c>
      <c r="N497" t="str">
        <f t="shared" si="78"/>
        <v>1329001983</v>
      </c>
      <c r="O497">
        <v>24</v>
      </c>
      <c r="P497" s="2">
        <v>46226.626666666663</v>
      </c>
      <c r="Q497" s="2">
        <v>46226.897986111115</v>
      </c>
      <c r="R497" s="2">
        <v>46226.626666666663</v>
      </c>
      <c r="S497">
        <v>0</v>
      </c>
      <c r="T497" t="s">
        <v>67</v>
      </c>
      <c r="U497" t="s">
        <v>67</v>
      </c>
      <c r="W497" t="str">
        <f t="shared" si="79"/>
        <v>400930</v>
      </c>
      <c r="X497" t="s">
        <v>37</v>
      </c>
      <c r="AD497" s="2">
        <v>46226.897986111115</v>
      </c>
    </row>
    <row r="498" spans="1:30" x14ac:dyDescent="0.35">
      <c r="A498" t="s">
        <v>30</v>
      </c>
      <c r="B498" t="s">
        <v>31</v>
      </c>
      <c r="C498" t="s">
        <v>1050</v>
      </c>
      <c r="D498" t="s">
        <v>33</v>
      </c>
      <c r="E498" t="str">
        <f>"401149"</f>
        <v>401149</v>
      </c>
      <c r="F498" t="s">
        <v>1051</v>
      </c>
      <c r="G498">
        <v>4</v>
      </c>
      <c r="H498">
        <v>0</v>
      </c>
      <c r="I498" t="s">
        <v>1052</v>
      </c>
      <c r="J498" t="str">
        <f>"153000305"</f>
        <v>153000305</v>
      </c>
      <c r="K498" s="1">
        <v>47976</v>
      </c>
      <c r="M498" s="1">
        <v>46151</v>
      </c>
      <c r="N498" t="str">
        <f t="shared" ref="N498:N527" si="80">"1329001987"</f>
        <v>1329001987</v>
      </c>
      <c r="O498">
        <v>4</v>
      </c>
      <c r="P498" s="2">
        <v>46226.472384259258</v>
      </c>
      <c r="Q498" s="2">
        <v>46226.899861111109</v>
      </c>
      <c r="R498" s="2">
        <v>46226.472384259258</v>
      </c>
      <c r="S498">
        <v>0</v>
      </c>
      <c r="T498" t="s">
        <v>67</v>
      </c>
      <c r="U498" t="s">
        <v>67</v>
      </c>
      <c r="W498" t="str">
        <f>"401149"</f>
        <v>401149</v>
      </c>
      <c r="X498" t="s">
        <v>41</v>
      </c>
      <c r="AD498" s="2">
        <v>46226.899861111109</v>
      </c>
    </row>
    <row r="499" spans="1:30" x14ac:dyDescent="0.35">
      <c r="A499" t="s">
        <v>30</v>
      </c>
      <c r="B499" t="s">
        <v>31</v>
      </c>
      <c r="C499" t="s">
        <v>1053</v>
      </c>
      <c r="D499" t="s">
        <v>33</v>
      </c>
      <c r="E499" t="str">
        <f>"400459"</f>
        <v>400459</v>
      </c>
      <c r="F499" t="s">
        <v>1054</v>
      </c>
      <c r="G499">
        <v>4</v>
      </c>
      <c r="H499">
        <v>0</v>
      </c>
      <c r="I499" t="s">
        <v>1055</v>
      </c>
      <c r="J499" t="str">
        <f>"153000326"</f>
        <v>153000326</v>
      </c>
      <c r="K499" s="1">
        <v>47986</v>
      </c>
      <c r="M499" s="1">
        <v>46161</v>
      </c>
      <c r="N499" t="str">
        <f t="shared" si="80"/>
        <v>1329001987</v>
      </c>
      <c r="O499">
        <v>4</v>
      </c>
      <c r="P499" s="2">
        <v>46226.472256944442</v>
      </c>
      <c r="Q499" s="2">
        <v>46226.900335648148</v>
      </c>
      <c r="R499" s="2">
        <v>46226.472256944442</v>
      </c>
      <c r="S499">
        <v>0</v>
      </c>
      <c r="T499" t="s">
        <v>67</v>
      </c>
      <c r="U499" t="s">
        <v>67</v>
      </c>
      <c r="W499" t="str">
        <f>"400459"</f>
        <v>400459</v>
      </c>
      <c r="X499" t="s">
        <v>41</v>
      </c>
      <c r="AD499" s="2">
        <v>46226.900335648148</v>
      </c>
    </row>
    <row r="500" spans="1:30" x14ac:dyDescent="0.35">
      <c r="A500" t="s">
        <v>30</v>
      </c>
      <c r="B500" t="s">
        <v>31</v>
      </c>
      <c r="C500" t="s">
        <v>1056</v>
      </c>
      <c r="D500" t="s">
        <v>33</v>
      </c>
      <c r="E500" t="str">
        <f>"401149"</f>
        <v>401149</v>
      </c>
      <c r="F500" t="s">
        <v>1051</v>
      </c>
      <c r="G500">
        <v>4</v>
      </c>
      <c r="H500">
        <v>0</v>
      </c>
      <c r="I500" t="s">
        <v>1057</v>
      </c>
      <c r="J500" t="str">
        <f>"153000305"</f>
        <v>153000305</v>
      </c>
      <c r="K500" s="1">
        <v>47976</v>
      </c>
      <c r="M500" s="1">
        <v>46151</v>
      </c>
      <c r="N500" t="str">
        <f t="shared" si="80"/>
        <v>1329001987</v>
      </c>
      <c r="O500">
        <v>4</v>
      </c>
      <c r="P500" s="2">
        <v>46226.472129629627</v>
      </c>
      <c r="Q500" s="2">
        <v>46226.900914351849</v>
      </c>
      <c r="R500" s="2">
        <v>46226.472129629627</v>
      </c>
      <c r="S500">
        <v>0</v>
      </c>
      <c r="T500" t="s">
        <v>67</v>
      </c>
      <c r="U500" t="s">
        <v>67</v>
      </c>
      <c r="W500" t="str">
        <f>"401149"</f>
        <v>401149</v>
      </c>
      <c r="X500" t="s">
        <v>41</v>
      </c>
      <c r="AD500" s="2">
        <v>46226.900914351849</v>
      </c>
    </row>
    <row r="501" spans="1:30" x14ac:dyDescent="0.35">
      <c r="A501" t="s">
        <v>30</v>
      </c>
      <c r="B501" t="s">
        <v>31</v>
      </c>
      <c r="C501" t="s">
        <v>1058</v>
      </c>
      <c r="D501" t="s">
        <v>33</v>
      </c>
      <c r="E501" t="str">
        <f>"400459"</f>
        <v>400459</v>
      </c>
      <c r="F501" t="s">
        <v>1054</v>
      </c>
      <c r="G501">
        <v>4</v>
      </c>
      <c r="H501">
        <v>0</v>
      </c>
      <c r="I501" t="s">
        <v>1059</v>
      </c>
      <c r="J501" t="str">
        <f>"153000326"</f>
        <v>153000326</v>
      </c>
      <c r="K501" s="1">
        <v>47986</v>
      </c>
      <c r="M501" s="1">
        <v>46161</v>
      </c>
      <c r="N501" t="str">
        <f t="shared" si="80"/>
        <v>1329001987</v>
      </c>
      <c r="O501">
        <v>4</v>
      </c>
      <c r="P501" s="2">
        <v>46226.471990740742</v>
      </c>
      <c r="Q501" s="2">
        <v>46226.901678240742</v>
      </c>
      <c r="R501" s="2">
        <v>46226.471990740742</v>
      </c>
      <c r="S501">
        <v>0</v>
      </c>
      <c r="T501" t="s">
        <v>67</v>
      </c>
      <c r="U501" t="s">
        <v>67</v>
      </c>
      <c r="W501" t="str">
        <f>"400459"</f>
        <v>400459</v>
      </c>
      <c r="X501" t="s">
        <v>41</v>
      </c>
      <c r="AD501" s="2">
        <v>46226.901678240742</v>
      </c>
    </row>
    <row r="502" spans="1:30" x14ac:dyDescent="0.35">
      <c r="A502" t="s">
        <v>30</v>
      </c>
      <c r="B502" t="s">
        <v>31</v>
      </c>
      <c r="C502" t="s">
        <v>1060</v>
      </c>
      <c r="D502" t="s">
        <v>33</v>
      </c>
      <c r="E502" t="str">
        <f>"401149"</f>
        <v>401149</v>
      </c>
      <c r="F502" t="s">
        <v>1051</v>
      </c>
      <c r="G502">
        <v>4</v>
      </c>
      <c r="H502">
        <v>0</v>
      </c>
      <c r="I502" t="s">
        <v>1061</v>
      </c>
      <c r="J502" t="str">
        <f>"153000305"</f>
        <v>153000305</v>
      </c>
      <c r="K502" s="1">
        <v>47976</v>
      </c>
      <c r="M502" s="1">
        <v>46151</v>
      </c>
      <c r="N502" t="str">
        <f t="shared" si="80"/>
        <v>1329001987</v>
      </c>
      <c r="O502">
        <v>4</v>
      </c>
      <c r="P502" s="2">
        <v>46226.471851851849</v>
      </c>
      <c r="Q502" s="2">
        <v>46226.902395833335</v>
      </c>
      <c r="R502" s="2">
        <v>46226.471851851849</v>
      </c>
      <c r="S502">
        <v>0</v>
      </c>
      <c r="T502" t="s">
        <v>67</v>
      </c>
      <c r="U502" t="s">
        <v>67</v>
      </c>
      <c r="W502" t="str">
        <f>"401149"</f>
        <v>401149</v>
      </c>
      <c r="X502" t="s">
        <v>41</v>
      </c>
      <c r="AD502" s="2">
        <v>46226.902395833335</v>
      </c>
    </row>
    <row r="503" spans="1:30" x14ac:dyDescent="0.35">
      <c r="A503" t="s">
        <v>30</v>
      </c>
      <c r="B503" t="s">
        <v>31</v>
      </c>
      <c r="C503" t="s">
        <v>1062</v>
      </c>
      <c r="D503" t="s">
        <v>33</v>
      </c>
      <c r="E503" t="str">
        <f>"400459"</f>
        <v>400459</v>
      </c>
      <c r="F503" t="s">
        <v>1054</v>
      </c>
      <c r="G503">
        <v>4</v>
      </c>
      <c r="H503">
        <v>0</v>
      </c>
      <c r="I503" t="s">
        <v>1063</v>
      </c>
      <c r="J503" t="str">
        <f>"153000326"</f>
        <v>153000326</v>
      </c>
      <c r="K503" s="1">
        <v>47986</v>
      </c>
      <c r="M503" s="1">
        <v>46161</v>
      </c>
      <c r="N503" t="str">
        <f t="shared" si="80"/>
        <v>1329001987</v>
      </c>
      <c r="O503">
        <v>4</v>
      </c>
      <c r="P503" s="2">
        <v>46226.471655092595</v>
      </c>
      <c r="Q503" s="2">
        <v>46226.903124999997</v>
      </c>
      <c r="R503" s="2">
        <v>46226.471655092595</v>
      </c>
      <c r="S503">
        <v>0</v>
      </c>
      <c r="T503" t="s">
        <v>67</v>
      </c>
      <c r="U503" t="s">
        <v>67</v>
      </c>
      <c r="W503" t="str">
        <f>"400459"</f>
        <v>400459</v>
      </c>
      <c r="X503" t="s">
        <v>41</v>
      </c>
      <c r="AD503" s="2">
        <v>46226.903124999997</v>
      </c>
    </row>
    <row r="504" spans="1:30" x14ac:dyDescent="0.35">
      <c r="A504" t="s">
        <v>30</v>
      </c>
      <c r="B504" t="s">
        <v>31</v>
      </c>
      <c r="C504" t="s">
        <v>1064</v>
      </c>
      <c r="D504" t="s">
        <v>33</v>
      </c>
      <c r="E504" t="str">
        <f>"400459"</f>
        <v>400459</v>
      </c>
      <c r="F504" t="s">
        <v>1054</v>
      </c>
      <c r="G504">
        <v>4</v>
      </c>
      <c r="H504">
        <v>0</v>
      </c>
      <c r="I504" t="s">
        <v>1065</v>
      </c>
      <c r="J504" t="str">
        <f>"153000326"</f>
        <v>153000326</v>
      </c>
      <c r="K504" s="1">
        <v>47986</v>
      </c>
      <c r="M504" s="1">
        <v>46161</v>
      </c>
      <c r="N504" t="str">
        <f t="shared" si="80"/>
        <v>1329001987</v>
      </c>
      <c r="O504">
        <v>4</v>
      </c>
      <c r="P504" s="2">
        <v>46226.471539351849</v>
      </c>
      <c r="Q504" s="2">
        <v>46226.904340277775</v>
      </c>
      <c r="R504" s="2">
        <v>46226.471539351849</v>
      </c>
      <c r="S504">
        <v>0</v>
      </c>
      <c r="T504" t="s">
        <v>67</v>
      </c>
      <c r="U504" t="s">
        <v>67</v>
      </c>
      <c r="W504" t="str">
        <f>"400459"</f>
        <v>400459</v>
      </c>
      <c r="X504" t="s">
        <v>41</v>
      </c>
      <c r="AD504" s="2">
        <v>46226.904340277775</v>
      </c>
    </row>
    <row r="505" spans="1:30" x14ac:dyDescent="0.35">
      <c r="A505" t="s">
        <v>30</v>
      </c>
      <c r="B505" t="s">
        <v>31</v>
      </c>
      <c r="C505" t="s">
        <v>1066</v>
      </c>
      <c r="D505" t="s">
        <v>33</v>
      </c>
      <c r="E505" t="str">
        <f>"401149"</f>
        <v>401149</v>
      </c>
      <c r="F505" t="s">
        <v>1051</v>
      </c>
      <c r="G505">
        <v>4</v>
      </c>
      <c r="H505">
        <v>0</v>
      </c>
      <c r="I505" t="s">
        <v>1067</v>
      </c>
      <c r="J505" t="str">
        <f>"153000305"</f>
        <v>153000305</v>
      </c>
      <c r="K505" s="1">
        <v>47976</v>
      </c>
      <c r="M505" s="1">
        <v>46151</v>
      </c>
      <c r="N505" t="str">
        <f t="shared" si="80"/>
        <v>1329001987</v>
      </c>
      <c r="O505">
        <v>4</v>
      </c>
      <c r="P505" s="2">
        <v>46226.471388888887</v>
      </c>
      <c r="Q505" s="2">
        <v>46226.952662037038</v>
      </c>
      <c r="R505" s="2">
        <v>46226.471388888887</v>
      </c>
      <c r="S505">
        <v>0</v>
      </c>
      <c r="T505" t="s">
        <v>67</v>
      </c>
      <c r="U505" t="s">
        <v>67</v>
      </c>
      <c r="W505" t="str">
        <f>"401149"</f>
        <v>401149</v>
      </c>
      <c r="X505" t="s">
        <v>41</v>
      </c>
      <c r="AD505" s="2">
        <v>46226.952662037038</v>
      </c>
    </row>
    <row r="506" spans="1:30" x14ac:dyDescent="0.35">
      <c r="A506" t="s">
        <v>30</v>
      </c>
      <c r="B506" t="s">
        <v>31</v>
      </c>
      <c r="C506" t="s">
        <v>1068</v>
      </c>
      <c r="D506" t="s">
        <v>33</v>
      </c>
      <c r="E506" t="str">
        <f>"401149"</f>
        <v>401149</v>
      </c>
      <c r="F506" t="s">
        <v>1051</v>
      </c>
      <c r="G506">
        <v>4</v>
      </c>
      <c r="H506">
        <v>0</v>
      </c>
      <c r="I506" t="s">
        <v>1069</v>
      </c>
      <c r="J506" t="str">
        <f>"153000305"</f>
        <v>153000305</v>
      </c>
      <c r="K506" s="1">
        <v>47976</v>
      </c>
      <c r="M506" s="1">
        <v>46151</v>
      </c>
      <c r="N506" t="str">
        <f t="shared" si="80"/>
        <v>1329001987</v>
      </c>
      <c r="O506">
        <v>4</v>
      </c>
      <c r="P506" s="2">
        <v>46226.471261574072</v>
      </c>
      <c r="Q506" s="2">
        <v>46226.953136574077</v>
      </c>
      <c r="R506" s="2">
        <v>46226.471261574072</v>
      </c>
      <c r="S506">
        <v>0</v>
      </c>
      <c r="T506" t="s">
        <v>67</v>
      </c>
      <c r="U506" t="s">
        <v>67</v>
      </c>
      <c r="W506" t="str">
        <f>"401149"</f>
        <v>401149</v>
      </c>
      <c r="X506" t="s">
        <v>41</v>
      </c>
      <c r="AD506" s="2">
        <v>46226.953136574077</v>
      </c>
    </row>
    <row r="507" spans="1:30" x14ac:dyDescent="0.35">
      <c r="A507" t="s">
        <v>30</v>
      </c>
      <c r="B507" t="s">
        <v>31</v>
      </c>
      <c r="C507" t="s">
        <v>1070</v>
      </c>
      <c r="D507" t="s">
        <v>33</v>
      </c>
      <c r="E507" t="str">
        <f>"400459"</f>
        <v>400459</v>
      </c>
      <c r="F507" t="s">
        <v>1054</v>
      </c>
      <c r="G507">
        <v>4</v>
      </c>
      <c r="H507">
        <v>0</v>
      </c>
      <c r="I507" t="s">
        <v>1071</v>
      </c>
      <c r="J507" t="str">
        <f>"153000326"</f>
        <v>153000326</v>
      </c>
      <c r="K507" s="1">
        <v>47986</v>
      </c>
      <c r="M507" s="1">
        <v>46161</v>
      </c>
      <c r="N507" t="str">
        <f t="shared" si="80"/>
        <v>1329001987</v>
      </c>
      <c r="O507">
        <v>4</v>
      </c>
      <c r="P507" s="2">
        <v>46226.47115740741</v>
      </c>
      <c r="Q507" s="2">
        <v>46226.953634259262</v>
      </c>
      <c r="R507" s="2">
        <v>46226.47115740741</v>
      </c>
      <c r="S507">
        <v>0</v>
      </c>
      <c r="T507" t="s">
        <v>67</v>
      </c>
      <c r="U507" t="s">
        <v>67</v>
      </c>
      <c r="W507" t="str">
        <f>"400459"</f>
        <v>400459</v>
      </c>
      <c r="X507" t="s">
        <v>41</v>
      </c>
      <c r="AD507" s="2">
        <v>46226.953634259262</v>
      </c>
    </row>
    <row r="508" spans="1:30" x14ac:dyDescent="0.35">
      <c r="A508" t="s">
        <v>30</v>
      </c>
      <c r="B508" t="s">
        <v>31</v>
      </c>
      <c r="C508" t="s">
        <v>1072</v>
      </c>
      <c r="D508" t="s">
        <v>33</v>
      </c>
      <c r="E508" t="str">
        <f>"400459"</f>
        <v>400459</v>
      </c>
      <c r="F508" t="s">
        <v>1054</v>
      </c>
      <c r="G508">
        <v>4</v>
      </c>
      <c r="H508">
        <v>0</v>
      </c>
      <c r="I508" t="s">
        <v>1073</v>
      </c>
      <c r="J508" t="str">
        <f>"153000326"</f>
        <v>153000326</v>
      </c>
      <c r="K508" s="1">
        <v>47986</v>
      </c>
      <c r="M508" s="1">
        <v>46161</v>
      </c>
      <c r="N508" t="str">
        <f t="shared" si="80"/>
        <v>1329001987</v>
      </c>
      <c r="O508">
        <v>4</v>
      </c>
      <c r="P508" s="2">
        <v>46226.470972222225</v>
      </c>
      <c r="Q508" s="2">
        <v>46226.954618055555</v>
      </c>
      <c r="R508" s="2">
        <v>46226.470972222225</v>
      </c>
      <c r="S508">
        <v>0</v>
      </c>
      <c r="T508" t="s">
        <v>67</v>
      </c>
      <c r="U508" t="s">
        <v>67</v>
      </c>
      <c r="W508" t="str">
        <f>"400459"</f>
        <v>400459</v>
      </c>
      <c r="X508" t="s">
        <v>41</v>
      </c>
      <c r="AD508" s="2">
        <v>46226.954618055555</v>
      </c>
    </row>
    <row r="509" spans="1:30" x14ac:dyDescent="0.35">
      <c r="A509" t="s">
        <v>30</v>
      </c>
      <c r="B509" t="s">
        <v>31</v>
      </c>
      <c r="C509" t="s">
        <v>1074</v>
      </c>
      <c r="D509" t="s">
        <v>33</v>
      </c>
      <c r="E509" t="str">
        <f>"401149"</f>
        <v>401149</v>
      </c>
      <c r="F509" t="s">
        <v>1051</v>
      </c>
      <c r="G509">
        <v>4</v>
      </c>
      <c r="H509">
        <v>0</v>
      </c>
      <c r="I509" t="s">
        <v>1075</v>
      </c>
      <c r="J509" t="str">
        <f>"153000305"</f>
        <v>153000305</v>
      </c>
      <c r="K509" s="1">
        <v>47976</v>
      </c>
      <c r="M509" s="1">
        <v>46151</v>
      </c>
      <c r="N509" t="str">
        <f t="shared" si="80"/>
        <v>1329001987</v>
      </c>
      <c r="O509">
        <v>4</v>
      </c>
      <c r="P509" s="2">
        <v>46226.47079861111</v>
      </c>
      <c r="Q509" s="2">
        <v>46226.955289351848</v>
      </c>
      <c r="R509" s="2">
        <v>46226.47079861111</v>
      </c>
      <c r="S509">
        <v>0</v>
      </c>
      <c r="T509" t="s">
        <v>67</v>
      </c>
      <c r="U509" t="s">
        <v>67</v>
      </c>
      <c r="W509" t="str">
        <f>"401149"</f>
        <v>401149</v>
      </c>
      <c r="X509" t="s">
        <v>41</v>
      </c>
      <c r="AD509" s="2">
        <v>46226.955289351848</v>
      </c>
    </row>
    <row r="510" spans="1:30" x14ac:dyDescent="0.35">
      <c r="A510" t="s">
        <v>30</v>
      </c>
      <c r="B510" t="s">
        <v>31</v>
      </c>
      <c r="C510" t="s">
        <v>1076</v>
      </c>
      <c r="D510" t="s">
        <v>33</v>
      </c>
      <c r="E510" t="str">
        <f>"400459"</f>
        <v>400459</v>
      </c>
      <c r="F510" t="s">
        <v>1054</v>
      </c>
      <c r="G510">
        <v>4</v>
      </c>
      <c r="H510">
        <v>0</v>
      </c>
      <c r="I510" t="s">
        <v>1077</v>
      </c>
      <c r="J510" t="str">
        <f>"153000326"</f>
        <v>153000326</v>
      </c>
      <c r="K510" s="1">
        <v>47986</v>
      </c>
      <c r="M510" s="1">
        <v>46161</v>
      </c>
      <c r="N510" t="str">
        <f t="shared" si="80"/>
        <v>1329001987</v>
      </c>
      <c r="O510">
        <v>4</v>
      </c>
      <c r="P510" s="2">
        <v>46226.470671296294</v>
      </c>
      <c r="Q510" s="2">
        <v>46226.956053240741</v>
      </c>
      <c r="R510" s="2">
        <v>46226.470671296294</v>
      </c>
      <c r="S510">
        <v>0</v>
      </c>
      <c r="T510" t="s">
        <v>67</v>
      </c>
      <c r="U510" t="s">
        <v>67</v>
      </c>
      <c r="W510" t="str">
        <f>"400459"</f>
        <v>400459</v>
      </c>
      <c r="X510" t="s">
        <v>41</v>
      </c>
      <c r="AD510" s="2">
        <v>46226.956053240741</v>
      </c>
    </row>
    <row r="511" spans="1:30" x14ac:dyDescent="0.35">
      <c r="A511" t="s">
        <v>30</v>
      </c>
      <c r="B511" t="s">
        <v>31</v>
      </c>
      <c r="C511" t="s">
        <v>1078</v>
      </c>
      <c r="D511" t="s">
        <v>33</v>
      </c>
      <c r="E511" t="str">
        <f>"401149"</f>
        <v>401149</v>
      </c>
      <c r="F511" t="s">
        <v>1051</v>
      </c>
      <c r="G511">
        <v>4</v>
      </c>
      <c r="H511">
        <v>0</v>
      </c>
      <c r="I511" t="s">
        <v>1079</v>
      </c>
      <c r="J511" t="str">
        <f>"153000305"</f>
        <v>153000305</v>
      </c>
      <c r="K511" s="1">
        <v>47976</v>
      </c>
      <c r="M511" s="1">
        <v>46151</v>
      </c>
      <c r="N511" t="str">
        <f t="shared" si="80"/>
        <v>1329001987</v>
      </c>
      <c r="O511">
        <v>4</v>
      </c>
      <c r="P511" s="2">
        <v>46226.470520833333</v>
      </c>
      <c r="Q511" s="2">
        <v>46226.956817129627</v>
      </c>
      <c r="R511" s="2">
        <v>46226.470520833333</v>
      </c>
      <c r="S511">
        <v>0</v>
      </c>
      <c r="T511" t="s">
        <v>67</v>
      </c>
      <c r="U511" t="s">
        <v>67</v>
      </c>
      <c r="W511" t="str">
        <f>"401149"</f>
        <v>401149</v>
      </c>
      <c r="X511" t="s">
        <v>41</v>
      </c>
      <c r="AD511" s="2">
        <v>46226.956817129627</v>
      </c>
    </row>
    <row r="512" spans="1:30" x14ac:dyDescent="0.35">
      <c r="A512" t="s">
        <v>30</v>
      </c>
      <c r="B512" t="s">
        <v>31</v>
      </c>
      <c r="C512" t="s">
        <v>1080</v>
      </c>
      <c r="D512" t="s">
        <v>33</v>
      </c>
      <c r="E512" t="str">
        <f>"400459"</f>
        <v>400459</v>
      </c>
      <c r="F512" t="s">
        <v>1054</v>
      </c>
      <c r="G512">
        <v>4</v>
      </c>
      <c r="H512">
        <v>0</v>
      </c>
      <c r="I512" t="s">
        <v>1081</v>
      </c>
      <c r="J512" t="str">
        <f>"153000326"</f>
        <v>153000326</v>
      </c>
      <c r="K512" s="1">
        <v>47986</v>
      </c>
      <c r="M512" s="1">
        <v>46161</v>
      </c>
      <c r="N512" t="str">
        <f t="shared" si="80"/>
        <v>1329001987</v>
      </c>
      <c r="O512">
        <v>4</v>
      </c>
      <c r="P512" s="2">
        <v>46226.470347222225</v>
      </c>
      <c r="Q512" s="2">
        <v>46226.957789351851</v>
      </c>
      <c r="R512" s="2">
        <v>46226.470347222225</v>
      </c>
      <c r="S512">
        <v>0</v>
      </c>
      <c r="T512" t="s">
        <v>67</v>
      </c>
      <c r="U512" t="s">
        <v>67</v>
      </c>
      <c r="W512" t="str">
        <f>"400459"</f>
        <v>400459</v>
      </c>
      <c r="X512" t="s">
        <v>41</v>
      </c>
      <c r="AD512" s="2">
        <v>46226.957789351851</v>
      </c>
    </row>
    <row r="513" spans="1:30" x14ac:dyDescent="0.35">
      <c r="A513" t="s">
        <v>30</v>
      </c>
      <c r="B513" t="s">
        <v>31</v>
      </c>
      <c r="C513" t="s">
        <v>1082</v>
      </c>
      <c r="D513" t="s">
        <v>33</v>
      </c>
      <c r="E513" t="str">
        <f>"401149"</f>
        <v>401149</v>
      </c>
      <c r="F513" t="s">
        <v>1051</v>
      </c>
      <c r="G513">
        <v>4</v>
      </c>
      <c r="H513">
        <v>0</v>
      </c>
      <c r="I513" t="s">
        <v>1083</v>
      </c>
      <c r="J513" t="str">
        <f>"153000305"</f>
        <v>153000305</v>
      </c>
      <c r="K513" s="1">
        <v>47976</v>
      </c>
      <c r="M513" s="1">
        <v>46151</v>
      </c>
      <c r="N513" t="str">
        <f t="shared" si="80"/>
        <v>1329001987</v>
      </c>
      <c r="O513">
        <v>4</v>
      </c>
      <c r="P513" s="2">
        <v>46226.470208333332</v>
      </c>
      <c r="Q513" s="2">
        <v>46226.958668981482</v>
      </c>
      <c r="R513" s="2">
        <v>46226.470208333332</v>
      </c>
      <c r="S513">
        <v>0</v>
      </c>
      <c r="T513" t="s">
        <v>67</v>
      </c>
      <c r="U513" t="s">
        <v>67</v>
      </c>
      <c r="W513" t="str">
        <f>"401149"</f>
        <v>401149</v>
      </c>
      <c r="X513" t="s">
        <v>41</v>
      </c>
      <c r="AD513" s="2">
        <v>46226.958668981482</v>
      </c>
    </row>
    <row r="514" spans="1:30" x14ac:dyDescent="0.35">
      <c r="A514" t="s">
        <v>30</v>
      </c>
      <c r="B514" t="s">
        <v>31</v>
      </c>
      <c r="C514" t="s">
        <v>1084</v>
      </c>
      <c r="D514" t="s">
        <v>33</v>
      </c>
      <c r="E514" t="str">
        <f>"400459"</f>
        <v>400459</v>
      </c>
      <c r="F514" t="s">
        <v>1054</v>
      </c>
      <c r="G514">
        <v>4</v>
      </c>
      <c r="H514">
        <v>0</v>
      </c>
      <c r="I514" t="s">
        <v>1085</v>
      </c>
      <c r="J514" t="str">
        <f>"153000326"</f>
        <v>153000326</v>
      </c>
      <c r="K514" s="1">
        <v>47986</v>
      </c>
      <c r="M514" s="1">
        <v>46161</v>
      </c>
      <c r="N514" t="str">
        <f t="shared" si="80"/>
        <v>1329001987</v>
      </c>
      <c r="O514">
        <v>4</v>
      </c>
      <c r="P514" s="2">
        <v>46226.470081018517</v>
      </c>
      <c r="Q514" s="2">
        <v>46226.959317129629</v>
      </c>
      <c r="R514" s="2">
        <v>46226.470081018517</v>
      </c>
      <c r="S514">
        <v>0</v>
      </c>
      <c r="T514" t="s">
        <v>67</v>
      </c>
      <c r="U514" t="s">
        <v>67</v>
      </c>
      <c r="W514" t="str">
        <f>"400459"</f>
        <v>400459</v>
      </c>
      <c r="X514" t="s">
        <v>41</v>
      </c>
      <c r="AD514" s="2">
        <v>46226.959317129629</v>
      </c>
    </row>
    <row r="515" spans="1:30" x14ac:dyDescent="0.35">
      <c r="A515" t="s">
        <v>30</v>
      </c>
      <c r="B515" t="s">
        <v>31</v>
      </c>
      <c r="C515" t="s">
        <v>1086</v>
      </c>
      <c r="D515" t="s">
        <v>33</v>
      </c>
      <c r="E515" t="str">
        <f>"401149"</f>
        <v>401149</v>
      </c>
      <c r="F515" t="s">
        <v>1051</v>
      </c>
      <c r="G515">
        <v>4</v>
      </c>
      <c r="H515">
        <v>0</v>
      </c>
      <c r="I515" t="s">
        <v>1087</v>
      </c>
      <c r="J515" t="str">
        <f>"153000305"</f>
        <v>153000305</v>
      </c>
      <c r="K515" s="1">
        <v>47976</v>
      </c>
      <c r="M515" s="1">
        <v>46151</v>
      </c>
      <c r="N515" t="str">
        <f t="shared" si="80"/>
        <v>1329001987</v>
      </c>
      <c r="O515">
        <v>4</v>
      </c>
      <c r="P515" s="2">
        <v>46226.469942129632</v>
      </c>
      <c r="Q515" s="2">
        <v>46226.959988425922</v>
      </c>
      <c r="R515" s="2">
        <v>46226.469942129632</v>
      </c>
      <c r="S515">
        <v>0</v>
      </c>
      <c r="T515" t="s">
        <v>67</v>
      </c>
      <c r="U515" t="s">
        <v>67</v>
      </c>
      <c r="W515" t="str">
        <f>"401149"</f>
        <v>401149</v>
      </c>
      <c r="X515" t="s">
        <v>41</v>
      </c>
      <c r="AD515" s="2">
        <v>46226.959988425922</v>
      </c>
    </row>
    <row r="516" spans="1:30" x14ac:dyDescent="0.35">
      <c r="A516" t="s">
        <v>30</v>
      </c>
      <c r="B516" t="s">
        <v>31</v>
      </c>
      <c r="C516" t="s">
        <v>1088</v>
      </c>
      <c r="D516" t="s">
        <v>33</v>
      </c>
      <c r="E516" t="str">
        <f>"401149"</f>
        <v>401149</v>
      </c>
      <c r="F516" t="s">
        <v>1051</v>
      </c>
      <c r="G516">
        <v>4</v>
      </c>
      <c r="H516">
        <v>0</v>
      </c>
      <c r="I516" t="s">
        <v>1089</v>
      </c>
      <c r="J516" t="str">
        <f>"153000305"</f>
        <v>153000305</v>
      </c>
      <c r="K516" s="1">
        <v>47976</v>
      </c>
      <c r="M516" s="1">
        <v>46151</v>
      </c>
      <c r="N516" t="str">
        <f t="shared" si="80"/>
        <v>1329001987</v>
      </c>
      <c r="O516">
        <v>4</v>
      </c>
      <c r="P516" s="2">
        <v>46226.469768518517</v>
      </c>
      <c r="Q516" s="2">
        <v>46226.960833333331</v>
      </c>
      <c r="R516" s="2">
        <v>46226.469768518517</v>
      </c>
      <c r="S516">
        <v>0</v>
      </c>
      <c r="T516" t="s">
        <v>67</v>
      </c>
      <c r="U516" t="s">
        <v>67</v>
      </c>
      <c r="W516" t="str">
        <f>"401149"</f>
        <v>401149</v>
      </c>
      <c r="X516" t="s">
        <v>41</v>
      </c>
      <c r="AD516" s="2">
        <v>46226.960833333331</v>
      </c>
    </row>
    <row r="517" spans="1:30" x14ac:dyDescent="0.35">
      <c r="A517" t="s">
        <v>30</v>
      </c>
      <c r="B517" t="s">
        <v>31</v>
      </c>
      <c r="C517" t="s">
        <v>1090</v>
      </c>
      <c r="D517" t="s">
        <v>33</v>
      </c>
      <c r="E517" t="str">
        <f>"400459"</f>
        <v>400459</v>
      </c>
      <c r="F517" t="s">
        <v>1054</v>
      </c>
      <c r="G517">
        <v>4</v>
      </c>
      <c r="H517">
        <v>0</v>
      </c>
      <c r="I517" t="s">
        <v>1091</v>
      </c>
      <c r="J517" t="str">
        <f>"153000326"</f>
        <v>153000326</v>
      </c>
      <c r="K517" s="1">
        <v>47986</v>
      </c>
      <c r="M517" s="1">
        <v>46161</v>
      </c>
      <c r="N517" t="str">
        <f t="shared" si="80"/>
        <v>1329001987</v>
      </c>
      <c r="O517">
        <v>4</v>
      </c>
      <c r="P517" s="2">
        <v>46226.469629629632</v>
      </c>
      <c r="Q517" s="2">
        <v>46226.961793981478</v>
      </c>
      <c r="R517" s="2">
        <v>46226.469629629632</v>
      </c>
      <c r="S517">
        <v>0</v>
      </c>
      <c r="T517" t="s">
        <v>67</v>
      </c>
      <c r="U517" t="s">
        <v>67</v>
      </c>
      <c r="W517" t="str">
        <f>"400459"</f>
        <v>400459</v>
      </c>
      <c r="X517" t="s">
        <v>41</v>
      </c>
      <c r="AD517" s="2">
        <v>46226.961793981478</v>
      </c>
    </row>
    <row r="518" spans="1:30" x14ac:dyDescent="0.35">
      <c r="A518" t="s">
        <v>30</v>
      </c>
      <c r="B518" t="s">
        <v>31</v>
      </c>
      <c r="C518" t="s">
        <v>1092</v>
      </c>
      <c r="D518" t="s">
        <v>33</v>
      </c>
      <c r="E518" t="str">
        <f>"400459"</f>
        <v>400459</v>
      </c>
      <c r="F518" t="s">
        <v>1054</v>
      </c>
      <c r="G518">
        <v>4</v>
      </c>
      <c r="H518">
        <v>0</v>
      </c>
      <c r="I518" t="s">
        <v>1093</v>
      </c>
      <c r="J518" t="str">
        <f>"153000326"</f>
        <v>153000326</v>
      </c>
      <c r="K518" s="1">
        <v>47986</v>
      </c>
      <c r="M518" s="1">
        <v>46161</v>
      </c>
      <c r="N518" t="str">
        <f t="shared" si="80"/>
        <v>1329001987</v>
      </c>
      <c r="O518">
        <v>4</v>
      </c>
      <c r="P518" s="2">
        <v>46226.469189814816</v>
      </c>
      <c r="Q518" s="2">
        <v>46226.962731481479</v>
      </c>
      <c r="R518" s="2">
        <v>46226.469189814816</v>
      </c>
      <c r="S518">
        <v>0</v>
      </c>
      <c r="T518" t="s">
        <v>67</v>
      </c>
      <c r="U518" t="s">
        <v>67</v>
      </c>
      <c r="W518" t="str">
        <f>"400459"</f>
        <v>400459</v>
      </c>
      <c r="X518" t="s">
        <v>41</v>
      </c>
      <c r="AD518" s="2">
        <v>46226.962731481479</v>
      </c>
    </row>
    <row r="519" spans="1:30" x14ac:dyDescent="0.35">
      <c r="A519" t="s">
        <v>30</v>
      </c>
      <c r="B519" t="s">
        <v>31</v>
      </c>
      <c r="C519" t="s">
        <v>1094</v>
      </c>
      <c r="D519" t="s">
        <v>33</v>
      </c>
      <c r="E519" t="str">
        <f>"401149"</f>
        <v>401149</v>
      </c>
      <c r="F519" t="s">
        <v>1051</v>
      </c>
      <c r="G519">
        <v>4</v>
      </c>
      <c r="H519">
        <v>0</v>
      </c>
      <c r="I519" t="s">
        <v>1095</v>
      </c>
      <c r="J519" t="str">
        <f>"153000305"</f>
        <v>153000305</v>
      </c>
      <c r="K519" s="1">
        <v>47976</v>
      </c>
      <c r="M519" s="1">
        <v>46151</v>
      </c>
      <c r="N519" t="str">
        <f t="shared" si="80"/>
        <v>1329001987</v>
      </c>
      <c r="O519">
        <v>4</v>
      </c>
      <c r="P519" s="2">
        <v>46226.469050925924</v>
      </c>
      <c r="Q519" s="2">
        <v>46226.963761574072</v>
      </c>
      <c r="R519" s="2">
        <v>46226.469050925924</v>
      </c>
      <c r="S519">
        <v>0</v>
      </c>
      <c r="T519" t="s">
        <v>67</v>
      </c>
      <c r="U519" t="s">
        <v>67</v>
      </c>
      <c r="W519" t="str">
        <f>"401149"</f>
        <v>401149</v>
      </c>
      <c r="X519" t="s">
        <v>41</v>
      </c>
      <c r="AD519" s="2">
        <v>46226.963761574072</v>
      </c>
    </row>
    <row r="520" spans="1:30" x14ac:dyDescent="0.35">
      <c r="A520" t="s">
        <v>30</v>
      </c>
      <c r="B520" t="s">
        <v>31</v>
      </c>
      <c r="C520" t="s">
        <v>1096</v>
      </c>
      <c r="D520" t="s">
        <v>33</v>
      </c>
      <c r="E520" t="str">
        <f>"400459"</f>
        <v>400459</v>
      </c>
      <c r="F520" t="s">
        <v>1054</v>
      </c>
      <c r="G520">
        <v>4</v>
      </c>
      <c r="H520">
        <v>0</v>
      </c>
      <c r="I520" t="s">
        <v>1097</v>
      </c>
      <c r="J520" t="str">
        <f>"153000326"</f>
        <v>153000326</v>
      </c>
      <c r="K520" s="1">
        <v>47986</v>
      </c>
      <c r="M520" s="1">
        <v>46161</v>
      </c>
      <c r="N520" t="str">
        <f t="shared" si="80"/>
        <v>1329001987</v>
      </c>
      <c r="O520">
        <v>4</v>
      </c>
      <c r="P520" s="2">
        <v>46226.468715277777</v>
      </c>
      <c r="Q520" s="2">
        <v>46226.964537037034</v>
      </c>
      <c r="R520" s="2">
        <v>46226.468715277777</v>
      </c>
      <c r="S520">
        <v>0</v>
      </c>
      <c r="T520" t="s">
        <v>67</v>
      </c>
      <c r="U520" t="s">
        <v>67</v>
      </c>
      <c r="W520" t="str">
        <f>"400459"</f>
        <v>400459</v>
      </c>
      <c r="X520" t="s">
        <v>41</v>
      </c>
      <c r="AD520" s="2">
        <v>46226.964537037034</v>
      </c>
    </row>
    <row r="521" spans="1:30" x14ac:dyDescent="0.35">
      <c r="A521" t="s">
        <v>30</v>
      </c>
      <c r="B521" t="s">
        <v>31</v>
      </c>
      <c r="C521" t="s">
        <v>1098</v>
      </c>
      <c r="D521" t="s">
        <v>33</v>
      </c>
      <c r="E521" t="str">
        <f>"401149"</f>
        <v>401149</v>
      </c>
      <c r="F521" t="s">
        <v>1051</v>
      </c>
      <c r="G521">
        <v>4</v>
      </c>
      <c r="H521">
        <v>0</v>
      </c>
      <c r="I521" t="s">
        <v>1099</v>
      </c>
      <c r="J521" t="str">
        <f>"153000305"</f>
        <v>153000305</v>
      </c>
      <c r="K521" s="1">
        <v>47976</v>
      </c>
      <c r="M521" s="1">
        <v>46151</v>
      </c>
      <c r="N521" t="str">
        <f t="shared" si="80"/>
        <v>1329001987</v>
      </c>
      <c r="O521">
        <v>4</v>
      </c>
      <c r="P521" s="2">
        <v>46226.468344907407</v>
      </c>
      <c r="Q521" s="2">
        <v>46226.965405092589</v>
      </c>
      <c r="R521" s="2">
        <v>46226.468344907407</v>
      </c>
      <c r="S521">
        <v>0</v>
      </c>
      <c r="T521" t="s">
        <v>67</v>
      </c>
      <c r="U521" t="s">
        <v>67</v>
      </c>
      <c r="W521" t="str">
        <f>"401149"</f>
        <v>401149</v>
      </c>
      <c r="X521" t="s">
        <v>41</v>
      </c>
      <c r="AD521" s="2">
        <v>46226.965405092589</v>
      </c>
    </row>
    <row r="522" spans="1:30" x14ac:dyDescent="0.35">
      <c r="A522" t="s">
        <v>30</v>
      </c>
      <c r="B522" t="s">
        <v>31</v>
      </c>
      <c r="C522" t="s">
        <v>1100</v>
      </c>
      <c r="D522" t="s">
        <v>33</v>
      </c>
      <c r="E522" t="str">
        <f>"400459"</f>
        <v>400459</v>
      </c>
      <c r="F522" t="s">
        <v>1054</v>
      </c>
      <c r="G522">
        <v>4</v>
      </c>
      <c r="H522">
        <v>0</v>
      </c>
      <c r="I522" t="s">
        <v>1101</v>
      </c>
      <c r="J522" t="str">
        <f>"153000326"</f>
        <v>153000326</v>
      </c>
      <c r="K522" s="1">
        <v>47986</v>
      </c>
      <c r="M522" s="1">
        <v>46161</v>
      </c>
      <c r="N522" t="str">
        <f t="shared" si="80"/>
        <v>1329001987</v>
      </c>
      <c r="O522">
        <v>4</v>
      </c>
      <c r="P522" s="2">
        <v>46226.468842592592</v>
      </c>
      <c r="Q522" s="2">
        <v>46226.966249999998</v>
      </c>
      <c r="R522" s="2">
        <v>46226.468842592592</v>
      </c>
      <c r="S522">
        <v>0</v>
      </c>
      <c r="T522" t="s">
        <v>67</v>
      </c>
      <c r="U522" t="s">
        <v>67</v>
      </c>
      <c r="W522" t="str">
        <f>"400459"</f>
        <v>400459</v>
      </c>
      <c r="X522" t="s">
        <v>41</v>
      </c>
      <c r="AD522" s="2">
        <v>46226.966249999998</v>
      </c>
    </row>
    <row r="523" spans="1:30" x14ac:dyDescent="0.35">
      <c r="A523" t="s">
        <v>30</v>
      </c>
      <c r="B523" t="s">
        <v>31</v>
      </c>
      <c r="C523" t="s">
        <v>1102</v>
      </c>
      <c r="D523" t="s">
        <v>33</v>
      </c>
      <c r="E523" t="str">
        <f>"400459"</f>
        <v>400459</v>
      </c>
      <c r="F523" t="s">
        <v>1054</v>
      </c>
      <c r="G523">
        <v>4</v>
      </c>
      <c r="H523">
        <v>0</v>
      </c>
      <c r="I523" t="s">
        <v>1103</v>
      </c>
      <c r="J523" t="str">
        <f>"153000326"</f>
        <v>153000326</v>
      </c>
      <c r="K523" s="1">
        <v>47986</v>
      </c>
      <c r="M523" s="1">
        <v>46161</v>
      </c>
      <c r="N523" t="str">
        <f t="shared" si="80"/>
        <v>1329001987</v>
      </c>
      <c r="O523">
        <v>4</v>
      </c>
      <c r="P523" s="2">
        <v>46226.468530092592</v>
      </c>
      <c r="Q523" s="2">
        <v>46226.967002314814</v>
      </c>
      <c r="R523" s="2">
        <v>46226.468530092592</v>
      </c>
      <c r="S523">
        <v>0</v>
      </c>
      <c r="T523" t="s">
        <v>67</v>
      </c>
      <c r="U523" t="s">
        <v>67</v>
      </c>
      <c r="W523" t="str">
        <f>"400459"</f>
        <v>400459</v>
      </c>
      <c r="X523" t="s">
        <v>41</v>
      </c>
      <c r="AD523" s="2">
        <v>46226.967002314814</v>
      </c>
    </row>
    <row r="524" spans="1:30" x14ac:dyDescent="0.35">
      <c r="A524" t="s">
        <v>30</v>
      </c>
      <c r="B524" t="s">
        <v>31</v>
      </c>
      <c r="C524" t="s">
        <v>1104</v>
      </c>
      <c r="D524" t="s">
        <v>33</v>
      </c>
      <c r="E524" t="str">
        <f>"400459"</f>
        <v>400459</v>
      </c>
      <c r="F524" t="s">
        <v>1054</v>
      </c>
      <c r="G524">
        <v>4</v>
      </c>
      <c r="H524">
        <v>0</v>
      </c>
      <c r="I524" t="s">
        <v>1105</v>
      </c>
      <c r="J524" t="str">
        <f>"153000326"</f>
        <v>153000326</v>
      </c>
      <c r="K524" s="1">
        <v>47986</v>
      </c>
      <c r="M524" s="1">
        <v>46161</v>
      </c>
      <c r="N524" t="str">
        <f t="shared" si="80"/>
        <v>1329001987</v>
      </c>
      <c r="O524">
        <v>4</v>
      </c>
      <c r="P524" s="2">
        <v>46226.468124999999</v>
      </c>
      <c r="Q524" s="2">
        <v>46226.967928240738</v>
      </c>
      <c r="R524" s="2">
        <v>46226.468124999999</v>
      </c>
      <c r="S524">
        <v>0</v>
      </c>
      <c r="T524" t="s">
        <v>67</v>
      </c>
      <c r="U524" t="s">
        <v>67</v>
      </c>
      <c r="W524" t="str">
        <f>"400459"</f>
        <v>400459</v>
      </c>
      <c r="X524" t="s">
        <v>41</v>
      </c>
      <c r="AD524" s="2">
        <v>46226.967928240738</v>
      </c>
    </row>
    <row r="525" spans="1:30" x14ac:dyDescent="0.35">
      <c r="A525" t="s">
        <v>30</v>
      </c>
      <c r="B525" t="s">
        <v>31</v>
      </c>
      <c r="C525" t="s">
        <v>1106</v>
      </c>
      <c r="D525" t="s">
        <v>33</v>
      </c>
      <c r="E525" t="str">
        <f>"401149"</f>
        <v>401149</v>
      </c>
      <c r="F525" t="s">
        <v>1051</v>
      </c>
      <c r="G525">
        <v>4</v>
      </c>
      <c r="H525">
        <v>0</v>
      </c>
      <c r="I525" t="s">
        <v>1107</v>
      </c>
      <c r="J525" t="str">
        <f>"153000305"</f>
        <v>153000305</v>
      </c>
      <c r="K525" s="1">
        <v>47976</v>
      </c>
      <c r="M525" s="1">
        <v>46151</v>
      </c>
      <c r="N525" t="str">
        <f t="shared" si="80"/>
        <v>1329001987</v>
      </c>
      <c r="O525">
        <v>4</v>
      </c>
      <c r="P525" s="2">
        <v>46226.466979166667</v>
      </c>
      <c r="Q525" s="2">
        <v>46226.9687962963</v>
      </c>
      <c r="R525" s="2">
        <v>46226.466979166667</v>
      </c>
      <c r="S525">
        <v>0</v>
      </c>
      <c r="T525" t="s">
        <v>67</v>
      </c>
      <c r="U525" t="s">
        <v>67</v>
      </c>
      <c r="W525" t="str">
        <f>"401149"</f>
        <v>401149</v>
      </c>
      <c r="X525" t="s">
        <v>41</v>
      </c>
      <c r="AD525" s="2">
        <v>46226.9687962963</v>
      </c>
    </row>
    <row r="526" spans="1:30" x14ac:dyDescent="0.35">
      <c r="A526" t="s">
        <v>30</v>
      </c>
      <c r="B526" t="s">
        <v>31</v>
      </c>
      <c r="C526" t="s">
        <v>1108</v>
      </c>
      <c r="D526" t="s">
        <v>33</v>
      </c>
      <c r="E526" t="str">
        <f>"401149"</f>
        <v>401149</v>
      </c>
      <c r="F526" t="s">
        <v>1051</v>
      </c>
      <c r="G526">
        <v>4</v>
      </c>
      <c r="H526">
        <v>0</v>
      </c>
      <c r="I526" t="s">
        <v>1109</v>
      </c>
      <c r="J526" t="str">
        <f>"153000305"</f>
        <v>153000305</v>
      </c>
      <c r="K526" s="1">
        <v>47976</v>
      </c>
      <c r="M526" s="1">
        <v>46151</v>
      </c>
      <c r="N526" t="str">
        <f t="shared" si="80"/>
        <v>1329001987</v>
      </c>
      <c r="O526">
        <v>4</v>
      </c>
      <c r="P526" s="2">
        <v>46226.467800925922</v>
      </c>
      <c r="Q526" s="2">
        <v>46226.969571759262</v>
      </c>
      <c r="R526" s="2">
        <v>46226.467800925922</v>
      </c>
      <c r="S526">
        <v>0</v>
      </c>
      <c r="T526" t="s">
        <v>67</v>
      </c>
      <c r="U526" t="s">
        <v>67</v>
      </c>
      <c r="W526" t="str">
        <f>"401149"</f>
        <v>401149</v>
      </c>
      <c r="X526" t="s">
        <v>41</v>
      </c>
      <c r="AD526" s="2">
        <v>46226.969571759262</v>
      </c>
    </row>
    <row r="527" spans="1:30" x14ac:dyDescent="0.35">
      <c r="A527" t="s">
        <v>30</v>
      </c>
      <c r="B527" t="s">
        <v>31</v>
      </c>
      <c r="C527" t="s">
        <v>1110</v>
      </c>
      <c r="D527" t="s">
        <v>33</v>
      </c>
      <c r="E527" t="str">
        <f>"401149"</f>
        <v>401149</v>
      </c>
      <c r="F527" t="s">
        <v>1051</v>
      </c>
      <c r="G527">
        <v>4</v>
      </c>
      <c r="H527">
        <v>0</v>
      </c>
      <c r="I527" t="s">
        <v>1111</v>
      </c>
      <c r="J527" t="str">
        <f>"153000305"</f>
        <v>153000305</v>
      </c>
      <c r="K527" s="1">
        <v>47976</v>
      </c>
      <c r="M527" s="1">
        <v>46151</v>
      </c>
      <c r="N527" t="str">
        <f t="shared" si="80"/>
        <v>1329001987</v>
      </c>
      <c r="O527">
        <v>4</v>
      </c>
      <c r="P527" s="2">
        <v>46226.46738425926</v>
      </c>
      <c r="Q527" s="2">
        <v>46226.970277777778</v>
      </c>
      <c r="R527" s="2">
        <v>46226.46738425926</v>
      </c>
      <c r="S527">
        <v>0</v>
      </c>
      <c r="T527" t="s">
        <v>67</v>
      </c>
      <c r="U527" t="s">
        <v>67</v>
      </c>
      <c r="W527" t="str">
        <f>"401149"</f>
        <v>401149</v>
      </c>
      <c r="X527" t="s">
        <v>41</v>
      </c>
      <c r="AD527" s="2">
        <v>46226.970277777778</v>
      </c>
    </row>
    <row r="528" spans="1:30" x14ac:dyDescent="0.35">
      <c r="A528" t="s">
        <v>30</v>
      </c>
      <c r="B528" t="s">
        <v>31</v>
      </c>
      <c r="C528" t="s">
        <v>1112</v>
      </c>
      <c r="D528" t="s">
        <v>33</v>
      </c>
      <c r="E528" t="str">
        <f>"400508"</f>
        <v>400508</v>
      </c>
      <c r="F528" t="s">
        <v>586</v>
      </c>
      <c r="G528">
        <v>1</v>
      </c>
      <c r="H528">
        <v>0</v>
      </c>
      <c r="I528" t="s">
        <v>1113</v>
      </c>
      <c r="J528" t="str">
        <f>"153000298"</f>
        <v>153000298</v>
      </c>
      <c r="K528" s="1">
        <v>47974</v>
      </c>
      <c r="M528" s="1">
        <v>46149</v>
      </c>
      <c r="N528" t="str">
        <f t="shared" ref="N528:N554" si="81">"1329001990"</f>
        <v>1329001990</v>
      </c>
      <c r="O528">
        <v>1</v>
      </c>
      <c r="P528" s="2">
        <v>46229.480115740742</v>
      </c>
      <c r="Q528" s="2">
        <v>46229.788611111115</v>
      </c>
      <c r="R528" s="2">
        <v>46229.480115740742</v>
      </c>
      <c r="S528">
        <v>0</v>
      </c>
      <c r="T528" t="s">
        <v>67</v>
      </c>
      <c r="U528" t="s">
        <v>67</v>
      </c>
      <c r="W528" t="str">
        <f>"400508"</f>
        <v>400508</v>
      </c>
      <c r="X528" t="s">
        <v>41</v>
      </c>
      <c r="AD528" s="2">
        <v>46229.788611111115</v>
      </c>
    </row>
    <row r="529" spans="1:30" x14ac:dyDescent="0.35">
      <c r="A529" t="s">
        <v>30</v>
      </c>
      <c r="B529" t="s">
        <v>31</v>
      </c>
      <c r="C529" t="s">
        <v>1114</v>
      </c>
      <c r="D529" t="s">
        <v>33</v>
      </c>
      <c r="E529" t="str">
        <f>"400508"</f>
        <v>400508</v>
      </c>
      <c r="F529" t="s">
        <v>586</v>
      </c>
      <c r="G529">
        <v>4</v>
      </c>
      <c r="H529">
        <v>0</v>
      </c>
      <c r="I529" t="s">
        <v>1115</v>
      </c>
      <c r="J529" t="str">
        <f>"153000431"</f>
        <v>153000431</v>
      </c>
      <c r="K529" s="1">
        <v>48032</v>
      </c>
      <c r="M529" s="1">
        <v>46207</v>
      </c>
      <c r="N529" t="str">
        <f t="shared" si="81"/>
        <v>1329001990</v>
      </c>
      <c r="O529">
        <v>4</v>
      </c>
      <c r="P529" s="2">
        <v>46229.48027777778</v>
      </c>
      <c r="Q529" s="2">
        <v>46229.790127314816</v>
      </c>
      <c r="R529" s="2">
        <v>46229.48027777778</v>
      </c>
      <c r="S529">
        <v>0</v>
      </c>
      <c r="T529" t="s">
        <v>67</v>
      </c>
      <c r="U529" t="s">
        <v>67</v>
      </c>
      <c r="W529" t="str">
        <f>"400508"</f>
        <v>400508</v>
      </c>
      <c r="X529" t="s">
        <v>41</v>
      </c>
      <c r="AD529" s="2">
        <v>46229.790127314816</v>
      </c>
    </row>
    <row r="530" spans="1:30" x14ac:dyDescent="0.35">
      <c r="A530" t="s">
        <v>30</v>
      </c>
      <c r="B530" t="s">
        <v>31</v>
      </c>
      <c r="C530" t="s">
        <v>1116</v>
      </c>
      <c r="D530" t="s">
        <v>33</v>
      </c>
      <c r="E530" t="str">
        <f>"400508"</f>
        <v>400508</v>
      </c>
      <c r="F530" t="s">
        <v>586</v>
      </c>
      <c r="G530">
        <v>4</v>
      </c>
      <c r="H530">
        <v>0</v>
      </c>
      <c r="I530" t="s">
        <v>1117</v>
      </c>
      <c r="J530" t="str">
        <f>"153000431"</f>
        <v>153000431</v>
      </c>
      <c r="K530" s="1">
        <v>48032</v>
      </c>
      <c r="M530" s="1">
        <v>46207</v>
      </c>
      <c r="N530" t="str">
        <f t="shared" si="81"/>
        <v>1329001990</v>
      </c>
      <c r="O530">
        <v>4</v>
      </c>
      <c r="P530" s="2">
        <v>46229.480393518519</v>
      </c>
      <c r="Q530" s="2">
        <v>46229.790972222225</v>
      </c>
      <c r="R530" s="2">
        <v>46229.480393518519</v>
      </c>
      <c r="S530">
        <v>0</v>
      </c>
      <c r="T530" t="s">
        <v>67</v>
      </c>
      <c r="U530" t="s">
        <v>67</v>
      </c>
      <c r="W530" t="str">
        <f>"400508"</f>
        <v>400508</v>
      </c>
      <c r="X530" t="s">
        <v>41</v>
      </c>
      <c r="AD530" s="2">
        <v>46229.790972222225</v>
      </c>
    </row>
    <row r="531" spans="1:30" x14ac:dyDescent="0.35">
      <c r="A531" t="s">
        <v>30</v>
      </c>
      <c r="B531" t="s">
        <v>31</v>
      </c>
      <c r="C531" t="s">
        <v>1118</v>
      </c>
      <c r="D531" t="s">
        <v>33</v>
      </c>
      <c r="E531" t="str">
        <f>"400441"</f>
        <v>400441</v>
      </c>
      <c r="F531" t="s">
        <v>65</v>
      </c>
      <c r="G531">
        <v>4</v>
      </c>
      <c r="H531">
        <v>0</v>
      </c>
      <c r="I531" t="s">
        <v>1119</v>
      </c>
      <c r="J531" t="str">
        <f>"153000412"</f>
        <v>153000412</v>
      </c>
      <c r="K531" s="1">
        <v>48022</v>
      </c>
      <c r="M531" s="1">
        <v>46197</v>
      </c>
      <c r="N531" t="str">
        <f t="shared" si="81"/>
        <v>1329001990</v>
      </c>
      <c r="O531">
        <v>4</v>
      </c>
      <c r="P531" s="2">
        <v>46229.481805555559</v>
      </c>
      <c r="Q531" s="2">
        <v>46229.792453703703</v>
      </c>
      <c r="R531" s="2">
        <v>46229.481805555559</v>
      </c>
      <c r="S531">
        <v>0</v>
      </c>
      <c r="T531" t="s">
        <v>67</v>
      </c>
      <c r="U531" t="s">
        <v>67</v>
      </c>
      <c r="W531" t="str">
        <f>"400441"</f>
        <v>400441</v>
      </c>
      <c r="X531" t="s">
        <v>41</v>
      </c>
      <c r="AD531" s="2">
        <v>46229.792453703703</v>
      </c>
    </row>
    <row r="532" spans="1:30" x14ac:dyDescent="0.35">
      <c r="A532" t="s">
        <v>30</v>
      </c>
      <c r="B532" t="s">
        <v>31</v>
      </c>
      <c r="C532" t="s">
        <v>1120</v>
      </c>
      <c r="D532" t="s">
        <v>33</v>
      </c>
      <c r="E532" t="str">
        <f>"400508"</f>
        <v>400508</v>
      </c>
      <c r="F532" t="s">
        <v>586</v>
      </c>
      <c r="G532">
        <v>4</v>
      </c>
      <c r="H532">
        <v>0</v>
      </c>
      <c r="I532" t="s">
        <v>1121</v>
      </c>
      <c r="J532" t="str">
        <f>"153000298"</f>
        <v>153000298</v>
      </c>
      <c r="K532" s="1">
        <v>47974</v>
      </c>
      <c r="M532" s="1">
        <v>46149</v>
      </c>
      <c r="N532" t="str">
        <f t="shared" si="81"/>
        <v>1329001990</v>
      </c>
      <c r="O532">
        <v>4</v>
      </c>
      <c r="P532" s="2">
        <v>46229.48170138889</v>
      </c>
      <c r="Q532" s="2">
        <v>46229.793668981481</v>
      </c>
      <c r="R532" s="2">
        <v>46229.48170138889</v>
      </c>
      <c r="S532">
        <v>0</v>
      </c>
      <c r="T532" t="s">
        <v>67</v>
      </c>
      <c r="U532" t="s">
        <v>67</v>
      </c>
      <c r="W532" t="str">
        <f>"400508"</f>
        <v>400508</v>
      </c>
      <c r="X532" t="s">
        <v>41</v>
      </c>
      <c r="AD532" s="2">
        <v>46229.793668981481</v>
      </c>
    </row>
    <row r="533" spans="1:30" x14ac:dyDescent="0.35">
      <c r="A533" t="s">
        <v>30</v>
      </c>
      <c r="B533" t="s">
        <v>31</v>
      </c>
      <c r="C533" t="s">
        <v>1122</v>
      </c>
      <c r="D533" t="s">
        <v>33</v>
      </c>
      <c r="E533" t="str">
        <f>"400441"</f>
        <v>400441</v>
      </c>
      <c r="F533" t="s">
        <v>65</v>
      </c>
      <c r="G533">
        <v>4</v>
      </c>
      <c r="H533">
        <v>0</v>
      </c>
      <c r="I533" t="s">
        <v>1123</v>
      </c>
      <c r="J533" t="str">
        <f>"153000412"</f>
        <v>153000412</v>
      </c>
      <c r="K533" s="1">
        <v>48022</v>
      </c>
      <c r="M533" s="1">
        <v>46197</v>
      </c>
      <c r="N533" t="str">
        <f t="shared" si="81"/>
        <v>1329001990</v>
      </c>
      <c r="O533">
        <v>4</v>
      </c>
      <c r="P533" s="2">
        <v>46229.48159722222</v>
      </c>
      <c r="Q533" s="2">
        <v>46229.795995370368</v>
      </c>
      <c r="R533" s="2">
        <v>46229.48159722222</v>
      </c>
      <c r="S533">
        <v>0</v>
      </c>
      <c r="T533" t="s">
        <v>67</v>
      </c>
      <c r="U533" t="s">
        <v>67</v>
      </c>
      <c r="W533" t="str">
        <f>"400441"</f>
        <v>400441</v>
      </c>
      <c r="X533" t="s">
        <v>41</v>
      </c>
      <c r="AD533" s="2">
        <v>46229.795995370368</v>
      </c>
    </row>
    <row r="534" spans="1:30" x14ac:dyDescent="0.35">
      <c r="A534" t="s">
        <v>30</v>
      </c>
      <c r="B534" t="s">
        <v>31</v>
      </c>
      <c r="C534" t="s">
        <v>1124</v>
      </c>
      <c r="D534" t="s">
        <v>33</v>
      </c>
      <c r="E534" t="str">
        <f>"400508"</f>
        <v>400508</v>
      </c>
      <c r="F534" t="s">
        <v>586</v>
      </c>
      <c r="G534">
        <v>4</v>
      </c>
      <c r="H534">
        <v>0</v>
      </c>
      <c r="I534" t="s">
        <v>1125</v>
      </c>
      <c r="J534" t="str">
        <f>"153000298"</f>
        <v>153000298</v>
      </c>
      <c r="K534" s="1">
        <v>47974</v>
      </c>
      <c r="M534" s="1">
        <v>46149</v>
      </c>
      <c r="N534" t="str">
        <f t="shared" si="81"/>
        <v>1329001990</v>
      </c>
      <c r="O534">
        <v>4</v>
      </c>
      <c r="P534" s="2">
        <v>46229.481481481482</v>
      </c>
      <c r="Q534" s="2">
        <v>46229.797546296293</v>
      </c>
      <c r="R534" s="2">
        <v>46229.481481481482</v>
      </c>
      <c r="S534">
        <v>0</v>
      </c>
      <c r="T534" t="s">
        <v>67</v>
      </c>
      <c r="U534" t="s">
        <v>67</v>
      </c>
      <c r="W534" t="str">
        <f>"400508"</f>
        <v>400508</v>
      </c>
      <c r="X534" t="s">
        <v>41</v>
      </c>
      <c r="AD534" s="2">
        <v>46229.797546296293</v>
      </c>
    </row>
    <row r="535" spans="1:30" x14ac:dyDescent="0.35">
      <c r="A535" t="s">
        <v>30</v>
      </c>
      <c r="B535" t="s">
        <v>31</v>
      </c>
      <c r="C535" t="s">
        <v>1126</v>
      </c>
      <c r="D535" t="s">
        <v>33</v>
      </c>
      <c r="E535" t="str">
        <f>"400441"</f>
        <v>400441</v>
      </c>
      <c r="F535" t="s">
        <v>65</v>
      </c>
      <c r="G535">
        <v>4</v>
      </c>
      <c r="H535">
        <v>0</v>
      </c>
      <c r="I535" t="s">
        <v>1127</v>
      </c>
      <c r="J535" t="str">
        <f>"153000460"</f>
        <v>153000460</v>
      </c>
      <c r="K535" s="1">
        <v>48042</v>
      </c>
      <c r="M535" s="1">
        <v>46217</v>
      </c>
      <c r="N535" t="str">
        <f t="shared" si="81"/>
        <v>1329001990</v>
      </c>
      <c r="O535">
        <v>4</v>
      </c>
      <c r="P535" s="2">
        <v>46229.481365740743</v>
      </c>
      <c r="Q535" s="2">
        <v>46229.798437500001</v>
      </c>
      <c r="R535" s="2">
        <v>46229.481365740743</v>
      </c>
      <c r="S535">
        <v>0</v>
      </c>
      <c r="T535" t="s">
        <v>67</v>
      </c>
      <c r="U535" t="s">
        <v>67</v>
      </c>
      <c r="W535" t="str">
        <f>"400441"</f>
        <v>400441</v>
      </c>
      <c r="X535" t="s">
        <v>41</v>
      </c>
      <c r="AD535" s="2">
        <v>46229.798437500001</v>
      </c>
    </row>
    <row r="536" spans="1:30" x14ac:dyDescent="0.35">
      <c r="A536" t="s">
        <v>30</v>
      </c>
      <c r="B536" t="s">
        <v>31</v>
      </c>
      <c r="C536" t="s">
        <v>1128</v>
      </c>
      <c r="D536" t="s">
        <v>33</v>
      </c>
      <c r="E536" t="str">
        <f>"400508"</f>
        <v>400508</v>
      </c>
      <c r="F536" t="s">
        <v>586</v>
      </c>
      <c r="G536">
        <v>4</v>
      </c>
      <c r="H536">
        <v>0</v>
      </c>
      <c r="I536" t="s">
        <v>1129</v>
      </c>
      <c r="J536" t="str">
        <f>"153000431"</f>
        <v>153000431</v>
      </c>
      <c r="K536" s="1">
        <v>48032</v>
      </c>
      <c r="M536" s="1">
        <v>46207</v>
      </c>
      <c r="N536" t="str">
        <f t="shared" si="81"/>
        <v>1329001990</v>
      </c>
      <c r="O536">
        <v>4</v>
      </c>
      <c r="P536" s="2">
        <v>46229.481273148151</v>
      </c>
      <c r="Q536" s="2">
        <v>46229.800162037034</v>
      </c>
      <c r="R536" s="2">
        <v>46229.481273148151</v>
      </c>
      <c r="S536">
        <v>0</v>
      </c>
      <c r="T536" t="s">
        <v>67</v>
      </c>
      <c r="U536" t="s">
        <v>67</v>
      </c>
      <c r="W536" t="str">
        <f>"400508"</f>
        <v>400508</v>
      </c>
      <c r="X536" t="s">
        <v>41</v>
      </c>
      <c r="AD536" s="2">
        <v>46229.800162037034</v>
      </c>
    </row>
    <row r="537" spans="1:30" x14ac:dyDescent="0.35">
      <c r="A537" t="s">
        <v>30</v>
      </c>
      <c r="B537" t="s">
        <v>31</v>
      </c>
      <c r="C537" t="s">
        <v>1130</v>
      </c>
      <c r="D537" t="s">
        <v>33</v>
      </c>
      <c r="E537" t="str">
        <f>"400508"</f>
        <v>400508</v>
      </c>
      <c r="F537" t="s">
        <v>586</v>
      </c>
      <c r="G537">
        <v>4</v>
      </c>
      <c r="H537">
        <v>0</v>
      </c>
      <c r="I537" t="s">
        <v>1131</v>
      </c>
      <c r="J537" t="str">
        <f>"153000298"</f>
        <v>153000298</v>
      </c>
      <c r="K537" s="1">
        <v>47974</v>
      </c>
      <c r="M537" s="1">
        <v>46149</v>
      </c>
      <c r="N537" t="str">
        <f t="shared" si="81"/>
        <v>1329001990</v>
      </c>
      <c r="O537">
        <v>4</v>
      </c>
      <c r="P537" s="2">
        <v>46229.476307870369</v>
      </c>
      <c r="Q537" s="2">
        <v>46229.803773148145</v>
      </c>
      <c r="R537" s="2">
        <v>46229.476307870369</v>
      </c>
      <c r="S537">
        <v>0</v>
      </c>
      <c r="T537" t="s">
        <v>67</v>
      </c>
      <c r="U537" t="s">
        <v>67</v>
      </c>
      <c r="W537" t="str">
        <f>"400508"</f>
        <v>400508</v>
      </c>
      <c r="X537" t="s">
        <v>41</v>
      </c>
      <c r="AD537" s="2">
        <v>46229.803773148145</v>
      </c>
    </row>
    <row r="538" spans="1:30" x14ac:dyDescent="0.35">
      <c r="A538" t="s">
        <v>30</v>
      </c>
      <c r="B538" t="s">
        <v>31</v>
      </c>
      <c r="C538" t="s">
        <v>1132</v>
      </c>
      <c r="D538" t="s">
        <v>33</v>
      </c>
      <c r="E538" t="str">
        <f>"400508"</f>
        <v>400508</v>
      </c>
      <c r="F538" t="s">
        <v>586</v>
      </c>
      <c r="G538">
        <v>4</v>
      </c>
      <c r="H538">
        <v>0</v>
      </c>
      <c r="I538" t="s">
        <v>1133</v>
      </c>
      <c r="J538" t="str">
        <f>"153000298"</f>
        <v>153000298</v>
      </c>
      <c r="K538" s="1">
        <v>47974</v>
      </c>
      <c r="M538" s="1">
        <v>46149</v>
      </c>
      <c r="N538" t="str">
        <f t="shared" si="81"/>
        <v>1329001990</v>
      </c>
      <c r="O538">
        <v>4</v>
      </c>
      <c r="P538" s="2">
        <v>46229.478506944448</v>
      </c>
      <c r="Q538" s="2">
        <v>46229.803888888891</v>
      </c>
      <c r="R538" s="2">
        <v>46229.478506944448</v>
      </c>
      <c r="S538">
        <v>0</v>
      </c>
      <c r="T538" t="s">
        <v>67</v>
      </c>
      <c r="U538" t="s">
        <v>67</v>
      </c>
      <c r="W538" t="str">
        <f>"400508"</f>
        <v>400508</v>
      </c>
      <c r="X538" t="s">
        <v>41</v>
      </c>
      <c r="AD538" s="2">
        <v>46229.803888888891</v>
      </c>
    </row>
    <row r="539" spans="1:30" x14ac:dyDescent="0.35">
      <c r="A539" t="s">
        <v>30</v>
      </c>
      <c r="B539" t="s">
        <v>31</v>
      </c>
      <c r="C539" t="s">
        <v>1134</v>
      </c>
      <c r="D539" t="s">
        <v>33</v>
      </c>
      <c r="E539" t="str">
        <f>"400441"</f>
        <v>400441</v>
      </c>
      <c r="F539" t="s">
        <v>65</v>
      </c>
      <c r="G539">
        <v>4</v>
      </c>
      <c r="H539">
        <v>0</v>
      </c>
      <c r="I539" t="s">
        <v>1135</v>
      </c>
      <c r="J539" t="str">
        <f>"153000412"</f>
        <v>153000412</v>
      </c>
      <c r="K539" s="1">
        <v>48022</v>
      </c>
      <c r="M539" s="1">
        <v>46197</v>
      </c>
      <c r="N539" t="str">
        <f t="shared" si="81"/>
        <v>1329001990</v>
      </c>
      <c r="O539">
        <v>4</v>
      </c>
      <c r="P539" s="2">
        <v>46229.478379629632</v>
      </c>
      <c r="Q539" s="2">
        <v>46229.804490740738</v>
      </c>
      <c r="R539" s="2">
        <v>46229.478379629632</v>
      </c>
      <c r="S539">
        <v>0</v>
      </c>
      <c r="T539" t="s">
        <v>67</v>
      </c>
      <c r="U539" t="s">
        <v>67</v>
      </c>
      <c r="W539" t="str">
        <f>"400441"</f>
        <v>400441</v>
      </c>
      <c r="X539" t="s">
        <v>41</v>
      </c>
      <c r="AD539" s="2">
        <v>46229.804490740738</v>
      </c>
    </row>
    <row r="540" spans="1:30" x14ac:dyDescent="0.35">
      <c r="A540" t="s">
        <v>30</v>
      </c>
      <c r="B540" t="s">
        <v>31</v>
      </c>
      <c r="C540" t="s">
        <v>1136</v>
      </c>
      <c r="D540" t="s">
        <v>33</v>
      </c>
      <c r="E540" t="str">
        <f>"400508"</f>
        <v>400508</v>
      </c>
      <c r="F540" t="s">
        <v>586</v>
      </c>
      <c r="G540">
        <v>4</v>
      </c>
      <c r="H540">
        <v>0</v>
      </c>
      <c r="I540" t="s">
        <v>1137</v>
      </c>
      <c r="J540" t="str">
        <f>"153000298"</f>
        <v>153000298</v>
      </c>
      <c r="K540" s="1">
        <v>47974</v>
      </c>
      <c r="M540" s="1">
        <v>46149</v>
      </c>
      <c r="N540" t="str">
        <f t="shared" si="81"/>
        <v>1329001990</v>
      </c>
      <c r="O540">
        <v>4</v>
      </c>
      <c r="P540" s="2">
        <v>46229.478275462963</v>
      </c>
      <c r="Q540" s="2">
        <v>46229.805324074077</v>
      </c>
      <c r="R540" s="2">
        <v>46229.478275462963</v>
      </c>
      <c r="S540">
        <v>0</v>
      </c>
      <c r="T540" t="s">
        <v>67</v>
      </c>
      <c r="U540" t="s">
        <v>67</v>
      </c>
      <c r="W540" t="str">
        <f>"400508"</f>
        <v>400508</v>
      </c>
      <c r="X540" t="s">
        <v>41</v>
      </c>
      <c r="AD540" s="2">
        <v>46229.805324074077</v>
      </c>
    </row>
    <row r="541" spans="1:30" x14ac:dyDescent="0.35">
      <c r="A541" t="s">
        <v>30</v>
      </c>
      <c r="B541" t="s">
        <v>31</v>
      </c>
      <c r="C541" t="s">
        <v>1138</v>
      </c>
      <c r="D541" t="s">
        <v>33</v>
      </c>
      <c r="E541" t="str">
        <f>"400508"</f>
        <v>400508</v>
      </c>
      <c r="F541" t="s">
        <v>586</v>
      </c>
      <c r="G541">
        <v>4</v>
      </c>
      <c r="H541">
        <v>0</v>
      </c>
      <c r="I541" t="s">
        <v>1139</v>
      </c>
      <c r="J541" t="str">
        <f>"153000298"</f>
        <v>153000298</v>
      </c>
      <c r="K541" s="1">
        <v>47974</v>
      </c>
      <c r="M541" s="1">
        <v>46149</v>
      </c>
      <c r="N541" t="str">
        <f t="shared" si="81"/>
        <v>1329001990</v>
      </c>
      <c r="O541">
        <v>4</v>
      </c>
      <c r="P541" s="2">
        <v>46229.481145833335</v>
      </c>
      <c r="Q541" s="2">
        <v>46229.806041666663</v>
      </c>
      <c r="R541" s="2">
        <v>46229.481145833335</v>
      </c>
      <c r="S541">
        <v>0</v>
      </c>
      <c r="T541" t="s">
        <v>67</v>
      </c>
      <c r="U541" t="s">
        <v>67</v>
      </c>
      <c r="W541" t="str">
        <f>"400508"</f>
        <v>400508</v>
      </c>
      <c r="X541" t="s">
        <v>41</v>
      </c>
      <c r="AD541" s="2">
        <v>46229.806041666663</v>
      </c>
    </row>
    <row r="542" spans="1:30" x14ac:dyDescent="0.35">
      <c r="A542" t="s">
        <v>30</v>
      </c>
      <c r="B542" t="s">
        <v>31</v>
      </c>
      <c r="C542" t="s">
        <v>1140</v>
      </c>
      <c r="D542" t="s">
        <v>33</v>
      </c>
      <c r="E542" t="str">
        <f>"400441"</f>
        <v>400441</v>
      </c>
      <c r="F542" t="s">
        <v>65</v>
      </c>
      <c r="G542">
        <v>4</v>
      </c>
      <c r="H542">
        <v>0</v>
      </c>
      <c r="I542" t="s">
        <v>1141</v>
      </c>
      <c r="J542" t="str">
        <f>"153000460"</f>
        <v>153000460</v>
      </c>
      <c r="K542" s="1">
        <v>48042</v>
      </c>
      <c r="M542" s="1">
        <v>46217</v>
      </c>
      <c r="N542" t="str">
        <f t="shared" si="81"/>
        <v>1329001990</v>
      </c>
      <c r="O542">
        <v>4</v>
      </c>
      <c r="P542" s="2">
        <v>46229.478171296294</v>
      </c>
      <c r="Q542" s="2">
        <v>46229.806423611109</v>
      </c>
      <c r="R542" s="2">
        <v>46229.478171296294</v>
      </c>
      <c r="S542">
        <v>0</v>
      </c>
      <c r="T542" t="s">
        <v>67</v>
      </c>
      <c r="U542" t="s">
        <v>67</v>
      </c>
      <c r="W542" t="str">
        <f>"400441"</f>
        <v>400441</v>
      </c>
      <c r="X542" t="s">
        <v>41</v>
      </c>
      <c r="AD542" s="2">
        <v>46229.806423611109</v>
      </c>
    </row>
    <row r="543" spans="1:30" x14ac:dyDescent="0.35">
      <c r="A543" t="s">
        <v>30</v>
      </c>
      <c r="B543" t="s">
        <v>31</v>
      </c>
      <c r="C543" t="s">
        <v>1142</v>
      </c>
      <c r="D543" t="s">
        <v>33</v>
      </c>
      <c r="E543" t="str">
        <f>"400508"</f>
        <v>400508</v>
      </c>
      <c r="F543" t="s">
        <v>586</v>
      </c>
      <c r="G543">
        <v>4</v>
      </c>
      <c r="H543">
        <v>0</v>
      </c>
      <c r="I543" t="s">
        <v>1143</v>
      </c>
      <c r="J543" t="str">
        <f>"153000298"</f>
        <v>153000298</v>
      </c>
      <c r="K543" s="1">
        <v>47974</v>
      </c>
      <c r="M543" s="1">
        <v>46149</v>
      </c>
      <c r="N543" t="str">
        <f t="shared" si="81"/>
        <v>1329001990</v>
      </c>
      <c r="O543">
        <v>4</v>
      </c>
      <c r="P543" s="2">
        <v>46229.47792824074</v>
      </c>
      <c r="Q543" s="2">
        <v>46229.807245370372</v>
      </c>
      <c r="R543" s="2">
        <v>46229.47792824074</v>
      </c>
      <c r="S543">
        <v>0</v>
      </c>
      <c r="T543" t="s">
        <v>67</v>
      </c>
      <c r="U543" t="s">
        <v>67</v>
      </c>
      <c r="W543" t="str">
        <f>"400508"</f>
        <v>400508</v>
      </c>
      <c r="X543" t="s">
        <v>41</v>
      </c>
      <c r="AD543" s="2">
        <v>46229.807245370372</v>
      </c>
    </row>
    <row r="544" spans="1:30" x14ac:dyDescent="0.35">
      <c r="A544" t="s">
        <v>30</v>
      </c>
      <c r="B544" t="s">
        <v>31</v>
      </c>
      <c r="C544" t="s">
        <v>1144</v>
      </c>
      <c r="D544" t="s">
        <v>33</v>
      </c>
      <c r="E544" t="str">
        <f>"400441"</f>
        <v>400441</v>
      </c>
      <c r="F544" t="s">
        <v>65</v>
      </c>
      <c r="G544">
        <v>4</v>
      </c>
      <c r="H544">
        <v>0</v>
      </c>
      <c r="I544" t="s">
        <v>1145</v>
      </c>
      <c r="J544" t="str">
        <f>"153000412"</f>
        <v>153000412</v>
      </c>
      <c r="K544" s="1">
        <v>48022</v>
      </c>
      <c r="M544" s="1">
        <v>46197</v>
      </c>
      <c r="N544" t="str">
        <f t="shared" si="81"/>
        <v>1329001990</v>
      </c>
      <c r="O544">
        <v>4</v>
      </c>
      <c r="P544" s="2">
        <v>46229.476423611108</v>
      </c>
      <c r="Q544" s="2">
        <v>46229.808796296296</v>
      </c>
      <c r="R544" s="2">
        <v>46229.476423611108</v>
      </c>
      <c r="S544">
        <v>0</v>
      </c>
      <c r="T544" t="s">
        <v>67</v>
      </c>
      <c r="U544" t="s">
        <v>67</v>
      </c>
      <c r="W544" t="str">
        <f>"400441"</f>
        <v>400441</v>
      </c>
      <c r="X544" t="s">
        <v>41</v>
      </c>
      <c r="AD544" s="2">
        <v>46229.808796296296</v>
      </c>
    </row>
    <row r="545" spans="1:30" x14ac:dyDescent="0.35">
      <c r="A545" t="s">
        <v>30</v>
      </c>
      <c r="B545" t="s">
        <v>31</v>
      </c>
      <c r="C545" t="s">
        <v>1146</v>
      </c>
      <c r="D545" t="s">
        <v>33</v>
      </c>
      <c r="E545" t="str">
        <f>"400441"</f>
        <v>400441</v>
      </c>
      <c r="F545" t="s">
        <v>65</v>
      </c>
      <c r="G545">
        <v>4</v>
      </c>
      <c r="H545">
        <v>0</v>
      </c>
      <c r="I545" t="s">
        <v>1147</v>
      </c>
      <c r="J545" t="str">
        <f>"153000465"</f>
        <v>153000465</v>
      </c>
      <c r="K545" s="1">
        <v>48046</v>
      </c>
      <c r="M545" s="1">
        <v>46221</v>
      </c>
      <c r="N545" t="str">
        <f t="shared" si="81"/>
        <v>1329001990</v>
      </c>
      <c r="O545">
        <v>4</v>
      </c>
      <c r="P545" s="2">
        <v>46229.477824074071</v>
      </c>
      <c r="Q545" s="2">
        <v>46229.809513888889</v>
      </c>
      <c r="R545" s="2">
        <v>46229.477824074071</v>
      </c>
      <c r="S545">
        <v>0</v>
      </c>
      <c r="T545" t="s">
        <v>67</v>
      </c>
      <c r="U545" t="s">
        <v>67</v>
      </c>
      <c r="W545" t="str">
        <f>"400441"</f>
        <v>400441</v>
      </c>
      <c r="X545" t="s">
        <v>41</v>
      </c>
      <c r="AD545" s="2">
        <v>46229.809513888889</v>
      </c>
    </row>
    <row r="546" spans="1:30" x14ac:dyDescent="0.35">
      <c r="A546" t="s">
        <v>30</v>
      </c>
      <c r="B546" t="s">
        <v>31</v>
      </c>
      <c r="C546" t="s">
        <v>1148</v>
      </c>
      <c r="D546" t="s">
        <v>33</v>
      </c>
      <c r="E546" t="str">
        <f t="shared" ref="E546:E551" si="82">"400508"</f>
        <v>400508</v>
      </c>
      <c r="F546" t="s">
        <v>586</v>
      </c>
      <c r="G546">
        <v>4</v>
      </c>
      <c r="H546">
        <v>0</v>
      </c>
      <c r="I546" t="s">
        <v>1149</v>
      </c>
      <c r="J546" t="str">
        <f>"153000431"</f>
        <v>153000431</v>
      </c>
      <c r="K546" s="1">
        <v>48032</v>
      </c>
      <c r="M546" s="1">
        <v>46207</v>
      </c>
      <c r="N546" t="str">
        <f t="shared" si="81"/>
        <v>1329001990</v>
      </c>
      <c r="O546">
        <v>4</v>
      </c>
      <c r="P546" s="2">
        <v>46229.481030092589</v>
      </c>
      <c r="Q546" s="2">
        <v>46229.811018518521</v>
      </c>
      <c r="R546" s="2">
        <v>46229.481030092589</v>
      </c>
      <c r="S546">
        <v>0</v>
      </c>
      <c r="T546" t="s">
        <v>67</v>
      </c>
      <c r="U546" t="s">
        <v>67</v>
      </c>
      <c r="W546" t="str">
        <f t="shared" ref="W546:W551" si="83">"400508"</f>
        <v>400508</v>
      </c>
      <c r="X546" t="s">
        <v>41</v>
      </c>
      <c r="AD546" s="2">
        <v>46229.811018518521</v>
      </c>
    </row>
    <row r="547" spans="1:30" x14ac:dyDescent="0.35">
      <c r="A547" t="s">
        <v>30</v>
      </c>
      <c r="B547" t="s">
        <v>31</v>
      </c>
      <c r="C547" t="s">
        <v>1150</v>
      </c>
      <c r="D547" t="s">
        <v>33</v>
      </c>
      <c r="E547" t="str">
        <f t="shared" si="82"/>
        <v>400508</v>
      </c>
      <c r="F547" t="s">
        <v>586</v>
      </c>
      <c r="G547">
        <v>4</v>
      </c>
      <c r="H547">
        <v>0</v>
      </c>
      <c r="I547" t="s">
        <v>1151</v>
      </c>
      <c r="J547" t="str">
        <f>"153000298"</f>
        <v>153000298</v>
      </c>
      <c r="K547" s="1">
        <v>47974</v>
      </c>
      <c r="M547" s="1">
        <v>46149</v>
      </c>
      <c r="N547" t="str">
        <f t="shared" si="81"/>
        <v>1329001990</v>
      </c>
      <c r="O547">
        <v>4</v>
      </c>
      <c r="P547" s="2">
        <v>46229.477708333332</v>
      </c>
      <c r="Q547" s="2">
        <v>46229.811111111114</v>
      </c>
      <c r="R547" s="2">
        <v>46229.477708333332</v>
      </c>
      <c r="S547">
        <v>0</v>
      </c>
      <c r="T547" t="s">
        <v>67</v>
      </c>
      <c r="U547" t="s">
        <v>67</v>
      </c>
      <c r="W547" t="str">
        <f t="shared" si="83"/>
        <v>400508</v>
      </c>
      <c r="X547" t="s">
        <v>41</v>
      </c>
      <c r="AD547" s="2">
        <v>46229.811111111114</v>
      </c>
    </row>
    <row r="548" spans="1:30" x14ac:dyDescent="0.35">
      <c r="A548" t="s">
        <v>30</v>
      </c>
      <c r="B548" t="s">
        <v>31</v>
      </c>
      <c r="C548" t="s">
        <v>1152</v>
      </c>
      <c r="D548" t="s">
        <v>33</v>
      </c>
      <c r="E548" t="str">
        <f t="shared" si="82"/>
        <v>400508</v>
      </c>
      <c r="F548" t="s">
        <v>586</v>
      </c>
      <c r="G548">
        <v>4</v>
      </c>
      <c r="H548">
        <v>0</v>
      </c>
      <c r="I548" t="s">
        <v>1153</v>
      </c>
      <c r="J548" t="str">
        <f>"153000431"</f>
        <v>153000431</v>
      </c>
      <c r="K548" s="1">
        <v>48032</v>
      </c>
      <c r="M548" s="1">
        <v>46207</v>
      </c>
      <c r="N548" t="str">
        <f t="shared" si="81"/>
        <v>1329001990</v>
      </c>
      <c r="O548">
        <v>4</v>
      </c>
      <c r="P548" s="2">
        <v>46229.480925925927</v>
      </c>
      <c r="Q548" s="2">
        <v>46229.811886574076</v>
      </c>
      <c r="R548" s="2">
        <v>46229.480925925927</v>
      </c>
      <c r="S548">
        <v>0</v>
      </c>
      <c r="T548" t="s">
        <v>67</v>
      </c>
      <c r="U548" t="s">
        <v>67</v>
      </c>
      <c r="W548" t="str">
        <f t="shared" si="83"/>
        <v>400508</v>
      </c>
      <c r="X548" t="s">
        <v>41</v>
      </c>
      <c r="AD548" s="2">
        <v>46229.811886574076</v>
      </c>
    </row>
    <row r="549" spans="1:30" x14ac:dyDescent="0.35">
      <c r="A549" t="s">
        <v>30</v>
      </c>
      <c r="B549" t="s">
        <v>31</v>
      </c>
      <c r="C549" t="s">
        <v>1154</v>
      </c>
      <c r="D549" t="s">
        <v>33</v>
      </c>
      <c r="E549" t="str">
        <f t="shared" si="82"/>
        <v>400508</v>
      </c>
      <c r="F549" t="s">
        <v>586</v>
      </c>
      <c r="G549">
        <v>4</v>
      </c>
      <c r="H549">
        <v>0</v>
      </c>
      <c r="I549" t="s">
        <v>1155</v>
      </c>
      <c r="J549" t="str">
        <f>"153000298"</f>
        <v>153000298</v>
      </c>
      <c r="K549" s="1">
        <v>47974</v>
      </c>
      <c r="M549" s="1">
        <v>46149</v>
      </c>
      <c r="N549" t="str">
        <f t="shared" si="81"/>
        <v>1329001990</v>
      </c>
      <c r="O549">
        <v>4</v>
      </c>
      <c r="P549" s="2">
        <v>46229.476782407408</v>
      </c>
      <c r="Q549" s="2">
        <v>46229.8124537037</v>
      </c>
      <c r="R549" s="2">
        <v>46229.476782407408</v>
      </c>
      <c r="S549">
        <v>0</v>
      </c>
      <c r="T549" t="s">
        <v>67</v>
      </c>
      <c r="U549" t="s">
        <v>67</v>
      </c>
      <c r="W549" t="str">
        <f t="shared" si="83"/>
        <v>400508</v>
      </c>
      <c r="X549" t="s">
        <v>41</v>
      </c>
      <c r="AD549" s="2">
        <v>46229.8124537037</v>
      </c>
    </row>
    <row r="550" spans="1:30" x14ac:dyDescent="0.35">
      <c r="A550" t="s">
        <v>30</v>
      </c>
      <c r="B550" t="s">
        <v>31</v>
      </c>
      <c r="C550" t="s">
        <v>1156</v>
      </c>
      <c r="D550" t="s">
        <v>33</v>
      </c>
      <c r="E550" t="str">
        <f t="shared" si="82"/>
        <v>400508</v>
      </c>
      <c r="F550" t="s">
        <v>586</v>
      </c>
      <c r="G550">
        <v>4</v>
      </c>
      <c r="H550">
        <v>0</v>
      </c>
      <c r="I550" t="s">
        <v>1157</v>
      </c>
      <c r="J550" t="str">
        <f>"153000431"</f>
        <v>153000431</v>
      </c>
      <c r="K550" s="1">
        <v>48032</v>
      </c>
      <c r="M550" s="1">
        <v>46207</v>
      </c>
      <c r="N550" t="str">
        <f t="shared" si="81"/>
        <v>1329001990</v>
      </c>
      <c r="O550">
        <v>4</v>
      </c>
      <c r="P550" s="2">
        <v>46229.480833333335</v>
      </c>
      <c r="Q550" s="2">
        <v>46229.81287037037</v>
      </c>
      <c r="R550" s="2">
        <v>46229.480833333335</v>
      </c>
      <c r="S550">
        <v>0</v>
      </c>
      <c r="T550" t="s">
        <v>67</v>
      </c>
      <c r="U550" t="s">
        <v>67</v>
      </c>
      <c r="W550" t="str">
        <f t="shared" si="83"/>
        <v>400508</v>
      </c>
      <c r="X550" t="s">
        <v>41</v>
      </c>
      <c r="AD550" s="2">
        <v>46229.81287037037</v>
      </c>
    </row>
    <row r="551" spans="1:30" x14ac:dyDescent="0.35">
      <c r="A551" t="s">
        <v>30</v>
      </c>
      <c r="B551" t="s">
        <v>31</v>
      </c>
      <c r="C551" t="s">
        <v>1158</v>
      </c>
      <c r="D551" t="s">
        <v>33</v>
      </c>
      <c r="E551" t="str">
        <f t="shared" si="82"/>
        <v>400508</v>
      </c>
      <c r="F551" t="s">
        <v>586</v>
      </c>
      <c r="G551">
        <v>4</v>
      </c>
      <c r="H551">
        <v>0</v>
      </c>
      <c r="I551" t="s">
        <v>1159</v>
      </c>
      <c r="J551" t="str">
        <f>"153000298"</f>
        <v>153000298</v>
      </c>
      <c r="K551" s="1">
        <v>47974</v>
      </c>
      <c r="M551" s="1">
        <v>46149</v>
      </c>
      <c r="N551" t="str">
        <f t="shared" si="81"/>
        <v>1329001990</v>
      </c>
      <c r="O551">
        <v>4</v>
      </c>
      <c r="P551" s="2">
        <v>46229.477581018517</v>
      </c>
      <c r="Q551" s="2">
        <v>46229.813240740739</v>
      </c>
      <c r="R551" s="2">
        <v>46229.477581018517</v>
      </c>
      <c r="S551">
        <v>0</v>
      </c>
      <c r="T551" t="s">
        <v>67</v>
      </c>
      <c r="U551" t="s">
        <v>67</v>
      </c>
      <c r="W551" t="str">
        <f t="shared" si="83"/>
        <v>400508</v>
      </c>
      <c r="X551" t="s">
        <v>41</v>
      </c>
      <c r="AD551" s="2">
        <v>46229.813240740739</v>
      </c>
    </row>
    <row r="552" spans="1:30" x14ac:dyDescent="0.35">
      <c r="A552" t="s">
        <v>30</v>
      </c>
      <c r="B552" t="s">
        <v>31</v>
      </c>
      <c r="C552" t="s">
        <v>1160</v>
      </c>
      <c r="D552" t="s">
        <v>33</v>
      </c>
      <c r="E552" t="str">
        <f>"400441"</f>
        <v>400441</v>
      </c>
      <c r="F552" t="s">
        <v>65</v>
      </c>
      <c r="G552">
        <v>4</v>
      </c>
      <c r="H552">
        <v>0</v>
      </c>
      <c r="I552" t="s">
        <v>1161</v>
      </c>
      <c r="J552" t="str">
        <f>"153000465"</f>
        <v>153000465</v>
      </c>
      <c r="K552" s="1">
        <v>48046</v>
      </c>
      <c r="M552" s="1">
        <v>46221</v>
      </c>
      <c r="N552" t="str">
        <f t="shared" si="81"/>
        <v>1329001990</v>
      </c>
      <c r="O552">
        <v>4</v>
      </c>
      <c r="P552" s="2">
        <v>46229.477314814816</v>
      </c>
      <c r="Q552" s="2">
        <v>46229.814918981479</v>
      </c>
      <c r="R552" s="2">
        <v>46229.477314814816</v>
      </c>
      <c r="S552">
        <v>0</v>
      </c>
      <c r="T552" t="s">
        <v>67</v>
      </c>
      <c r="U552" t="s">
        <v>67</v>
      </c>
      <c r="W552" t="str">
        <f>"400441"</f>
        <v>400441</v>
      </c>
      <c r="X552" t="s">
        <v>41</v>
      </c>
      <c r="AD552" s="2">
        <v>46229.814918981479</v>
      </c>
    </row>
    <row r="553" spans="1:30" x14ac:dyDescent="0.35">
      <c r="A553" t="s">
        <v>30</v>
      </c>
      <c r="B553" t="s">
        <v>31</v>
      </c>
      <c r="C553" t="s">
        <v>1162</v>
      </c>
      <c r="D553" t="s">
        <v>33</v>
      </c>
      <c r="E553" t="str">
        <f>"400441"</f>
        <v>400441</v>
      </c>
      <c r="F553" t="s">
        <v>65</v>
      </c>
      <c r="G553">
        <v>4</v>
      </c>
      <c r="H553">
        <v>0</v>
      </c>
      <c r="I553" t="s">
        <v>1163</v>
      </c>
      <c r="J553" t="str">
        <f>"153000460"</f>
        <v>153000460</v>
      </c>
      <c r="K553" s="1">
        <v>48042</v>
      </c>
      <c r="M553" s="1">
        <v>46217</v>
      </c>
      <c r="N553" t="str">
        <f t="shared" si="81"/>
        <v>1329001990</v>
      </c>
      <c r="O553">
        <v>4</v>
      </c>
      <c r="P553" s="2">
        <v>46229.480682870373</v>
      </c>
      <c r="Q553" s="2">
        <v>46229.815671296295</v>
      </c>
      <c r="R553" s="2">
        <v>46229.480682870373</v>
      </c>
      <c r="S553">
        <v>0</v>
      </c>
      <c r="T553" t="s">
        <v>67</v>
      </c>
      <c r="U553" t="s">
        <v>67</v>
      </c>
      <c r="W553" t="str">
        <f>"400441"</f>
        <v>400441</v>
      </c>
      <c r="X553" t="s">
        <v>41</v>
      </c>
      <c r="AD553" s="2">
        <v>46229.815671296295</v>
      </c>
    </row>
    <row r="554" spans="1:30" x14ac:dyDescent="0.35">
      <c r="A554" t="s">
        <v>30</v>
      </c>
      <c r="B554" t="s">
        <v>31</v>
      </c>
      <c r="C554" t="s">
        <v>1164</v>
      </c>
      <c r="D554" t="s">
        <v>33</v>
      </c>
      <c r="E554" t="str">
        <f>"400508"</f>
        <v>400508</v>
      </c>
      <c r="F554" t="s">
        <v>586</v>
      </c>
      <c r="G554">
        <v>4</v>
      </c>
      <c r="H554">
        <v>0</v>
      </c>
      <c r="I554" t="s">
        <v>1165</v>
      </c>
      <c r="J554" t="str">
        <f>"153000298"</f>
        <v>153000298</v>
      </c>
      <c r="K554" s="1">
        <v>47974</v>
      </c>
      <c r="M554" s="1">
        <v>46149</v>
      </c>
      <c r="N554" t="str">
        <f t="shared" si="81"/>
        <v>1329001990</v>
      </c>
      <c r="O554">
        <v>4</v>
      </c>
      <c r="P554" s="2">
        <v>46229.477037037039</v>
      </c>
      <c r="Q554" s="2">
        <v>46229.81622685185</v>
      </c>
      <c r="R554" s="2">
        <v>46229.477037037039</v>
      </c>
      <c r="S554">
        <v>0</v>
      </c>
      <c r="T554" t="s">
        <v>67</v>
      </c>
      <c r="U554" t="s">
        <v>67</v>
      </c>
      <c r="W554" t="str">
        <f>"400508"</f>
        <v>400508</v>
      </c>
      <c r="X554" t="s">
        <v>41</v>
      </c>
      <c r="AD554" s="2">
        <v>46229.81622685185</v>
      </c>
    </row>
    <row r="555" spans="1:30" x14ac:dyDescent="0.35">
      <c r="A555" t="s">
        <v>30</v>
      </c>
      <c r="B555" t="s">
        <v>31</v>
      </c>
      <c r="C555" t="s">
        <v>1166</v>
      </c>
      <c r="D555" t="s">
        <v>33</v>
      </c>
      <c r="E555" t="str">
        <f>"400415"</f>
        <v>400415</v>
      </c>
      <c r="F555" t="s">
        <v>39</v>
      </c>
      <c r="G555">
        <v>3</v>
      </c>
      <c r="H555">
        <v>0</v>
      </c>
      <c r="I555" t="s">
        <v>1167</v>
      </c>
      <c r="J555" t="str">
        <f>"153000355"</f>
        <v>153000355</v>
      </c>
      <c r="K555" s="1">
        <v>48004</v>
      </c>
      <c r="M555" s="1">
        <v>46179</v>
      </c>
      <c r="N555" t="str">
        <f>"1329001919"</f>
        <v>1329001919</v>
      </c>
      <c r="O555">
        <v>4</v>
      </c>
      <c r="P555" s="2">
        <v>46210.572013888886</v>
      </c>
      <c r="Q555" s="2">
        <v>46229.819594907407</v>
      </c>
      <c r="R555" s="2">
        <v>46210.572013888886</v>
      </c>
      <c r="S555">
        <v>0</v>
      </c>
      <c r="T555" t="s">
        <v>67</v>
      </c>
      <c r="U555" t="s">
        <v>67</v>
      </c>
      <c r="W555" t="str">
        <f>"400415"</f>
        <v>400415</v>
      </c>
      <c r="X555" t="s">
        <v>41</v>
      </c>
      <c r="AD555" s="2">
        <v>46210.576840277776</v>
      </c>
    </row>
    <row r="556" spans="1:30" x14ac:dyDescent="0.35">
      <c r="A556" t="s">
        <v>30</v>
      </c>
      <c r="B556" t="s">
        <v>31</v>
      </c>
      <c r="C556" t="s">
        <v>1168</v>
      </c>
      <c r="D556" t="s">
        <v>33</v>
      </c>
      <c r="E556" t="str">
        <f>"400508"</f>
        <v>400508</v>
      </c>
      <c r="F556" t="s">
        <v>586</v>
      </c>
      <c r="G556">
        <v>4</v>
      </c>
      <c r="H556">
        <v>0</v>
      </c>
      <c r="I556" t="s">
        <v>1169</v>
      </c>
      <c r="J556" t="str">
        <f>"153000431"</f>
        <v>153000431</v>
      </c>
      <c r="K556" s="1">
        <v>48032</v>
      </c>
      <c r="M556" s="1">
        <v>46207</v>
      </c>
      <c r="N556" t="str">
        <f>"1329001990"</f>
        <v>1329001990</v>
      </c>
      <c r="O556">
        <v>4</v>
      </c>
      <c r="P556" s="2">
        <v>46229.480509259258</v>
      </c>
      <c r="Q556" s="2">
        <v>46229.819884259261</v>
      </c>
      <c r="R556" s="2">
        <v>46229.480509259258</v>
      </c>
      <c r="S556">
        <v>0</v>
      </c>
      <c r="T556" t="s">
        <v>67</v>
      </c>
      <c r="U556" t="s">
        <v>67</v>
      </c>
      <c r="W556" t="str">
        <f>"400508"</f>
        <v>400508</v>
      </c>
      <c r="X556" t="s">
        <v>41</v>
      </c>
      <c r="AD556" s="2">
        <v>46229.819884259261</v>
      </c>
    </row>
    <row r="557" spans="1:30" x14ac:dyDescent="0.35">
      <c r="A557" t="s">
        <v>30</v>
      </c>
      <c r="B557" t="s">
        <v>31</v>
      </c>
      <c r="C557" t="s">
        <v>1170</v>
      </c>
      <c r="D557" t="s">
        <v>33</v>
      </c>
      <c r="E557" t="str">
        <f>"400929"</f>
        <v>400929</v>
      </c>
      <c r="F557" t="s">
        <v>983</v>
      </c>
      <c r="G557">
        <v>23</v>
      </c>
      <c r="H557">
        <v>0</v>
      </c>
      <c r="I557" t="s">
        <v>1171</v>
      </c>
      <c r="J557" t="str">
        <f>"153000461"</f>
        <v>153000461</v>
      </c>
      <c r="K557" s="1">
        <v>48043</v>
      </c>
      <c r="M557" s="1">
        <v>46218</v>
      </c>
      <c r="N557" t="str">
        <f>"1329001977"</f>
        <v>1329001977</v>
      </c>
      <c r="O557">
        <v>24</v>
      </c>
      <c r="P557" s="2">
        <v>46224.587048611109</v>
      </c>
      <c r="Q557" s="2">
        <v>46232.897731481484</v>
      </c>
      <c r="R557" s="2">
        <v>46224.587048611109</v>
      </c>
      <c r="S557">
        <v>0</v>
      </c>
      <c r="T557" t="s">
        <v>67</v>
      </c>
      <c r="U557" t="s">
        <v>67</v>
      </c>
      <c r="W557" t="str">
        <f>"400929"</f>
        <v>400929</v>
      </c>
      <c r="X557" t="s">
        <v>37</v>
      </c>
      <c r="AD557" s="2">
        <v>46224.977835648147</v>
      </c>
    </row>
    <row r="558" spans="1:30" x14ac:dyDescent="0.35">
      <c r="A558" t="s">
        <v>30</v>
      </c>
      <c r="B558" t="s">
        <v>31</v>
      </c>
      <c r="C558" t="s">
        <v>1172</v>
      </c>
      <c r="D558" t="s">
        <v>33</v>
      </c>
      <c r="E558" t="str">
        <f>"400426"</f>
        <v>400426</v>
      </c>
      <c r="F558" t="s">
        <v>34</v>
      </c>
      <c r="G558">
        <v>24</v>
      </c>
      <c r="H558">
        <v>0</v>
      </c>
      <c r="I558" t="s">
        <v>1173</v>
      </c>
      <c r="J558" t="str">
        <f>"153000404"</f>
        <v>153000404</v>
      </c>
      <c r="K558" s="1">
        <v>48018</v>
      </c>
      <c r="M558" s="1">
        <v>46193</v>
      </c>
      <c r="N558" t="str">
        <f>"1329001908"</f>
        <v>1329001908</v>
      </c>
      <c r="O558">
        <v>24</v>
      </c>
      <c r="P558" s="2">
        <v>46211.462060185186</v>
      </c>
      <c r="Q558" s="2">
        <v>46237.322615740741</v>
      </c>
      <c r="R558" s="2">
        <v>46211.462060185186</v>
      </c>
      <c r="S558">
        <v>0</v>
      </c>
      <c r="T558" t="s">
        <v>67</v>
      </c>
      <c r="U558" t="s">
        <v>67</v>
      </c>
      <c r="V558" t="s">
        <v>1174</v>
      </c>
      <c r="W558" t="str">
        <f>"400426"</f>
        <v>400426</v>
      </c>
      <c r="X558" t="s">
        <v>37</v>
      </c>
      <c r="AD558" s="2">
        <v>46211.8906712963</v>
      </c>
    </row>
    <row r="559" spans="1:30" x14ac:dyDescent="0.35">
      <c r="A559" t="s">
        <v>30</v>
      </c>
      <c r="B559" t="s">
        <v>31</v>
      </c>
      <c r="C559" t="s">
        <v>1175</v>
      </c>
      <c r="D559" t="s">
        <v>33</v>
      </c>
      <c r="E559" t="str">
        <f>"400508"</f>
        <v>400508</v>
      </c>
      <c r="F559" t="s">
        <v>586</v>
      </c>
      <c r="G559">
        <v>4</v>
      </c>
      <c r="H559">
        <v>0</v>
      </c>
      <c r="I559" t="s">
        <v>1176</v>
      </c>
      <c r="J559" t="str">
        <f>"153000431"</f>
        <v>153000431</v>
      </c>
      <c r="K559" s="1">
        <v>48032</v>
      </c>
      <c r="M559" s="1">
        <v>46207</v>
      </c>
      <c r="N559" t="str">
        <f>"1329001950"</f>
        <v>1329001950</v>
      </c>
      <c r="O559">
        <v>4</v>
      </c>
      <c r="P559" s="2">
        <v>46217.466689814813</v>
      </c>
      <c r="Q559" s="2">
        <v>46238.343854166669</v>
      </c>
      <c r="R559" s="2">
        <v>46217.466689814813</v>
      </c>
      <c r="S559">
        <v>0</v>
      </c>
      <c r="T559" t="s">
        <v>67</v>
      </c>
      <c r="U559" t="s">
        <v>67</v>
      </c>
      <c r="V559" t="s">
        <v>1177</v>
      </c>
      <c r="W559" t="str">
        <f>"400508"</f>
        <v>400508</v>
      </c>
      <c r="X559" t="s">
        <v>41</v>
      </c>
      <c r="AD559" s="2">
        <v>46218.346041666664</v>
      </c>
    </row>
    <row r="560" spans="1:30" x14ac:dyDescent="0.35">
      <c r="A560" t="s">
        <v>30</v>
      </c>
      <c r="B560" t="s">
        <v>31</v>
      </c>
      <c r="C560" t="s">
        <v>1178</v>
      </c>
      <c r="D560" t="s">
        <v>33</v>
      </c>
      <c r="E560" t="str">
        <f>"400514"</f>
        <v>400514</v>
      </c>
      <c r="F560" t="s">
        <v>429</v>
      </c>
      <c r="G560">
        <v>4</v>
      </c>
      <c r="H560">
        <v>0</v>
      </c>
      <c r="I560" t="s">
        <v>1179</v>
      </c>
      <c r="J560" t="str">
        <f>"153000381"</f>
        <v>153000381</v>
      </c>
      <c r="K560" s="1">
        <v>48009</v>
      </c>
      <c r="M560" s="1">
        <v>46184</v>
      </c>
      <c r="N560" t="str">
        <f>"1329001938"</f>
        <v>1329001938</v>
      </c>
      <c r="O560">
        <v>4</v>
      </c>
      <c r="P560" s="2">
        <v>46214.506909722222</v>
      </c>
      <c r="Q560" s="2">
        <v>46238.381284722222</v>
      </c>
      <c r="R560" s="2">
        <v>46214.506909722222</v>
      </c>
      <c r="S560">
        <v>0</v>
      </c>
      <c r="T560" t="s">
        <v>67</v>
      </c>
      <c r="U560" t="s">
        <v>67</v>
      </c>
      <c r="V560" t="s">
        <v>1180</v>
      </c>
      <c r="W560" t="str">
        <f>"400514"</f>
        <v>400514</v>
      </c>
      <c r="X560" t="s">
        <v>41</v>
      </c>
      <c r="AD560" s="2">
        <v>46214.67869212963</v>
      </c>
    </row>
    <row r="561" spans="1:30" x14ac:dyDescent="0.35">
      <c r="A561" t="s">
        <v>30</v>
      </c>
      <c r="B561" t="s">
        <v>31</v>
      </c>
      <c r="C561" t="s">
        <v>1181</v>
      </c>
      <c r="D561" t="s">
        <v>33</v>
      </c>
      <c r="E561" t="str">
        <f>"400514"</f>
        <v>400514</v>
      </c>
      <c r="F561" t="s">
        <v>429</v>
      </c>
      <c r="G561">
        <v>4</v>
      </c>
      <c r="H561">
        <v>0</v>
      </c>
      <c r="I561" t="s">
        <v>1182</v>
      </c>
      <c r="J561" t="str">
        <f>"153000406"</f>
        <v>153000406</v>
      </c>
      <c r="K561" s="1">
        <v>48016</v>
      </c>
      <c r="M561" s="1">
        <v>46191</v>
      </c>
      <c r="N561" t="str">
        <f>"1329001945"</f>
        <v>1329001945</v>
      </c>
      <c r="O561">
        <v>4</v>
      </c>
      <c r="P561" s="2">
        <v>46217.456331018519</v>
      </c>
      <c r="Q561" s="2">
        <v>46238.384074074071</v>
      </c>
      <c r="R561" s="2">
        <v>46217.456331018519</v>
      </c>
      <c r="S561">
        <v>0</v>
      </c>
      <c r="T561" t="s">
        <v>67</v>
      </c>
      <c r="U561" t="s">
        <v>67</v>
      </c>
      <c r="V561" t="s">
        <v>1183</v>
      </c>
      <c r="W561" t="str">
        <f>"400514"</f>
        <v>400514</v>
      </c>
      <c r="X561" t="s">
        <v>41</v>
      </c>
      <c r="AD561" s="2">
        <v>46218.323460648149</v>
      </c>
    </row>
    <row r="562" spans="1:30" x14ac:dyDescent="0.35">
      <c r="A562" t="s">
        <v>30</v>
      </c>
      <c r="B562" t="s">
        <v>31</v>
      </c>
      <c r="C562" t="s">
        <v>1184</v>
      </c>
      <c r="D562" t="s">
        <v>33</v>
      </c>
      <c r="E562" t="str">
        <f>"400441"</f>
        <v>400441</v>
      </c>
      <c r="F562" t="s">
        <v>65</v>
      </c>
      <c r="G562">
        <v>4</v>
      </c>
      <c r="H562">
        <v>0</v>
      </c>
      <c r="I562" t="s">
        <v>1185</v>
      </c>
      <c r="J562" t="str">
        <f>"153000386"</f>
        <v>153000386</v>
      </c>
      <c r="K562" s="1">
        <v>48013</v>
      </c>
      <c r="M562" s="1">
        <v>46188</v>
      </c>
      <c r="N562" t="str">
        <f>"1329001942"</f>
        <v>1329001942</v>
      </c>
      <c r="O562">
        <v>4</v>
      </c>
      <c r="P562" s="2">
        <v>46215.614479166667</v>
      </c>
      <c r="Q562" s="2">
        <v>46238.457361111112</v>
      </c>
      <c r="R562" s="2">
        <v>46215.614479166667</v>
      </c>
      <c r="S562">
        <v>0</v>
      </c>
      <c r="T562" t="s">
        <v>67</v>
      </c>
      <c r="U562" t="s">
        <v>67</v>
      </c>
      <c r="V562" t="s">
        <v>1186</v>
      </c>
      <c r="W562" t="str">
        <f>"400441"</f>
        <v>400441</v>
      </c>
      <c r="X562" t="s">
        <v>41</v>
      </c>
      <c r="AD562" s="2">
        <v>46215.663344907407</v>
      </c>
    </row>
    <row r="563" spans="1:30" x14ac:dyDescent="0.35">
      <c r="A563" t="s">
        <v>30</v>
      </c>
      <c r="B563" t="s">
        <v>31</v>
      </c>
      <c r="C563" t="s">
        <v>1187</v>
      </c>
      <c r="D563" t="s">
        <v>33</v>
      </c>
      <c r="E563" t="str">
        <f>"400912"</f>
        <v>400912</v>
      </c>
      <c r="F563" t="s">
        <v>174</v>
      </c>
      <c r="G563">
        <v>4</v>
      </c>
      <c r="H563">
        <v>0</v>
      </c>
      <c r="I563" t="s">
        <v>1188</v>
      </c>
      <c r="J563" t="str">
        <f>"400004539"</f>
        <v>400004539</v>
      </c>
      <c r="K563" s="1">
        <v>48012</v>
      </c>
      <c r="M563" s="1">
        <v>46187</v>
      </c>
      <c r="N563" t="str">
        <f>"1329001918"</f>
        <v>1329001918</v>
      </c>
      <c r="O563">
        <v>4</v>
      </c>
      <c r="P563" s="2">
        <v>46210.583657407406</v>
      </c>
      <c r="Q563" s="2">
        <v>46238.457511574074</v>
      </c>
      <c r="R563" s="2">
        <v>46210.583657407406</v>
      </c>
      <c r="S563">
        <v>0</v>
      </c>
      <c r="T563" t="s">
        <v>67</v>
      </c>
      <c r="U563" t="s">
        <v>67</v>
      </c>
      <c r="V563" t="s">
        <v>1189</v>
      </c>
      <c r="W563" t="str">
        <f>"400912"</f>
        <v>400912</v>
      </c>
      <c r="X563" t="s">
        <v>41</v>
      </c>
      <c r="AD563" s="2">
        <v>46210.616990740738</v>
      </c>
    </row>
    <row r="564" spans="1:30" x14ac:dyDescent="0.35">
      <c r="A564" t="s">
        <v>30</v>
      </c>
      <c r="B564" t="s">
        <v>31</v>
      </c>
      <c r="C564" t="s">
        <v>1190</v>
      </c>
      <c r="D564" t="s">
        <v>33</v>
      </c>
      <c r="E564" t="str">
        <f>"400415"</f>
        <v>400415</v>
      </c>
      <c r="F564" t="s">
        <v>39</v>
      </c>
      <c r="G564">
        <v>3</v>
      </c>
      <c r="H564">
        <v>0</v>
      </c>
      <c r="I564" t="s">
        <v>1186</v>
      </c>
      <c r="J564" t="str">
        <f>"153000355"</f>
        <v>153000355</v>
      </c>
      <c r="K564" s="1">
        <v>48004</v>
      </c>
      <c r="M564" s="1">
        <v>46179</v>
      </c>
      <c r="N564" t="str">
        <f>"1329001919"</f>
        <v>1329001919</v>
      </c>
      <c r="O564">
        <v>3</v>
      </c>
      <c r="P564" s="2">
        <v>46210.566979166666</v>
      </c>
      <c r="Q564" s="2">
        <v>46238.458009259259</v>
      </c>
      <c r="R564" s="2">
        <v>46210.566979166666</v>
      </c>
      <c r="S564">
        <v>0</v>
      </c>
      <c r="T564" t="s">
        <v>67</v>
      </c>
      <c r="U564" t="s">
        <v>67</v>
      </c>
      <c r="V564" t="s">
        <v>1191</v>
      </c>
      <c r="W564" t="str">
        <f>"400415"</f>
        <v>400415</v>
      </c>
      <c r="X564" t="s">
        <v>41</v>
      </c>
      <c r="AD564" s="2">
        <v>46210.617407407408</v>
      </c>
    </row>
    <row r="565" spans="1:30" x14ac:dyDescent="0.35">
      <c r="A565" t="s">
        <v>30</v>
      </c>
      <c r="B565" t="s">
        <v>31</v>
      </c>
      <c r="C565" t="s">
        <v>1192</v>
      </c>
      <c r="D565" t="s">
        <v>33</v>
      </c>
      <c r="E565" t="str">
        <f>"400541"</f>
        <v>400541</v>
      </c>
      <c r="F565" t="s">
        <v>127</v>
      </c>
      <c r="G565">
        <v>4</v>
      </c>
      <c r="H565">
        <v>0</v>
      </c>
      <c r="I565" t="s">
        <v>1189</v>
      </c>
      <c r="J565" t="str">
        <f>"153000297"</f>
        <v>153000297</v>
      </c>
      <c r="K565" s="1">
        <v>47974</v>
      </c>
      <c r="M565" s="1">
        <v>46149</v>
      </c>
      <c r="N565" t="str">
        <f>"1329001919"</f>
        <v>1329001919</v>
      </c>
      <c r="O565">
        <v>4</v>
      </c>
      <c r="P565" s="2">
        <v>46210.566516203704</v>
      </c>
      <c r="Q565" s="2">
        <v>46238.458124999997</v>
      </c>
      <c r="R565" s="2">
        <v>46210.566516203704</v>
      </c>
      <c r="S565">
        <v>0</v>
      </c>
      <c r="T565" t="s">
        <v>67</v>
      </c>
      <c r="U565" t="s">
        <v>67</v>
      </c>
      <c r="V565" t="s">
        <v>1193</v>
      </c>
      <c r="W565" t="str">
        <f>"400541"</f>
        <v>400541</v>
      </c>
      <c r="X565" t="s">
        <v>41</v>
      </c>
      <c r="AD565" s="2">
        <v>46210.6174537037</v>
      </c>
    </row>
    <row r="566" spans="1:30" x14ac:dyDescent="0.35">
      <c r="A566" t="s">
        <v>30</v>
      </c>
      <c r="B566" t="s">
        <v>31</v>
      </c>
      <c r="C566" t="s">
        <v>1194</v>
      </c>
      <c r="D566" t="s">
        <v>33</v>
      </c>
      <c r="E566" t="str">
        <f>"400415"</f>
        <v>400415</v>
      </c>
      <c r="F566" t="s">
        <v>39</v>
      </c>
      <c r="G566">
        <v>4</v>
      </c>
      <c r="H566">
        <v>0</v>
      </c>
      <c r="I566" t="s">
        <v>1191</v>
      </c>
      <c r="J566" t="str">
        <f>"153000355"</f>
        <v>153000355</v>
      </c>
      <c r="K566" s="1">
        <v>48004</v>
      </c>
      <c r="M566" s="1">
        <v>46179</v>
      </c>
      <c r="N566" t="str">
        <f>"1329001919"</f>
        <v>1329001919</v>
      </c>
      <c r="O566">
        <v>4</v>
      </c>
      <c r="P566" s="2">
        <v>46210.565763888888</v>
      </c>
      <c r="Q566" s="2">
        <v>46238.458344907405</v>
      </c>
      <c r="R566" s="2">
        <v>46210.565763888888</v>
      </c>
      <c r="S566">
        <v>0</v>
      </c>
      <c r="T566" t="s">
        <v>67</v>
      </c>
      <c r="U566" t="s">
        <v>67</v>
      </c>
      <c r="V566" t="s">
        <v>1195</v>
      </c>
      <c r="W566" t="str">
        <f>"400415"</f>
        <v>400415</v>
      </c>
      <c r="X566" t="s">
        <v>41</v>
      </c>
      <c r="AD566" s="2">
        <v>46210.6175</v>
      </c>
    </row>
    <row r="567" spans="1:30" x14ac:dyDescent="0.35">
      <c r="A567" t="s">
        <v>30</v>
      </c>
      <c r="B567" t="s">
        <v>31</v>
      </c>
      <c r="C567" t="s">
        <v>1196</v>
      </c>
      <c r="D567" t="s">
        <v>33</v>
      </c>
      <c r="E567" t="str">
        <f>"400415"</f>
        <v>400415</v>
      </c>
      <c r="F567" t="s">
        <v>39</v>
      </c>
      <c r="G567">
        <v>4</v>
      </c>
      <c r="H567">
        <v>0</v>
      </c>
      <c r="I567" t="s">
        <v>1193</v>
      </c>
      <c r="J567" t="str">
        <f>"153000355"</f>
        <v>153000355</v>
      </c>
      <c r="K567" s="1">
        <v>48004</v>
      </c>
      <c r="M567" s="1">
        <v>46179</v>
      </c>
      <c r="N567" t="str">
        <f>"1329001919"</f>
        <v>1329001919</v>
      </c>
      <c r="O567">
        <v>4</v>
      </c>
      <c r="P567" s="2">
        <v>46210.565381944441</v>
      </c>
      <c r="Q567" s="2">
        <v>46238.458553240744</v>
      </c>
      <c r="R567" s="2">
        <v>46210.565381944441</v>
      </c>
      <c r="S567">
        <v>0</v>
      </c>
      <c r="T567" t="s">
        <v>67</v>
      </c>
      <c r="U567" t="s">
        <v>67</v>
      </c>
      <c r="V567" t="s">
        <v>1197</v>
      </c>
      <c r="W567" t="str">
        <f>"400415"</f>
        <v>400415</v>
      </c>
      <c r="X567" t="s">
        <v>41</v>
      </c>
      <c r="AD567" s="2">
        <v>46210.617546296293</v>
      </c>
    </row>
    <row r="568" spans="1:30" x14ac:dyDescent="0.35">
      <c r="A568" t="s">
        <v>30</v>
      </c>
      <c r="B568" t="s">
        <v>31</v>
      </c>
      <c r="C568" t="s">
        <v>1198</v>
      </c>
      <c r="D568" t="s">
        <v>33</v>
      </c>
      <c r="E568" t="str">
        <f>"400441"</f>
        <v>400441</v>
      </c>
      <c r="F568" t="s">
        <v>65</v>
      </c>
      <c r="G568">
        <v>4</v>
      </c>
      <c r="H568">
        <v>0</v>
      </c>
      <c r="I568" t="s">
        <v>1199</v>
      </c>
      <c r="J568" t="str">
        <f>"153000412"</f>
        <v>153000412</v>
      </c>
      <c r="K568" s="1">
        <v>48022</v>
      </c>
      <c r="M568" s="1">
        <v>46197</v>
      </c>
      <c r="N568" t="str">
        <f>"1329001917"</f>
        <v>1329001917</v>
      </c>
      <c r="O568">
        <v>4</v>
      </c>
      <c r="P568" s="2">
        <v>46208.560358796298</v>
      </c>
      <c r="Q568" s="2">
        <v>46238.472187500003</v>
      </c>
      <c r="R568" s="2">
        <v>46208.560358796298</v>
      </c>
      <c r="S568">
        <v>0</v>
      </c>
      <c r="T568" t="s">
        <v>67</v>
      </c>
      <c r="U568" t="s">
        <v>67</v>
      </c>
      <c r="V568" t="s">
        <v>1200</v>
      </c>
      <c r="W568" t="str">
        <f>"400441"</f>
        <v>400441</v>
      </c>
      <c r="X568" t="s">
        <v>41</v>
      </c>
      <c r="AD568" s="2">
        <v>46208.881840277776</v>
      </c>
    </row>
    <row r="569" spans="1:30" x14ac:dyDescent="0.35">
      <c r="A569" t="s">
        <v>30</v>
      </c>
      <c r="B569" t="s">
        <v>31</v>
      </c>
      <c r="C569" t="s">
        <v>1201</v>
      </c>
      <c r="D569" t="s">
        <v>33</v>
      </c>
      <c r="E569" t="str">
        <f>"400441"</f>
        <v>400441</v>
      </c>
      <c r="F569" t="s">
        <v>65</v>
      </c>
      <c r="G569">
        <v>4</v>
      </c>
      <c r="H569">
        <v>0</v>
      </c>
      <c r="I569" t="s">
        <v>1202</v>
      </c>
      <c r="J569" t="str">
        <f>"153000412"</f>
        <v>153000412</v>
      </c>
      <c r="K569" s="1">
        <v>48022</v>
      </c>
      <c r="M569" s="1">
        <v>46197</v>
      </c>
      <c r="N569" t="str">
        <f>"1329001933"</f>
        <v>1329001933</v>
      </c>
      <c r="O569">
        <v>4</v>
      </c>
      <c r="P569" s="2">
        <v>46212.441053240742</v>
      </c>
      <c r="Q569" s="2">
        <v>46239.346747685187</v>
      </c>
      <c r="R569" s="2">
        <v>46212.441053240742</v>
      </c>
      <c r="S569">
        <v>0</v>
      </c>
      <c r="T569" t="s">
        <v>67</v>
      </c>
      <c r="U569" t="s">
        <v>67</v>
      </c>
      <c r="V569" t="s">
        <v>1203</v>
      </c>
      <c r="W569" t="str">
        <f>"400441"</f>
        <v>400441</v>
      </c>
      <c r="X569" t="s">
        <v>41</v>
      </c>
      <c r="AD569" s="2">
        <v>46212.562662037039</v>
      </c>
    </row>
    <row r="570" spans="1:30" x14ac:dyDescent="0.35">
      <c r="A570" t="s">
        <v>30</v>
      </c>
      <c r="B570" t="s">
        <v>31</v>
      </c>
      <c r="C570" t="s">
        <v>1204</v>
      </c>
      <c r="D570" t="s">
        <v>33</v>
      </c>
      <c r="E570" t="str">
        <f t="shared" ref="E570:E591" si="84">"400932"</f>
        <v>400932</v>
      </c>
      <c r="F570" t="s">
        <v>1205</v>
      </c>
      <c r="G570">
        <v>24</v>
      </c>
      <c r="H570">
        <v>0</v>
      </c>
      <c r="I570" t="s">
        <v>1206</v>
      </c>
      <c r="J570" t="str">
        <f>"100009226"</f>
        <v>100009226</v>
      </c>
      <c r="K570" s="1">
        <v>47663</v>
      </c>
      <c r="L570" s="1">
        <v>45838</v>
      </c>
      <c r="M570" s="1">
        <v>45838</v>
      </c>
      <c r="N570" t="str">
        <f t="shared" ref="N570:N591" si="85">"1329002007"</f>
        <v>1329002007</v>
      </c>
      <c r="O570">
        <v>24</v>
      </c>
      <c r="P570" s="2">
        <v>46240.661296296297</v>
      </c>
      <c r="Q570" s="2">
        <v>46240.927905092591</v>
      </c>
      <c r="R570" s="2">
        <v>46240.661296296297</v>
      </c>
      <c r="S570">
        <v>0</v>
      </c>
      <c r="T570" t="s">
        <v>67</v>
      </c>
      <c r="U570" t="s">
        <v>67</v>
      </c>
      <c r="W570" t="str">
        <f t="shared" ref="W570:W591" si="86">"400932"</f>
        <v>400932</v>
      </c>
      <c r="X570" t="s">
        <v>37</v>
      </c>
      <c r="AD570" s="2">
        <v>46240.927905092591</v>
      </c>
    </row>
    <row r="571" spans="1:30" x14ac:dyDescent="0.35">
      <c r="A571" t="s">
        <v>30</v>
      </c>
      <c r="B571" t="s">
        <v>31</v>
      </c>
      <c r="C571" t="s">
        <v>1207</v>
      </c>
      <c r="D571" t="s">
        <v>33</v>
      </c>
      <c r="E571" t="str">
        <f t="shared" si="84"/>
        <v>400932</v>
      </c>
      <c r="F571" t="s">
        <v>1205</v>
      </c>
      <c r="G571">
        <v>24</v>
      </c>
      <c r="H571">
        <v>0</v>
      </c>
      <c r="I571" t="s">
        <v>1208</v>
      </c>
      <c r="J571" t="str">
        <f>"100009495"</f>
        <v>100009495</v>
      </c>
      <c r="K571" s="1">
        <v>47687</v>
      </c>
      <c r="L571" s="1">
        <v>45862</v>
      </c>
      <c r="M571" s="1">
        <v>45862</v>
      </c>
      <c r="N571" t="str">
        <f t="shared" si="85"/>
        <v>1329002007</v>
      </c>
      <c r="O571">
        <v>24</v>
      </c>
      <c r="P571" s="2">
        <v>46240.661585648151</v>
      </c>
      <c r="Q571" s="2">
        <v>46240.928472222222</v>
      </c>
      <c r="R571" s="2">
        <v>46240.661585648151</v>
      </c>
      <c r="S571">
        <v>0</v>
      </c>
      <c r="T571" t="s">
        <v>67</v>
      </c>
      <c r="U571" t="s">
        <v>67</v>
      </c>
      <c r="W571" t="str">
        <f t="shared" si="86"/>
        <v>400932</v>
      </c>
      <c r="X571" t="s">
        <v>37</v>
      </c>
      <c r="AD571" s="2">
        <v>46240.928472222222</v>
      </c>
    </row>
    <row r="572" spans="1:30" x14ac:dyDescent="0.35">
      <c r="A572" t="s">
        <v>30</v>
      </c>
      <c r="B572" t="s">
        <v>31</v>
      </c>
      <c r="C572" t="s">
        <v>1209</v>
      </c>
      <c r="D572" t="s">
        <v>33</v>
      </c>
      <c r="E572" t="str">
        <f t="shared" si="84"/>
        <v>400932</v>
      </c>
      <c r="F572" t="s">
        <v>1205</v>
      </c>
      <c r="G572">
        <v>24</v>
      </c>
      <c r="H572">
        <v>0</v>
      </c>
      <c r="I572" t="s">
        <v>1210</v>
      </c>
      <c r="J572" t="str">
        <f>"100009495"</f>
        <v>100009495</v>
      </c>
      <c r="K572" s="1">
        <v>47687</v>
      </c>
      <c r="L572" s="1">
        <v>45862</v>
      </c>
      <c r="M572" s="1">
        <v>45862</v>
      </c>
      <c r="N572" t="str">
        <f t="shared" si="85"/>
        <v>1329002007</v>
      </c>
      <c r="O572">
        <v>24</v>
      </c>
      <c r="P572" s="2">
        <v>46240.661944444444</v>
      </c>
      <c r="Q572" s="2">
        <v>46240.92900462963</v>
      </c>
      <c r="R572" s="2">
        <v>46240.661944444444</v>
      </c>
      <c r="S572">
        <v>0</v>
      </c>
      <c r="T572" t="s">
        <v>67</v>
      </c>
      <c r="U572" t="s">
        <v>67</v>
      </c>
      <c r="W572" t="str">
        <f t="shared" si="86"/>
        <v>400932</v>
      </c>
      <c r="X572" t="s">
        <v>37</v>
      </c>
      <c r="AD572" s="2">
        <v>46240.92900462963</v>
      </c>
    </row>
    <row r="573" spans="1:30" x14ac:dyDescent="0.35">
      <c r="A573" t="s">
        <v>30</v>
      </c>
      <c r="B573" t="s">
        <v>31</v>
      </c>
      <c r="C573" t="s">
        <v>1211</v>
      </c>
      <c r="D573" t="s">
        <v>33</v>
      </c>
      <c r="E573" t="str">
        <f t="shared" si="84"/>
        <v>400932</v>
      </c>
      <c r="F573" t="s">
        <v>1205</v>
      </c>
      <c r="G573">
        <v>24</v>
      </c>
      <c r="H573">
        <v>0</v>
      </c>
      <c r="I573" t="s">
        <v>1212</v>
      </c>
      <c r="J573" t="str">
        <f>"100009226"</f>
        <v>100009226</v>
      </c>
      <c r="K573" s="1">
        <v>47663</v>
      </c>
      <c r="L573" s="1">
        <v>45838</v>
      </c>
      <c r="M573" s="1">
        <v>45838</v>
      </c>
      <c r="N573" t="str">
        <f t="shared" si="85"/>
        <v>1329002007</v>
      </c>
      <c r="O573">
        <v>24</v>
      </c>
      <c r="P573" s="2">
        <v>46240.662175925929</v>
      </c>
      <c r="Q573" s="2">
        <v>46240.929537037038</v>
      </c>
      <c r="R573" s="2">
        <v>46240.662175925929</v>
      </c>
      <c r="S573">
        <v>0</v>
      </c>
      <c r="T573" t="s">
        <v>67</v>
      </c>
      <c r="U573" t="s">
        <v>67</v>
      </c>
      <c r="W573" t="str">
        <f t="shared" si="86"/>
        <v>400932</v>
      </c>
      <c r="X573" t="s">
        <v>37</v>
      </c>
      <c r="AD573" s="2">
        <v>46240.929537037038</v>
      </c>
    </row>
    <row r="574" spans="1:30" x14ac:dyDescent="0.35">
      <c r="A574" t="s">
        <v>30</v>
      </c>
      <c r="B574" t="s">
        <v>31</v>
      </c>
      <c r="C574" t="s">
        <v>1213</v>
      </c>
      <c r="D574" t="s">
        <v>33</v>
      </c>
      <c r="E574" t="str">
        <f t="shared" si="84"/>
        <v>400932</v>
      </c>
      <c r="F574" t="s">
        <v>1205</v>
      </c>
      <c r="G574">
        <v>24</v>
      </c>
      <c r="H574">
        <v>0</v>
      </c>
      <c r="I574" t="s">
        <v>1214</v>
      </c>
      <c r="J574" t="str">
        <f>"10009226"</f>
        <v>10009226</v>
      </c>
      <c r="K574" s="1">
        <v>47663</v>
      </c>
      <c r="L574" s="1">
        <v>45838</v>
      </c>
      <c r="M574" s="1">
        <v>45838</v>
      </c>
      <c r="N574" t="str">
        <f t="shared" si="85"/>
        <v>1329002007</v>
      </c>
      <c r="O574">
        <v>24</v>
      </c>
      <c r="P574" s="2">
        <v>46240.66238425926</v>
      </c>
      <c r="Q574" s="2">
        <v>46240.930289351854</v>
      </c>
      <c r="R574" s="2">
        <v>46240.66238425926</v>
      </c>
      <c r="S574">
        <v>0</v>
      </c>
      <c r="T574" t="s">
        <v>67</v>
      </c>
      <c r="U574" t="s">
        <v>67</v>
      </c>
      <c r="W574" t="str">
        <f t="shared" si="86"/>
        <v>400932</v>
      </c>
      <c r="X574" t="s">
        <v>37</v>
      </c>
      <c r="AD574" s="2">
        <v>46240.930289351854</v>
      </c>
    </row>
    <row r="575" spans="1:30" x14ac:dyDescent="0.35">
      <c r="A575" t="s">
        <v>30</v>
      </c>
      <c r="B575" t="s">
        <v>31</v>
      </c>
      <c r="C575" t="s">
        <v>1215</v>
      </c>
      <c r="D575" t="s">
        <v>33</v>
      </c>
      <c r="E575" t="str">
        <f t="shared" si="84"/>
        <v>400932</v>
      </c>
      <c r="F575" t="s">
        <v>1205</v>
      </c>
      <c r="G575">
        <v>24</v>
      </c>
      <c r="H575">
        <v>0</v>
      </c>
      <c r="I575" t="s">
        <v>1216</v>
      </c>
      <c r="J575" t="str">
        <f>"100009226"</f>
        <v>100009226</v>
      </c>
      <c r="K575" s="1">
        <v>47663</v>
      </c>
      <c r="L575" s="1">
        <v>45838</v>
      </c>
      <c r="M575" s="1">
        <v>45838</v>
      </c>
      <c r="N575" t="str">
        <f t="shared" si="85"/>
        <v>1329002007</v>
      </c>
      <c r="O575">
        <v>24</v>
      </c>
      <c r="P575" s="2">
        <v>46240.662638888891</v>
      </c>
      <c r="Q575" s="2">
        <v>46240.93173611111</v>
      </c>
      <c r="R575" s="2">
        <v>46240.662638888891</v>
      </c>
      <c r="S575">
        <v>0</v>
      </c>
      <c r="T575" t="s">
        <v>67</v>
      </c>
      <c r="U575" t="s">
        <v>67</v>
      </c>
      <c r="W575" t="str">
        <f t="shared" si="86"/>
        <v>400932</v>
      </c>
      <c r="X575" t="s">
        <v>37</v>
      </c>
      <c r="AD575" s="2">
        <v>46240.93173611111</v>
      </c>
    </row>
    <row r="576" spans="1:30" x14ac:dyDescent="0.35">
      <c r="A576" t="s">
        <v>30</v>
      </c>
      <c r="B576" t="s">
        <v>31</v>
      </c>
      <c r="C576" t="s">
        <v>1217</v>
      </c>
      <c r="D576" t="s">
        <v>33</v>
      </c>
      <c r="E576" t="str">
        <f t="shared" si="84"/>
        <v>400932</v>
      </c>
      <c r="F576" t="s">
        <v>1205</v>
      </c>
      <c r="G576">
        <v>24</v>
      </c>
      <c r="H576">
        <v>0</v>
      </c>
      <c r="I576" t="s">
        <v>1218</v>
      </c>
      <c r="J576" t="str">
        <f>"100009495"</f>
        <v>100009495</v>
      </c>
      <c r="K576" s="1">
        <v>47687</v>
      </c>
      <c r="L576" s="1">
        <v>45862</v>
      </c>
      <c r="M576" s="1">
        <v>45862</v>
      </c>
      <c r="N576" t="str">
        <f t="shared" si="85"/>
        <v>1329002007</v>
      </c>
      <c r="O576">
        <v>24</v>
      </c>
      <c r="P576" s="2">
        <v>46240.663715277777</v>
      </c>
      <c r="Q576" s="2">
        <v>46240.932986111111</v>
      </c>
      <c r="R576" s="2">
        <v>46240.663715277777</v>
      </c>
      <c r="S576">
        <v>0</v>
      </c>
      <c r="T576" t="s">
        <v>67</v>
      </c>
      <c r="U576" t="s">
        <v>67</v>
      </c>
      <c r="W576" t="str">
        <f t="shared" si="86"/>
        <v>400932</v>
      </c>
      <c r="X576" t="s">
        <v>37</v>
      </c>
      <c r="AD576" s="2">
        <v>46240.932986111111</v>
      </c>
    </row>
    <row r="577" spans="1:30" x14ac:dyDescent="0.35">
      <c r="A577" t="s">
        <v>30</v>
      </c>
      <c r="B577" t="s">
        <v>31</v>
      </c>
      <c r="C577" t="s">
        <v>1219</v>
      </c>
      <c r="D577" t="s">
        <v>33</v>
      </c>
      <c r="E577" t="str">
        <f t="shared" si="84"/>
        <v>400932</v>
      </c>
      <c r="F577" t="s">
        <v>1205</v>
      </c>
      <c r="G577">
        <v>24</v>
      </c>
      <c r="H577">
        <v>0</v>
      </c>
      <c r="I577" t="s">
        <v>1220</v>
      </c>
      <c r="J577" t="str">
        <f>"100008855"</f>
        <v>100008855</v>
      </c>
      <c r="K577" s="1">
        <v>47627</v>
      </c>
      <c r="L577" s="1">
        <v>45802</v>
      </c>
      <c r="M577" s="1">
        <v>45802</v>
      </c>
      <c r="N577" t="str">
        <f t="shared" si="85"/>
        <v>1329002007</v>
      </c>
      <c r="O577">
        <v>24</v>
      </c>
      <c r="P577" s="2">
        <v>46240.664421296293</v>
      </c>
      <c r="Q577" s="2">
        <v>46240.93408564815</v>
      </c>
      <c r="R577" s="2">
        <v>46240.664421296293</v>
      </c>
      <c r="S577">
        <v>0</v>
      </c>
      <c r="T577" t="s">
        <v>67</v>
      </c>
      <c r="U577" t="s">
        <v>67</v>
      </c>
      <c r="W577" t="str">
        <f t="shared" si="86"/>
        <v>400932</v>
      </c>
      <c r="X577" t="s">
        <v>37</v>
      </c>
      <c r="AD577" s="2">
        <v>46240.93408564815</v>
      </c>
    </row>
    <row r="578" spans="1:30" x14ac:dyDescent="0.35">
      <c r="A578" t="s">
        <v>30</v>
      </c>
      <c r="B578" t="s">
        <v>31</v>
      </c>
      <c r="C578" t="s">
        <v>1221</v>
      </c>
      <c r="D578" t="s">
        <v>33</v>
      </c>
      <c r="E578" t="str">
        <f t="shared" si="84"/>
        <v>400932</v>
      </c>
      <c r="F578" t="s">
        <v>1205</v>
      </c>
      <c r="G578">
        <v>24</v>
      </c>
      <c r="H578">
        <v>0</v>
      </c>
      <c r="I578" t="s">
        <v>1222</v>
      </c>
      <c r="J578" t="str">
        <f>"100009226"</f>
        <v>100009226</v>
      </c>
      <c r="K578" s="1">
        <v>47663</v>
      </c>
      <c r="L578" s="1">
        <v>45838</v>
      </c>
      <c r="M578" s="1">
        <v>45838</v>
      </c>
      <c r="N578" t="str">
        <f t="shared" si="85"/>
        <v>1329002007</v>
      </c>
      <c r="O578">
        <v>24</v>
      </c>
      <c r="P578" s="2">
        <v>46240.66070601852</v>
      </c>
      <c r="Q578" s="2">
        <v>46240.935069444444</v>
      </c>
      <c r="R578" s="2">
        <v>46240.66070601852</v>
      </c>
      <c r="S578">
        <v>0</v>
      </c>
      <c r="T578" t="s">
        <v>67</v>
      </c>
      <c r="U578" t="s">
        <v>67</v>
      </c>
      <c r="W578" t="str">
        <f t="shared" si="86"/>
        <v>400932</v>
      </c>
      <c r="X578" t="s">
        <v>37</v>
      </c>
      <c r="AD578" s="2">
        <v>46240.935069444444</v>
      </c>
    </row>
    <row r="579" spans="1:30" x14ac:dyDescent="0.35">
      <c r="A579" t="s">
        <v>30</v>
      </c>
      <c r="B579" t="s">
        <v>31</v>
      </c>
      <c r="C579" t="s">
        <v>1223</v>
      </c>
      <c r="D579" t="s">
        <v>33</v>
      </c>
      <c r="E579" t="str">
        <f t="shared" si="84"/>
        <v>400932</v>
      </c>
      <c r="F579" t="s">
        <v>1205</v>
      </c>
      <c r="G579">
        <v>24</v>
      </c>
      <c r="H579">
        <v>0</v>
      </c>
      <c r="I579" t="s">
        <v>1224</v>
      </c>
      <c r="J579" t="str">
        <f>"100009226"</f>
        <v>100009226</v>
      </c>
      <c r="K579" s="1">
        <v>47663</v>
      </c>
      <c r="L579" s="1">
        <v>45838</v>
      </c>
      <c r="M579" s="1">
        <v>45838</v>
      </c>
      <c r="N579" t="str">
        <f t="shared" si="85"/>
        <v>1329002007</v>
      </c>
      <c r="O579">
        <v>24</v>
      </c>
      <c r="P579" s="2">
        <v>46240.660451388889</v>
      </c>
      <c r="Q579" s="2">
        <v>46240.936076388891</v>
      </c>
      <c r="R579" s="2">
        <v>46240.660451388889</v>
      </c>
      <c r="S579">
        <v>0</v>
      </c>
      <c r="T579" t="s">
        <v>67</v>
      </c>
      <c r="U579" t="s">
        <v>67</v>
      </c>
      <c r="W579" t="str">
        <f t="shared" si="86"/>
        <v>400932</v>
      </c>
      <c r="X579" t="s">
        <v>37</v>
      </c>
      <c r="AD579" s="2">
        <v>46240.936076388891</v>
      </c>
    </row>
    <row r="580" spans="1:30" x14ac:dyDescent="0.35">
      <c r="A580" t="s">
        <v>30</v>
      </c>
      <c r="B580" t="s">
        <v>31</v>
      </c>
      <c r="C580" t="s">
        <v>1225</v>
      </c>
      <c r="D580" t="s">
        <v>33</v>
      </c>
      <c r="E580" t="str">
        <f t="shared" si="84"/>
        <v>400932</v>
      </c>
      <c r="F580" t="s">
        <v>1205</v>
      </c>
      <c r="G580">
        <v>24</v>
      </c>
      <c r="H580">
        <v>0</v>
      </c>
      <c r="I580" t="s">
        <v>1226</v>
      </c>
      <c r="J580" t="str">
        <f>"100008855"</f>
        <v>100008855</v>
      </c>
      <c r="K580" s="1">
        <v>47627</v>
      </c>
      <c r="L580" s="1">
        <v>45802</v>
      </c>
      <c r="M580" s="1">
        <v>45802</v>
      </c>
      <c r="N580" t="str">
        <f t="shared" si="85"/>
        <v>1329002007</v>
      </c>
      <c r="O580">
        <v>24</v>
      </c>
      <c r="P580" s="2">
        <v>46240.659768518519</v>
      </c>
      <c r="Q580" s="2">
        <v>46240.9371875</v>
      </c>
      <c r="R580" s="2">
        <v>46240.659768518519</v>
      </c>
      <c r="S580">
        <v>0</v>
      </c>
      <c r="T580" t="s">
        <v>67</v>
      </c>
      <c r="U580" t="s">
        <v>67</v>
      </c>
      <c r="W580" t="str">
        <f t="shared" si="86"/>
        <v>400932</v>
      </c>
      <c r="X580" t="s">
        <v>37</v>
      </c>
      <c r="AD580" s="2">
        <v>46240.9371875</v>
      </c>
    </row>
    <row r="581" spans="1:30" x14ac:dyDescent="0.35">
      <c r="A581" t="s">
        <v>30</v>
      </c>
      <c r="B581" t="s">
        <v>31</v>
      </c>
      <c r="C581" t="s">
        <v>1227</v>
      </c>
      <c r="D581" t="s">
        <v>33</v>
      </c>
      <c r="E581" t="str">
        <f t="shared" si="84"/>
        <v>400932</v>
      </c>
      <c r="F581" t="s">
        <v>1205</v>
      </c>
      <c r="G581">
        <v>24</v>
      </c>
      <c r="H581">
        <v>0</v>
      </c>
      <c r="I581" t="s">
        <v>1228</v>
      </c>
      <c r="J581" t="str">
        <f>"100009226"</f>
        <v>100009226</v>
      </c>
      <c r="K581" s="1">
        <v>47663</v>
      </c>
      <c r="L581" s="1">
        <v>45838</v>
      </c>
      <c r="M581" s="1">
        <v>45838</v>
      </c>
      <c r="N581" t="str">
        <f t="shared" si="85"/>
        <v>1329002007</v>
      </c>
      <c r="O581">
        <v>24</v>
      </c>
      <c r="P581" s="2">
        <v>46240.659513888888</v>
      </c>
      <c r="Q581" s="2">
        <v>46240.938356481478</v>
      </c>
      <c r="R581" s="2">
        <v>46240.659513888888</v>
      </c>
      <c r="S581">
        <v>0</v>
      </c>
      <c r="T581" t="s">
        <v>67</v>
      </c>
      <c r="U581" t="s">
        <v>67</v>
      </c>
      <c r="W581" t="str">
        <f t="shared" si="86"/>
        <v>400932</v>
      </c>
      <c r="X581" t="s">
        <v>37</v>
      </c>
      <c r="AD581" s="2">
        <v>46240.938356481478</v>
      </c>
    </row>
    <row r="582" spans="1:30" x14ac:dyDescent="0.35">
      <c r="A582" t="s">
        <v>30</v>
      </c>
      <c r="B582" t="s">
        <v>31</v>
      </c>
      <c r="C582" t="s">
        <v>1229</v>
      </c>
      <c r="D582" t="s">
        <v>33</v>
      </c>
      <c r="E582" t="str">
        <f t="shared" si="84"/>
        <v>400932</v>
      </c>
      <c r="F582" t="s">
        <v>1205</v>
      </c>
      <c r="G582">
        <v>24</v>
      </c>
      <c r="H582">
        <v>0</v>
      </c>
      <c r="I582" t="s">
        <v>1230</v>
      </c>
      <c r="J582" t="str">
        <f>"100009495"</f>
        <v>100009495</v>
      </c>
      <c r="K582" s="1">
        <v>47687</v>
      </c>
      <c r="L582" s="1">
        <v>45862</v>
      </c>
      <c r="M582" s="1">
        <v>45862</v>
      </c>
      <c r="N582" t="str">
        <f t="shared" si="85"/>
        <v>1329002007</v>
      </c>
      <c r="O582">
        <v>24</v>
      </c>
      <c r="P582" s="2">
        <v>46240.659224537034</v>
      </c>
      <c r="Q582" s="2">
        <v>46240.939432870371</v>
      </c>
      <c r="R582" s="2">
        <v>46240.659224537034</v>
      </c>
      <c r="S582">
        <v>0</v>
      </c>
      <c r="T582" t="s">
        <v>67</v>
      </c>
      <c r="U582" t="s">
        <v>67</v>
      </c>
      <c r="W582" t="str">
        <f t="shared" si="86"/>
        <v>400932</v>
      </c>
      <c r="X582" t="s">
        <v>37</v>
      </c>
      <c r="AD582" s="2">
        <v>46240.939432870371</v>
      </c>
    </row>
    <row r="583" spans="1:30" x14ac:dyDescent="0.35">
      <c r="A583" t="s">
        <v>30</v>
      </c>
      <c r="B583" t="s">
        <v>31</v>
      </c>
      <c r="C583" t="s">
        <v>1231</v>
      </c>
      <c r="D583" t="s">
        <v>33</v>
      </c>
      <c r="E583" t="str">
        <f t="shared" si="84"/>
        <v>400932</v>
      </c>
      <c r="F583" t="s">
        <v>1205</v>
      </c>
      <c r="G583">
        <v>6</v>
      </c>
      <c r="H583">
        <v>0</v>
      </c>
      <c r="I583" t="s">
        <v>1232</v>
      </c>
      <c r="J583" t="str">
        <f>"100007405"</f>
        <v>100007405</v>
      </c>
      <c r="K583" s="1">
        <v>47475</v>
      </c>
      <c r="L583" s="1">
        <v>45650</v>
      </c>
      <c r="M583" s="1">
        <v>43825</v>
      </c>
      <c r="N583" t="str">
        <f t="shared" si="85"/>
        <v>1329002007</v>
      </c>
      <c r="O583">
        <v>6</v>
      </c>
      <c r="P583" s="2">
        <v>46240.66678240741</v>
      </c>
      <c r="Q583" s="2">
        <v>46240.940046296295</v>
      </c>
      <c r="R583" s="2">
        <v>46240.66678240741</v>
      </c>
      <c r="S583">
        <v>0</v>
      </c>
      <c r="T583" t="s">
        <v>67</v>
      </c>
      <c r="U583" t="s">
        <v>67</v>
      </c>
      <c r="W583" t="str">
        <f t="shared" si="86"/>
        <v>400932</v>
      </c>
      <c r="X583" t="s">
        <v>37</v>
      </c>
      <c r="AD583" s="2">
        <v>46240.940046296295</v>
      </c>
    </row>
    <row r="584" spans="1:30" x14ac:dyDescent="0.35">
      <c r="A584" t="s">
        <v>30</v>
      </c>
      <c r="B584" t="s">
        <v>31</v>
      </c>
      <c r="C584" t="s">
        <v>1233</v>
      </c>
      <c r="D584" t="s">
        <v>33</v>
      </c>
      <c r="E584" t="str">
        <f t="shared" si="84"/>
        <v>400932</v>
      </c>
      <c r="F584" t="s">
        <v>1205</v>
      </c>
      <c r="G584">
        <v>19</v>
      </c>
      <c r="H584">
        <v>0</v>
      </c>
      <c r="I584" t="s">
        <v>1234</v>
      </c>
      <c r="J584" t="str">
        <f>"100009495"</f>
        <v>100009495</v>
      </c>
      <c r="K584" s="1">
        <v>47687</v>
      </c>
      <c r="L584" s="1">
        <v>45497</v>
      </c>
      <c r="M584" s="1">
        <v>45862</v>
      </c>
      <c r="N584" t="str">
        <f t="shared" si="85"/>
        <v>1329002007</v>
      </c>
      <c r="O584">
        <v>19</v>
      </c>
      <c r="P584" s="2">
        <v>46240.667025462964</v>
      </c>
      <c r="Q584" s="2">
        <v>46240.94059027778</v>
      </c>
      <c r="R584" s="2">
        <v>46240.667025462964</v>
      </c>
      <c r="S584">
        <v>0</v>
      </c>
      <c r="T584" t="s">
        <v>67</v>
      </c>
      <c r="U584" t="s">
        <v>67</v>
      </c>
      <c r="W584" t="str">
        <f t="shared" si="86"/>
        <v>400932</v>
      </c>
      <c r="X584" t="s">
        <v>37</v>
      </c>
      <c r="AD584" s="2">
        <v>46240.94059027778</v>
      </c>
    </row>
    <row r="585" spans="1:30" x14ac:dyDescent="0.35">
      <c r="A585" t="s">
        <v>30</v>
      </c>
      <c r="B585" t="s">
        <v>31</v>
      </c>
      <c r="C585" t="s">
        <v>1235</v>
      </c>
      <c r="D585" t="s">
        <v>33</v>
      </c>
      <c r="E585" t="str">
        <f t="shared" si="84"/>
        <v>400932</v>
      </c>
      <c r="F585" t="s">
        <v>1205</v>
      </c>
      <c r="G585">
        <v>21</v>
      </c>
      <c r="H585">
        <v>0</v>
      </c>
      <c r="I585" t="s">
        <v>1236</v>
      </c>
      <c r="J585" t="str">
        <f>"100008855"</f>
        <v>100008855</v>
      </c>
      <c r="K585" s="1">
        <v>47627</v>
      </c>
      <c r="L585" s="1">
        <v>45803</v>
      </c>
      <c r="M585" s="1">
        <v>45802</v>
      </c>
      <c r="N585" t="str">
        <f t="shared" si="85"/>
        <v>1329002007</v>
      </c>
      <c r="O585">
        <v>21</v>
      </c>
      <c r="P585" s="2">
        <v>46240.665231481478</v>
      </c>
      <c r="Q585" s="2">
        <v>46240.941203703704</v>
      </c>
      <c r="R585" s="2">
        <v>46240.665231481478</v>
      </c>
      <c r="S585">
        <v>0</v>
      </c>
      <c r="T585" t="s">
        <v>67</v>
      </c>
      <c r="U585" t="s">
        <v>67</v>
      </c>
      <c r="W585" t="str">
        <f t="shared" si="86"/>
        <v>400932</v>
      </c>
      <c r="X585" t="s">
        <v>37</v>
      </c>
      <c r="AD585" s="2">
        <v>46240.941203703704</v>
      </c>
    </row>
    <row r="586" spans="1:30" x14ac:dyDescent="0.35">
      <c r="A586" t="s">
        <v>30</v>
      </c>
      <c r="B586" t="s">
        <v>31</v>
      </c>
      <c r="C586" t="s">
        <v>1237</v>
      </c>
      <c r="D586" t="s">
        <v>33</v>
      </c>
      <c r="E586" t="str">
        <f t="shared" si="84"/>
        <v>400932</v>
      </c>
      <c r="F586" t="s">
        <v>1205</v>
      </c>
      <c r="G586">
        <v>24</v>
      </c>
      <c r="H586">
        <v>0</v>
      </c>
      <c r="I586" t="s">
        <v>1238</v>
      </c>
      <c r="J586" t="str">
        <f>"100007405"</f>
        <v>100007405</v>
      </c>
      <c r="K586" s="1">
        <v>47475</v>
      </c>
      <c r="L586" s="1">
        <v>45650</v>
      </c>
      <c r="M586" s="1">
        <v>43825</v>
      </c>
      <c r="N586" t="str">
        <f t="shared" si="85"/>
        <v>1329002007</v>
      </c>
      <c r="O586">
        <v>24</v>
      </c>
      <c r="P586" s="2">
        <v>46240.658900462964</v>
      </c>
      <c r="Q586" s="2">
        <v>46240.94189814815</v>
      </c>
      <c r="R586" s="2">
        <v>46240.658900462964</v>
      </c>
      <c r="S586">
        <v>0</v>
      </c>
      <c r="T586" t="s">
        <v>67</v>
      </c>
      <c r="U586" t="s">
        <v>67</v>
      </c>
      <c r="W586" t="str">
        <f t="shared" si="86"/>
        <v>400932</v>
      </c>
      <c r="X586" t="s">
        <v>37</v>
      </c>
      <c r="AD586" s="2">
        <v>46240.94189814815</v>
      </c>
    </row>
    <row r="587" spans="1:30" x14ac:dyDescent="0.35">
      <c r="A587" t="s">
        <v>30</v>
      </c>
      <c r="B587" t="s">
        <v>31</v>
      </c>
      <c r="C587" t="s">
        <v>1239</v>
      </c>
      <c r="D587" t="s">
        <v>33</v>
      </c>
      <c r="E587" t="str">
        <f t="shared" si="84"/>
        <v>400932</v>
      </c>
      <c r="F587" t="s">
        <v>1205</v>
      </c>
      <c r="G587">
        <v>24</v>
      </c>
      <c r="H587">
        <v>0</v>
      </c>
      <c r="I587" t="s">
        <v>1240</v>
      </c>
      <c r="J587" t="str">
        <f>"100009495"</f>
        <v>100009495</v>
      </c>
      <c r="K587" s="1">
        <v>47687</v>
      </c>
      <c r="L587" s="1">
        <v>45862</v>
      </c>
      <c r="M587" s="1">
        <v>45862</v>
      </c>
      <c r="N587" t="str">
        <f t="shared" si="85"/>
        <v>1329002007</v>
      </c>
      <c r="O587">
        <v>24</v>
      </c>
      <c r="P587" s="2">
        <v>46240.658437500002</v>
      </c>
      <c r="Q587" s="2">
        <v>46240.942650462966</v>
      </c>
      <c r="R587" s="2">
        <v>46240.658437500002</v>
      </c>
      <c r="S587">
        <v>0</v>
      </c>
      <c r="T587" t="s">
        <v>67</v>
      </c>
      <c r="U587" t="s">
        <v>67</v>
      </c>
      <c r="W587" t="str">
        <f t="shared" si="86"/>
        <v>400932</v>
      </c>
      <c r="X587" t="s">
        <v>37</v>
      </c>
      <c r="AD587" s="2">
        <v>46240.942650462966</v>
      </c>
    </row>
    <row r="588" spans="1:30" x14ac:dyDescent="0.35">
      <c r="A588" t="s">
        <v>30</v>
      </c>
      <c r="B588" t="s">
        <v>31</v>
      </c>
      <c r="C588" t="s">
        <v>1241</v>
      </c>
      <c r="D588" t="s">
        <v>33</v>
      </c>
      <c r="E588" t="str">
        <f t="shared" si="84"/>
        <v>400932</v>
      </c>
      <c r="F588" t="s">
        <v>1205</v>
      </c>
      <c r="G588">
        <v>24</v>
      </c>
      <c r="H588">
        <v>0</v>
      </c>
      <c r="I588" t="s">
        <v>1180</v>
      </c>
      <c r="J588" t="str">
        <f>"100009495"</f>
        <v>100009495</v>
      </c>
      <c r="K588" s="1">
        <v>47687</v>
      </c>
      <c r="L588" s="1">
        <v>45862</v>
      </c>
      <c r="M588" s="1">
        <v>45862</v>
      </c>
      <c r="N588" t="str">
        <f t="shared" si="85"/>
        <v>1329002007</v>
      </c>
      <c r="O588">
        <v>24</v>
      </c>
      <c r="P588" s="2">
        <v>46240.658182870371</v>
      </c>
      <c r="Q588" s="2">
        <v>46240.943541666667</v>
      </c>
      <c r="R588" s="2">
        <v>46240.658182870371</v>
      </c>
      <c r="S588">
        <v>0</v>
      </c>
      <c r="T588" t="s">
        <v>67</v>
      </c>
      <c r="U588" t="s">
        <v>67</v>
      </c>
      <c r="W588" t="str">
        <f t="shared" si="86"/>
        <v>400932</v>
      </c>
      <c r="X588" t="s">
        <v>37</v>
      </c>
      <c r="AD588" s="2">
        <v>46240.943541666667</v>
      </c>
    </row>
    <row r="589" spans="1:30" x14ac:dyDescent="0.35">
      <c r="A589" t="s">
        <v>30</v>
      </c>
      <c r="B589" t="s">
        <v>31</v>
      </c>
      <c r="C589" t="s">
        <v>1242</v>
      </c>
      <c r="D589" t="s">
        <v>33</v>
      </c>
      <c r="E589" t="str">
        <f t="shared" si="84"/>
        <v>400932</v>
      </c>
      <c r="F589" t="s">
        <v>1205</v>
      </c>
      <c r="G589">
        <v>12</v>
      </c>
      <c r="H589">
        <v>0</v>
      </c>
      <c r="I589" t="s">
        <v>1243</v>
      </c>
      <c r="J589" t="str">
        <f>"100009226"</f>
        <v>100009226</v>
      </c>
      <c r="K589" s="1">
        <v>47663</v>
      </c>
      <c r="L589" s="1">
        <v>45838</v>
      </c>
      <c r="M589" s="1">
        <v>45838</v>
      </c>
      <c r="N589" t="str">
        <f t="shared" si="85"/>
        <v>1329002007</v>
      </c>
      <c r="O589">
        <v>12</v>
      </c>
      <c r="P589" s="2">
        <v>46240.667268518519</v>
      </c>
      <c r="Q589" s="2">
        <v>46240.945543981485</v>
      </c>
      <c r="R589" s="2">
        <v>46240.667268518519</v>
      </c>
      <c r="S589">
        <v>1</v>
      </c>
      <c r="T589" t="s">
        <v>67</v>
      </c>
      <c r="U589" t="s">
        <v>67</v>
      </c>
      <c r="W589" t="str">
        <f t="shared" si="86"/>
        <v>400932</v>
      </c>
      <c r="X589" t="s">
        <v>37</v>
      </c>
      <c r="AD589" s="2">
        <v>46240.945543981485</v>
      </c>
    </row>
    <row r="590" spans="1:30" x14ac:dyDescent="0.35">
      <c r="A590" t="s">
        <v>30</v>
      </c>
      <c r="B590" t="s">
        <v>31</v>
      </c>
      <c r="C590" t="s">
        <v>1244</v>
      </c>
      <c r="D590" t="s">
        <v>33</v>
      </c>
      <c r="E590" t="str">
        <f t="shared" si="84"/>
        <v>400932</v>
      </c>
      <c r="F590" t="s">
        <v>1205</v>
      </c>
      <c r="G590">
        <v>24</v>
      </c>
      <c r="H590">
        <v>0</v>
      </c>
      <c r="I590" t="s">
        <v>1245</v>
      </c>
      <c r="J590" t="str">
        <f>"100009226"</f>
        <v>100009226</v>
      </c>
      <c r="K590" s="1">
        <v>47663</v>
      </c>
      <c r="L590" s="1">
        <v>45838</v>
      </c>
      <c r="M590" s="1">
        <v>45838</v>
      </c>
      <c r="N590" t="str">
        <f t="shared" si="85"/>
        <v>1329002007</v>
      </c>
      <c r="O590">
        <v>24</v>
      </c>
      <c r="P590" s="2">
        <v>46240.65729166667</v>
      </c>
      <c r="Q590" s="2">
        <v>46240.947442129633</v>
      </c>
      <c r="R590" s="2">
        <v>46240.65729166667</v>
      </c>
      <c r="S590">
        <v>0</v>
      </c>
      <c r="T590" t="s">
        <v>67</v>
      </c>
      <c r="U590" t="s">
        <v>67</v>
      </c>
      <c r="W590" t="str">
        <f t="shared" si="86"/>
        <v>400932</v>
      </c>
      <c r="X590" t="s">
        <v>37</v>
      </c>
      <c r="AD590" s="2">
        <v>46240.947442129633</v>
      </c>
    </row>
    <row r="591" spans="1:30" x14ac:dyDescent="0.35">
      <c r="A591" t="s">
        <v>30</v>
      </c>
      <c r="B591" t="s">
        <v>31</v>
      </c>
      <c r="C591" t="s">
        <v>1246</v>
      </c>
      <c r="D591" t="s">
        <v>33</v>
      </c>
      <c r="E591" t="str">
        <f t="shared" si="84"/>
        <v>400932</v>
      </c>
      <c r="F591" t="s">
        <v>1205</v>
      </c>
      <c r="G591">
        <v>24</v>
      </c>
      <c r="H591">
        <v>0</v>
      </c>
      <c r="I591" t="s">
        <v>1247</v>
      </c>
      <c r="J591" t="str">
        <f>"100009495"</f>
        <v>100009495</v>
      </c>
      <c r="K591" s="1">
        <v>47687</v>
      </c>
      <c r="L591" s="1">
        <v>45862</v>
      </c>
      <c r="M591" s="1">
        <v>45862</v>
      </c>
      <c r="N591" t="str">
        <f t="shared" si="85"/>
        <v>1329002007</v>
      </c>
      <c r="O591">
        <v>24</v>
      </c>
      <c r="P591" s="2">
        <v>46240.65766203704</v>
      </c>
      <c r="Q591" s="2">
        <v>46240.948344907411</v>
      </c>
      <c r="R591" s="2">
        <v>46240.65766203704</v>
      </c>
      <c r="S591">
        <v>0</v>
      </c>
      <c r="T591" t="s">
        <v>67</v>
      </c>
      <c r="U591" t="s">
        <v>67</v>
      </c>
      <c r="W591" t="str">
        <f t="shared" si="86"/>
        <v>400932</v>
      </c>
      <c r="X591" t="s">
        <v>37</v>
      </c>
      <c r="AD591" s="2">
        <v>46240.948344907411</v>
      </c>
    </row>
    <row r="592" spans="1:30" x14ac:dyDescent="0.35">
      <c r="A592" t="s">
        <v>30</v>
      </c>
      <c r="B592" t="s">
        <v>31</v>
      </c>
      <c r="C592" t="s">
        <v>1248</v>
      </c>
      <c r="D592" t="s">
        <v>33</v>
      </c>
      <c r="E592" t="str">
        <f t="shared" ref="E592:E614" si="87">"400466"</f>
        <v>400466</v>
      </c>
      <c r="F592" t="s">
        <v>1249</v>
      </c>
      <c r="G592">
        <v>40</v>
      </c>
      <c r="H592">
        <v>0</v>
      </c>
      <c r="I592" t="s">
        <v>1250</v>
      </c>
      <c r="J592" t="str">
        <f>"100004743"</f>
        <v>100004743</v>
      </c>
      <c r="K592" s="1">
        <v>47194</v>
      </c>
      <c r="L592" s="1">
        <v>45369</v>
      </c>
      <c r="M592" s="1">
        <v>43544</v>
      </c>
      <c r="N592" t="str">
        <f t="shared" ref="N592:N614" si="88">"1329002006"</f>
        <v>1329002006</v>
      </c>
      <c r="O592">
        <v>40</v>
      </c>
      <c r="P592" s="2">
        <v>46240.598483796297</v>
      </c>
      <c r="Q592" s="2">
        <v>46240.949178240742</v>
      </c>
      <c r="R592" s="2">
        <v>46240.598483796297</v>
      </c>
      <c r="S592">
        <v>0</v>
      </c>
      <c r="T592" t="s">
        <v>67</v>
      </c>
      <c r="U592" t="s">
        <v>67</v>
      </c>
      <c r="W592" t="str">
        <f t="shared" ref="W592:W614" si="89">"400466"</f>
        <v>400466</v>
      </c>
      <c r="X592" t="s">
        <v>37</v>
      </c>
      <c r="AD592" s="2">
        <v>46240.949178240742</v>
      </c>
    </row>
    <row r="593" spans="1:30" x14ac:dyDescent="0.35">
      <c r="A593" t="s">
        <v>30</v>
      </c>
      <c r="B593" t="s">
        <v>31</v>
      </c>
      <c r="C593" t="s">
        <v>1251</v>
      </c>
      <c r="D593" t="s">
        <v>33</v>
      </c>
      <c r="E593" t="str">
        <f t="shared" si="87"/>
        <v>400466</v>
      </c>
      <c r="F593" t="s">
        <v>1249</v>
      </c>
      <c r="G593">
        <v>18</v>
      </c>
      <c r="H593">
        <v>0</v>
      </c>
      <c r="I593" t="s">
        <v>1252</v>
      </c>
      <c r="J593" t="str">
        <f>"10004743"</f>
        <v>10004743</v>
      </c>
      <c r="K593" s="1">
        <v>45368</v>
      </c>
      <c r="L593" s="1">
        <v>45368</v>
      </c>
      <c r="M593" s="1">
        <v>43543</v>
      </c>
      <c r="N593" t="str">
        <f t="shared" si="88"/>
        <v>1329002006</v>
      </c>
      <c r="O593">
        <v>18</v>
      </c>
      <c r="P593" s="2">
        <v>46240.599131944444</v>
      </c>
      <c r="Q593" s="2">
        <v>46240.950138888889</v>
      </c>
      <c r="R593" s="2">
        <v>46240.599131944444</v>
      </c>
      <c r="S593">
        <v>0</v>
      </c>
      <c r="T593" t="s">
        <v>67</v>
      </c>
      <c r="U593" t="s">
        <v>67</v>
      </c>
      <c r="W593" t="str">
        <f t="shared" si="89"/>
        <v>400466</v>
      </c>
      <c r="X593" t="s">
        <v>37</v>
      </c>
      <c r="AD593" s="2">
        <v>46240.950138888889</v>
      </c>
    </row>
    <row r="594" spans="1:30" x14ac:dyDescent="0.35">
      <c r="A594" t="s">
        <v>30</v>
      </c>
      <c r="B594" t="s">
        <v>31</v>
      </c>
      <c r="C594" t="s">
        <v>1253</v>
      </c>
      <c r="D594" t="s">
        <v>33</v>
      </c>
      <c r="E594" t="str">
        <f t="shared" si="87"/>
        <v>400466</v>
      </c>
      <c r="F594" t="s">
        <v>1249</v>
      </c>
      <c r="G594">
        <v>40</v>
      </c>
      <c r="H594">
        <v>0</v>
      </c>
      <c r="I594" t="s">
        <v>1254</v>
      </c>
      <c r="J594" t="str">
        <f t="shared" ref="J594:J614" si="90">"100004743"</f>
        <v>100004743</v>
      </c>
      <c r="K594" s="1">
        <v>47194</v>
      </c>
      <c r="L594" s="1">
        <v>45369</v>
      </c>
      <c r="M594" s="1">
        <v>43544</v>
      </c>
      <c r="N594" t="str">
        <f t="shared" si="88"/>
        <v>1329002006</v>
      </c>
      <c r="O594">
        <v>40</v>
      </c>
      <c r="P594" s="2">
        <v>46240.599814814814</v>
      </c>
      <c r="Q594" s="2">
        <v>46240.950856481482</v>
      </c>
      <c r="R594" s="2">
        <v>46240.599814814814</v>
      </c>
      <c r="S594">
        <v>0</v>
      </c>
      <c r="T594" t="s">
        <v>67</v>
      </c>
      <c r="U594" t="s">
        <v>67</v>
      </c>
      <c r="W594" t="str">
        <f t="shared" si="89"/>
        <v>400466</v>
      </c>
      <c r="X594" t="s">
        <v>37</v>
      </c>
      <c r="AD594" s="2">
        <v>46240.950856481482</v>
      </c>
    </row>
    <row r="595" spans="1:30" x14ac:dyDescent="0.35">
      <c r="A595" t="s">
        <v>30</v>
      </c>
      <c r="B595" t="s">
        <v>31</v>
      </c>
      <c r="C595" t="s">
        <v>1255</v>
      </c>
      <c r="D595" t="s">
        <v>33</v>
      </c>
      <c r="E595" t="str">
        <f t="shared" si="87"/>
        <v>400466</v>
      </c>
      <c r="F595" t="s">
        <v>1249</v>
      </c>
      <c r="G595">
        <v>40</v>
      </c>
      <c r="H595">
        <v>0</v>
      </c>
      <c r="I595" t="s">
        <v>1256</v>
      </c>
      <c r="J595" t="str">
        <f t="shared" si="90"/>
        <v>100004743</v>
      </c>
      <c r="K595" s="1">
        <v>47194</v>
      </c>
      <c r="L595" s="1">
        <v>45369</v>
      </c>
      <c r="M595" s="1">
        <v>43544</v>
      </c>
      <c r="N595" t="str">
        <f t="shared" si="88"/>
        <v>1329002006</v>
      </c>
      <c r="O595">
        <v>40</v>
      </c>
      <c r="P595" s="2">
        <v>46240.600034722222</v>
      </c>
      <c r="Q595" s="2">
        <v>46240.951620370368</v>
      </c>
      <c r="R595" s="2">
        <v>46240.600034722222</v>
      </c>
      <c r="S595">
        <v>0</v>
      </c>
      <c r="T595" t="s">
        <v>67</v>
      </c>
      <c r="U595" t="s">
        <v>67</v>
      </c>
      <c r="W595" t="str">
        <f t="shared" si="89"/>
        <v>400466</v>
      </c>
      <c r="X595" t="s">
        <v>37</v>
      </c>
      <c r="AD595" s="2">
        <v>46240.951620370368</v>
      </c>
    </row>
    <row r="596" spans="1:30" x14ac:dyDescent="0.35">
      <c r="A596" t="s">
        <v>30</v>
      </c>
      <c r="B596" t="s">
        <v>31</v>
      </c>
      <c r="C596" t="s">
        <v>1257</v>
      </c>
      <c r="D596" t="s">
        <v>33</v>
      </c>
      <c r="E596" t="str">
        <f t="shared" si="87"/>
        <v>400466</v>
      </c>
      <c r="F596" t="s">
        <v>1249</v>
      </c>
      <c r="G596">
        <v>40</v>
      </c>
      <c r="H596">
        <v>0</v>
      </c>
      <c r="I596" t="s">
        <v>1258</v>
      </c>
      <c r="J596" t="str">
        <f t="shared" si="90"/>
        <v>100004743</v>
      </c>
      <c r="K596" s="1">
        <v>47194</v>
      </c>
      <c r="L596" s="1">
        <v>45369</v>
      </c>
      <c r="M596" s="1">
        <v>43544</v>
      </c>
      <c r="N596" t="str">
        <f t="shared" si="88"/>
        <v>1329002006</v>
      </c>
      <c r="O596">
        <v>40</v>
      </c>
      <c r="P596" s="2">
        <v>46240.600208333337</v>
      </c>
      <c r="Q596" s="2">
        <v>46240.952546296299</v>
      </c>
      <c r="R596" s="2">
        <v>46240.600208333337</v>
      </c>
      <c r="S596">
        <v>0</v>
      </c>
      <c r="T596" t="s">
        <v>67</v>
      </c>
      <c r="U596" t="s">
        <v>67</v>
      </c>
      <c r="W596" t="str">
        <f t="shared" si="89"/>
        <v>400466</v>
      </c>
      <c r="X596" t="s">
        <v>37</v>
      </c>
      <c r="AD596" s="2">
        <v>46240.952546296299</v>
      </c>
    </row>
    <row r="597" spans="1:30" x14ac:dyDescent="0.35">
      <c r="A597" t="s">
        <v>30</v>
      </c>
      <c r="B597" t="s">
        <v>31</v>
      </c>
      <c r="C597" t="s">
        <v>1259</v>
      </c>
      <c r="D597" t="s">
        <v>33</v>
      </c>
      <c r="E597" t="str">
        <f t="shared" si="87"/>
        <v>400466</v>
      </c>
      <c r="F597" t="s">
        <v>1249</v>
      </c>
      <c r="G597">
        <v>40</v>
      </c>
      <c r="H597">
        <v>0</v>
      </c>
      <c r="I597" t="s">
        <v>1260</v>
      </c>
      <c r="J597" t="str">
        <f t="shared" si="90"/>
        <v>100004743</v>
      </c>
      <c r="K597" s="1">
        <v>47194</v>
      </c>
      <c r="L597" s="1">
        <v>45368</v>
      </c>
      <c r="M597" s="1">
        <v>43544</v>
      </c>
      <c r="N597" t="str">
        <f t="shared" si="88"/>
        <v>1329002006</v>
      </c>
      <c r="O597">
        <v>40</v>
      </c>
      <c r="P597" s="2">
        <v>46240.60434027778</v>
      </c>
      <c r="Q597" s="2">
        <v>46240.953090277777</v>
      </c>
      <c r="R597" s="2">
        <v>46240.60434027778</v>
      </c>
      <c r="S597">
        <v>0</v>
      </c>
      <c r="T597" t="s">
        <v>67</v>
      </c>
      <c r="U597" t="s">
        <v>67</v>
      </c>
      <c r="W597" t="str">
        <f t="shared" si="89"/>
        <v>400466</v>
      </c>
      <c r="X597" t="s">
        <v>37</v>
      </c>
      <c r="AD597" s="2">
        <v>46240.953090277777</v>
      </c>
    </row>
    <row r="598" spans="1:30" x14ac:dyDescent="0.35">
      <c r="A598" t="s">
        <v>30</v>
      </c>
      <c r="B598" t="s">
        <v>31</v>
      </c>
      <c r="C598" t="s">
        <v>1261</v>
      </c>
      <c r="D598" t="s">
        <v>33</v>
      </c>
      <c r="E598" t="str">
        <f t="shared" si="87"/>
        <v>400466</v>
      </c>
      <c r="F598" t="s">
        <v>1249</v>
      </c>
      <c r="G598">
        <v>40</v>
      </c>
      <c r="H598">
        <v>0</v>
      </c>
      <c r="I598" t="s">
        <v>1262</v>
      </c>
      <c r="J598" t="str">
        <f t="shared" si="90"/>
        <v>100004743</v>
      </c>
      <c r="K598" s="1">
        <v>47194</v>
      </c>
      <c r="L598" s="1">
        <v>45369</v>
      </c>
      <c r="M598" s="1">
        <v>43544</v>
      </c>
      <c r="N598" t="str">
        <f t="shared" si="88"/>
        <v>1329002006</v>
      </c>
      <c r="O598">
        <v>40</v>
      </c>
      <c r="P598" s="2">
        <v>46240.604120370372</v>
      </c>
      <c r="Q598" s="2">
        <v>46240.953796296293</v>
      </c>
      <c r="R598" s="2">
        <v>46240.604120370372</v>
      </c>
      <c r="S598">
        <v>0</v>
      </c>
      <c r="T598" t="s">
        <v>67</v>
      </c>
      <c r="U598" t="s">
        <v>67</v>
      </c>
      <c r="W598" t="str">
        <f t="shared" si="89"/>
        <v>400466</v>
      </c>
      <c r="X598" t="s">
        <v>37</v>
      </c>
      <c r="AD598" s="2">
        <v>46240.953796296293</v>
      </c>
    </row>
    <row r="599" spans="1:30" x14ac:dyDescent="0.35">
      <c r="A599" t="s">
        <v>30</v>
      </c>
      <c r="B599" t="s">
        <v>31</v>
      </c>
      <c r="C599" t="s">
        <v>1263</v>
      </c>
      <c r="D599" t="s">
        <v>33</v>
      </c>
      <c r="E599" t="str">
        <f t="shared" si="87"/>
        <v>400466</v>
      </c>
      <c r="F599" t="s">
        <v>1249</v>
      </c>
      <c r="G599">
        <v>40</v>
      </c>
      <c r="H599">
        <v>0</v>
      </c>
      <c r="I599" t="s">
        <v>1264</v>
      </c>
      <c r="J599" t="str">
        <f t="shared" si="90"/>
        <v>100004743</v>
      </c>
      <c r="K599" s="1">
        <v>47194</v>
      </c>
      <c r="L599" s="1">
        <v>45369</v>
      </c>
      <c r="M599" s="1">
        <v>43544</v>
      </c>
      <c r="N599" t="str">
        <f t="shared" si="88"/>
        <v>1329002006</v>
      </c>
      <c r="O599">
        <v>40</v>
      </c>
      <c r="P599" s="2">
        <v>46240.601655092592</v>
      </c>
      <c r="Q599" s="2">
        <v>46240.954247685186</v>
      </c>
      <c r="R599" s="2">
        <v>46240.601655092592</v>
      </c>
      <c r="S599">
        <v>0</v>
      </c>
      <c r="T599" t="s">
        <v>67</v>
      </c>
      <c r="U599" t="s">
        <v>67</v>
      </c>
      <c r="W599" t="str">
        <f t="shared" si="89"/>
        <v>400466</v>
      </c>
      <c r="X599" t="s">
        <v>37</v>
      </c>
      <c r="AD599" s="2">
        <v>46240.954247685186</v>
      </c>
    </row>
    <row r="600" spans="1:30" x14ac:dyDescent="0.35">
      <c r="A600" t="s">
        <v>30</v>
      </c>
      <c r="B600" t="s">
        <v>31</v>
      </c>
      <c r="C600" t="s">
        <v>1265</v>
      </c>
      <c r="D600" t="s">
        <v>33</v>
      </c>
      <c r="E600" t="str">
        <f t="shared" si="87"/>
        <v>400466</v>
      </c>
      <c r="F600" t="s">
        <v>1249</v>
      </c>
      <c r="G600">
        <v>40</v>
      </c>
      <c r="H600">
        <v>0</v>
      </c>
      <c r="I600" t="s">
        <v>1266</v>
      </c>
      <c r="J600" t="str">
        <f t="shared" si="90"/>
        <v>100004743</v>
      </c>
      <c r="K600" s="1">
        <v>47194</v>
      </c>
      <c r="L600" s="1">
        <v>45369</v>
      </c>
      <c r="M600" s="1">
        <v>43544</v>
      </c>
      <c r="N600" t="str">
        <f t="shared" si="88"/>
        <v>1329002006</v>
      </c>
      <c r="O600">
        <v>40</v>
      </c>
      <c r="P600" s="2">
        <v>46240.603935185187</v>
      </c>
      <c r="Q600" s="2">
        <v>46240.954467592594</v>
      </c>
      <c r="R600" s="2">
        <v>46240.603935185187</v>
      </c>
      <c r="S600">
        <v>0</v>
      </c>
      <c r="T600" t="s">
        <v>67</v>
      </c>
      <c r="U600" t="s">
        <v>67</v>
      </c>
      <c r="W600" t="str">
        <f t="shared" si="89"/>
        <v>400466</v>
      </c>
      <c r="X600" t="s">
        <v>37</v>
      </c>
      <c r="AD600" s="2">
        <v>46240.954467592594</v>
      </c>
    </row>
    <row r="601" spans="1:30" x14ac:dyDescent="0.35">
      <c r="A601" t="s">
        <v>30</v>
      </c>
      <c r="B601" t="s">
        <v>31</v>
      </c>
      <c r="C601" t="s">
        <v>1267</v>
      </c>
      <c r="D601" t="s">
        <v>33</v>
      </c>
      <c r="E601" t="str">
        <f t="shared" si="87"/>
        <v>400466</v>
      </c>
      <c r="F601" t="s">
        <v>1249</v>
      </c>
      <c r="G601">
        <v>40</v>
      </c>
      <c r="H601">
        <v>0</v>
      </c>
      <c r="I601" t="s">
        <v>1268</v>
      </c>
      <c r="J601" t="str">
        <f t="shared" si="90"/>
        <v>100004743</v>
      </c>
      <c r="K601" s="1">
        <v>47194</v>
      </c>
      <c r="L601" s="1">
        <v>45369</v>
      </c>
      <c r="M601" s="1">
        <v>43544</v>
      </c>
      <c r="N601" t="str">
        <f t="shared" si="88"/>
        <v>1329002006</v>
      </c>
      <c r="O601">
        <v>40</v>
      </c>
      <c r="P601" s="2">
        <v>46240.601458333331</v>
      </c>
      <c r="Q601" s="2">
        <v>46240.954976851855</v>
      </c>
      <c r="R601" s="2">
        <v>46240.601458333331</v>
      </c>
      <c r="S601">
        <v>0</v>
      </c>
      <c r="T601" t="s">
        <v>67</v>
      </c>
      <c r="U601" t="s">
        <v>67</v>
      </c>
      <c r="W601" t="str">
        <f t="shared" si="89"/>
        <v>400466</v>
      </c>
      <c r="X601" t="s">
        <v>37</v>
      </c>
      <c r="AD601" s="2">
        <v>46240.954976851855</v>
      </c>
    </row>
    <row r="602" spans="1:30" x14ac:dyDescent="0.35">
      <c r="A602" t="s">
        <v>30</v>
      </c>
      <c r="B602" t="s">
        <v>31</v>
      </c>
      <c r="C602" t="s">
        <v>1269</v>
      </c>
      <c r="D602" t="s">
        <v>33</v>
      </c>
      <c r="E602" t="str">
        <f t="shared" si="87"/>
        <v>400466</v>
      </c>
      <c r="F602" t="s">
        <v>1249</v>
      </c>
      <c r="G602">
        <v>40</v>
      </c>
      <c r="H602">
        <v>0</v>
      </c>
      <c r="I602" t="s">
        <v>1270</v>
      </c>
      <c r="J602" t="str">
        <f t="shared" si="90"/>
        <v>100004743</v>
      </c>
      <c r="K602" s="1">
        <v>47194</v>
      </c>
      <c r="L602" s="1">
        <v>45368</v>
      </c>
      <c r="M602" s="1">
        <v>43544</v>
      </c>
      <c r="N602" t="str">
        <f t="shared" si="88"/>
        <v>1329002006</v>
      </c>
      <c r="O602">
        <v>40</v>
      </c>
      <c r="P602" s="2">
        <v>46240.60359953704</v>
      </c>
      <c r="Q602" s="2">
        <v>46240.955451388887</v>
      </c>
      <c r="R602" s="2">
        <v>46240.60359953704</v>
      </c>
      <c r="S602">
        <v>0</v>
      </c>
      <c r="T602" t="s">
        <v>67</v>
      </c>
      <c r="U602" t="s">
        <v>67</v>
      </c>
      <c r="W602" t="str">
        <f t="shared" si="89"/>
        <v>400466</v>
      </c>
      <c r="X602" t="s">
        <v>37</v>
      </c>
      <c r="AD602" s="2">
        <v>46240.955451388887</v>
      </c>
    </row>
    <row r="603" spans="1:30" x14ac:dyDescent="0.35">
      <c r="A603" t="s">
        <v>30</v>
      </c>
      <c r="B603" t="s">
        <v>31</v>
      </c>
      <c r="C603" t="s">
        <v>1271</v>
      </c>
      <c r="D603" t="s">
        <v>33</v>
      </c>
      <c r="E603" t="str">
        <f t="shared" si="87"/>
        <v>400466</v>
      </c>
      <c r="F603" t="s">
        <v>1249</v>
      </c>
      <c r="G603">
        <v>40</v>
      </c>
      <c r="H603">
        <v>0</v>
      </c>
      <c r="I603" t="s">
        <v>1272</v>
      </c>
      <c r="J603" t="str">
        <f t="shared" si="90"/>
        <v>100004743</v>
      </c>
      <c r="K603" s="1">
        <v>47194</v>
      </c>
      <c r="L603" s="1">
        <v>45368</v>
      </c>
      <c r="M603" s="1">
        <v>43544</v>
      </c>
      <c r="N603" t="str">
        <f t="shared" si="88"/>
        <v>1329002006</v>
      </c>
      <c r="O603">
        <v>40</v>
      </c>
      <c r="P603" s="2">
        <v>46240.60125</v>
      </c>
      <c r="Q603" s="2">
        <v>46240.955694444441</v>
      </c>
      <c r="R603" s="2">
        <v>46240.60125</v>
      </c>
      <c r="S603">
        <v>0</v>
      </c>
      <c r="T603" t="s">
        <v>67</v>
      </c>
      <c r="U603" t="s">
        <v>67</v>
      </c>
      <c r="W603" t="str">
        <f t="shared" si="89"/>
        <v>400466</v>
      </c>
      <c r="X603" t="s">
        <v>37</v>
      </c>
      <c r="AD603" s="2">
        <v>46240.955694444441</v>
      </c>
    </row>
    <row r="604" spans="1:30" x14ac:dyDescent="0.35">
      <c r="A604" t="s">
        <v>30</v>
      </c>
      <c r="B604" t="s">
        <v>31</v>
      </c>
      <c r="C604" t="s">
        <v>1273</v>
      </c>
      <c r="D604" t="s">
        <v>33</v>
      </c>
      <c r="E604" t="str">
        <f t="shared" si="87"/>
        <v>400466</v>
      </c>
      <c r="F604" t="s">
        <v>1249</v>
      </c>
      <c r="G604">
        <v>40</v>
      </c>
      <c r="H604">
        <v>0</v>
      </c>
      <c r="I604" t="s">
        <v>1274</v>
      </c>
      <c r="J604" t="str">
        <f t="shared" si="90"/>
        <v>100004743</v>
      </c>
      <c r="K604" s="1">
        <v>47194</v>
      </c>
      <c r="L604" s="1">
        <v>45369</v>
      </c>
      <c r="M604" s="1">
        <v>43544</v>
      </c>
      <c r="N604" t="str">
        <f t="shared" si="88"/>
        <v>1329002006</v>
      </c>
      <c r="O604">
        <v>40</v>
      </c>
      <c r="P604" s="2">
        <v>46240.600983796299</v>
      </c>
      <c r="Q604" s="2">
        <v>46240.956608796296</v>
      </c>
      <c r="R604" s="2">
        <v>46240.600983796299</v>
      </c>
      <c r="S604">
        <v>0</v>
      </c>
      <c r="T604" t="s">
        <v>67</v>
      </c>
      <c r="U604" t="s">
        <v>67</v>
      </c>
      <c r="W604" t="str">
        <f t="shared" si="89"/>
        <v>400466</v>
      </c>
      <c r="X604" t="s">
        <v>37</v>
      </c>
      <c r="AD604" s="2">
        <v>46240.956608796296</v>
      </c>
    </row>
    <row r="605" spans="1:30" x14ac:dyDescent="0.35">
      <c r="A605" t="s">
        <v>30</v>
      </c>
      <c r="B605" t="s">
        <v>31</v>
      </c>
      <c r="C605" t="s">
        <v>1275</v>
      </c>
      <c r="D605" t="s">
        <v>33</v>
      </c>
      <c r="E605" t="str">
        <f t="shared" si="87"/>
        <v>400466</v>
      </c>
      <c r="F605" t="s">
        <v>1249</v>
      </c>
      <c r="G605">
        <v>40</v>
      </c>
      <c r="H605">
        <v>0</v>
      </c>
      <c r="I605" t="s">
        <v>165</v>
      </c>
      <c r="J605" t="str">
        <f t="shared" si="90"/>
        <v>100004743</v>
      </c>
      <c r="K605" s="1">
        <v>47194</v>
      </c>
      <c r="L605" s="1">
        <v>45369</v>
      </c>
      <c r="M605" s="1">
        <v>43544</v>
      </c>
      <c r="N605" t="str">
        <f t="shared" si="88"/>
        <v>1329002006</v>
      </c>
      <c r="O605">
        <v>40</v>
      </c>
      <c r="P605" s="2">
        <v>46240.600439814814</v>
      </c>
      <c r="Q605" s="2">
        <v>46240.957546296297</v>
      </c>
      <c r="R605" s="2">
        <v>46240.600439814814</v>
      </c>
      <c r="S605">
        <v>0</v>
      </c>
      <c r="T605" t="s">
        <v>67</v>
      </c>
      <c r="U605" t="s">
        <v>67</v>
      </c>
      <c r="W605" t="str">
        <f t="shared" si="89"/>
        <v>400466</v>
      </c>
      <c r="X605" t="s">
        <v>37</v>
      </c>
      <c r="AD605" s="2">
        <v>46240.957546296297</v>
      </c>
    </row>
    <row r="606" spans="1:30" x14ac:dyDescent="0.35">
      <c r="A606" t="s">
        <v>30</v>
      </c>
      <c r="B606" t="s">
        <v>31</v>
      </c>
      <c r="C606" t="s">
        <v>1276</v>
      </c>
      <c r="D606" t="s">
        <v>33</v>
      </c>
      <c r="E606" t="str">
        <f t="shared" si="87"/>
        <v>400466</v>
      </c>
      <c r="F606" t="s">
        <v>1249</v>
      </c>
      <c r="G606">
        <v>40</v>
      </c>
      <c r="H606">
        <v>0</v>
      </c>
      <c r="I606" t="s">
        <v>1277</v>
      </c>
      <c r="J606" t="str">
        <f t="shared" si="90"/>
        <v>100004743</v>
      </c>
      <c r="K606" s="1">
        <v>47194</v>
      </c>
      <c r="L606" s="1">
        <v>45368</v>
      </c>
      <c r="M606" s="1">
        <v>43544</v>
      </c>
      <c r="N606" t="str">
        <f t="shared" si="88"/>
        <v>1329002006</v>
      </c>
      <c r="O606">
        <v>40</v>
      </c>
      <c r="P606" s="2">
        <v>46240.603368055556</v>
      </c>
      <c r="Q606" s="2">
        <v>46240.958437499998</v>
      </c>
      <c r="R606" s="2">
        <v>46240.603368055556</v>
      </c>
      <c r="S606">
        <v>0</v>
      </c>
      <c r="T606" t="s">
        <v>67</v>
      </c>
      <c r="U606" t="s">
        <v>67</v>
      </c>
      <c r="W606" t="str">
        <f t="shared" si="89"/>
        <v>400466</v>
      </c>
      <c r="X606" t="s">
        <v>37</v>
      </c>
      <c r="AD606" s="2">
        <v>46240.958437499998</v>
      </c>
    </row>
    <row r="607" spans="1:30" x14ac:dyDescent="0.35">
      <c r="A607" t="s">
        <v>30</v>
      </c>
      <c r="B607" t="s">
        <v>31</v>
      </c>
      <c r="C607" t="s">
        <v>1278</v>
      </c>
      <c r="D607" t="s">
        <v>33</v>
      </c>
      <c r="E607" t="str">
        <f t="shared" si="87"/>
        <v>400466</v>
      </c>
      <c r="F607" t="s">
        <v>1249</v>
      </c>
      <c r="G607">
        <v>40</v>
      </c>
      <c r="H607">
        <v>0</v>
      </c>
      <c r="I607" t="s">
        <v>1279</v>
      </c>
      <c r="J607" t="str">
        <f t="shared" si="90"/>
        <v>100004743</v>
      </c>
      <c r="K607" s="1">
        <v>47194</v>
      </c>
      <c r="L607" s="1">
        <v>45369</v>
      </c>
      <c r="M607" s="1">
        <v>43544</v>
      </c>
      <c r="N607" t="str">
        <f t="shared" si="88"/>
        <v>1329002006</v>
      </c>
      <c r="O607">
        <v>40</v>
      </c>
      <c r="P607" s="2">
        <v>46240.600671296299</v>
      </c>
      <c r="Q607" s="2">
        <v>46240.958599537036</v>
      </c>
      <c r="R607" s="2">
        <v>46240.600671296299</v>
      </c>
      <c r="S607">
        <v>0</v>
      </c>
      <c r="T607" t="s">
        <v>67</v>
      </c>
      <c r="U607" t="s">
        <v>67</v>
      </c>
      <c r="W607" t="str">
        <f t="shared" si="89"/>
        <v>400466</v>
      </c>
      <c r="X607" t="s">
        <v>37</v>
      </c>
      <c r="AD607" s="2">
        <v>46240.958599537036</v>
      </c>
    </row>
    <row r="608" spans="1:30" x14ac:dyDescent="0.35">
      <c r="A608" t="s">
        <v>30</v>
      </c>
      <c r="B608" t="s">
        <v>31</v>
      </c>
      <c r="C608" t="s">
        <v>1280</v>
      </c>
      <c r="D608" t="s">
        <v>33</v>
      </c>
      <c r="E608" t="str">
        <f t="shared" si="87"/>
        <v>400466</v>
      </c>
      <c r="F608" t="s">
        <v>1249</v>
      </c>
      <c r="G608">
        <v>40</v>
      </c>
      <c r="H608">
        <v>0</v>
      </c>
      <c r="I608" t="s">
        <v>1281</v>
      </c>
      <c r="J608" t="str">
        <f t="shared" si="90"/>
        <v>100004743</v>
      </c>
      <c r="K608" s="1">
        <v>47194</v>
      </c>
      <c r="L608" s="1">
        <v>45368</v>
      </c>
      <c r="M608" s="1">
        <v>43544</v>
      </c>
      <c r="N608" t="str">
        <f t="shared" si="88"/>
        <v>1329002006</v>
      </c>
      <c r="O608">
        <v>40</v>
      </c>
      <c r="P608" s="2">
        <v>46240.6018287037</v>
      </c>
      <c r="Q608" s="2">
        <v>46240.959456018521</v>
      </c>
      <c r="R608" s="2">
        <v>46240.6018287037</v>
      </c>
      <c r="S608">
        <v>0</v>
      </c>
      <c r="T608" t="s">
        <v>67</v>
      </c>
      <c r="U608" t="s">
        <v>67</v>
      </c>
      <c r="W608" t="str">
        <f t="shared" si="89"/>
        <v>400466</v>
      </c>
      <c r="X608" t="s">
        <v>37</v>
      </c>
      <c r="AD608" s="2">
        <v>46240.959456018521</v>
      </c>
    </row>
    <row r="609" spans="1:30" x14ac:dyDescent="0.35">
      <c r="A609" t="s">
        <v>30</v>
      </c>
      <c r="B609" t="s">
        <v>31</v>
      </c>
      <c r="C609" t="s">
        <v>1282</v>
      </c>
      <c r="D609" t="s">
        <v>33</v>
      </c>
      <c r="E609" t="str">
        <f t="shared" si="87"/>
        <v>400466</v>
      </c>
      <c r="F609" t="s">
        <v>1249</v>
      </c>
      <c r="G609">
        <v>40</v>
      </c>
      <c r="H609">
        <v>0</v>
      </c>
      <c r="I609" t="s">
        <v>1283</v>
      </c>
      <c r="J609" t="str">
        <f t="shared" si="90"/>
        <v>100004743</v>
      </c>
      <c r="K609" s="1">
        <v>47194</v>
      </c>
      <c r="L609" s="1">
        <v>45368</v>
      </c>
      <c r="M609" s="1">
        <v>43544</v>
      </c>
      <c r="N609" t="str">
        <f t="shared" si="88"/>
        <v>1329002006</v>
      </c>
      <c r="O609">
        <v>40</v>
      </c>
      <c r="P609" s="2">
        <v>46240.603136574071</v>
      </c>
      <c r="Q609" s="2">
        <v>46240.960150462961</v>
      </c>
      <c r="R609" s="2">
        <v>46240.603136574071</v>
      </c>
      <c r="S609">
        <v>0</v>
      </c>
      <c r="T609" t="s">
        <v>67</v>
      </c>
      <c r="U609" t="s">
        <v>67</v>
      </c>
      <c r="W609" t="str">
        <f t="shared" si="89"/>
        <v>400466</v>
      </c>
      <c r="X609" t="s">
        <v>37</v>
      </c>
      <c r="AD609" s="2">
        <v>46240.960150462961</v>
      </c>
    </row>
    <row r="610" spans="1:30" x14ac:dyDescent="0.35">
      <c r="A610" t="s">
        <v>30</v>
      </c>
      <c r="B610" t="s">
        <v>31</v>
      </c>
      <c r="C610" t="s">
        <v>1284</v>
      </c>
      <c r="D610" t="s">
        <v>33</v>
      </c>
      <c r="E610" t="str">
        <f t="shared" si="87"/>
        <v>400466</v>
      </c>
      <c r="F610" t="s">
        <v>1249</v>
      </c>
      <c r="G610">
        <v>40</v>
      </c>
      <c r="H610">
        <v>0</v>
      </c>
      <c r="I610" t="s">
        <v>1285</v>
      </c>
      <c r="J610" t="str">
        <f t="shared" si="90"/>
        <v>100004743</v>
      </c>
      <c r="K610" s="1">
        <v>47194</v>
      </c>
      <c r="L610" s="1">
        <v>45368</v>
      </c>
      <c r="M610" s="1">
        <v>43544</v>
      </c>
      <c r="N610" t="str">
        <f t="shared" si="88"/>
        <v>1329002006</v>
      </c>
      <c r="O610">
        <v>40</v>
      </c>
      <c r="P610" s="2">
        <v>46240.602060185185</v>
      </c>
      <c r="Q610" s="2">
        <v>46240.960358796299</v>
      </c>
      <c r="R610" s="2">
        <v>46240.602060185185</v>
      </c>
      <c r="S610">
        <v>0</v>
      </c>
      <c r="T610" t="s">
        <v>67</v>
      </c>
      <c r="U610" t="s">
        <v>67</v>
      </c>
      <c r="W610" t="str">
        <f t="shared" si="89"/>
        <v>400466</v>
      </c>
      <c r="X610" t="s">
        <v>37</v>
      </c>
      <c r="AD610" s="2">
        <v>46240.960358796299</v>
      </c>
    </row>
    <row r="611" spans="1:30" x14ac:dyDescent="0.35">
      <c r="A611" t="s">
        <v>30</v>
      </c>
      <c r="B611" t="s">
        <v>31</v>
      </c>
      <c r="C611" t="s">
        <v>1286</v>
      </c>
      <c r="D611" t="s">
        <v>33</v>
      </c>
      <c r="E611" t="str">
        <f t="shared" si="87"/>
        <v>400466</v>
      </c>
      <c r="F611" t="s">
        <v>1249</v>
      </c>
      <c r="G611">
        <v>40</v>
      </c>
      <c r="H611">
        <v>0</v>
      </c>
      <c r="I611" t="s">
        <v>1287</v>
      </c>
      <c r="J611" t="str">
        <f t="shared" si="90"/>
        <v>100004743</v>
      </c>
      <c r="K611" s="1">
        <v>47194</v>
      </c>
      <c r="L611" s="1">
        <v>45369</v>
      </c>
      <c r="M611" s="1">
        <v>43544</v>
      </c>
      <c r="N611" t="str">
        <f t="shared" si="88"/>
        <v>1329002006</v>
      </c>
      <c r="O611">
        <v>40</v>
      </c>
      <c r="P611" s="2">
        <v>46240.60224537037</v>
      </c>
      <c r="Q611" s="2">
        <v>46240.960914351854</v>
      </c>
      <c r="R611" s="2">
        <v>46240.60224537037</v>
      </c>
      <c r="S611">
        <v>0</v>
      </c>
      <c r="T611" t="s">
        <v>67</v>
      </c>
      <c r="U611" t="s">
        <v>67</v>
      </c>
      <c r="W611" t="str">
        <f t="shared" si="89"/>
        <v>400466</v>
      </c>
      <c r="X611" t="s">
        <v>37</v>
      </c>
      <c r="AD611" s="2">
        <v>46240.960914351854</v>
      </c>
    </row>
    <row r="612" spans="1:30" x14ac:dyDescent="0.35">
      <c r="A612" t="s">
        <v>30</v>
      </c>
      <c r="B612" t="s">
        <v>31</v>
      </c>
      <c r="C612" t="s">
        <v>1288</v>
      </c>
      <c r="D612" t="s">
        <v>33</v>
      </c>
      <c r="E612" t="str">
        <f t="shared" si="87"/>
        <v>400466</v>
      </c>
      <c r="F612" t="s">
        <v>1249</v>
      </c>
      <c r="G612">
        <v>40</v>
      </c>
      <c r="H612">
        <v>0</v>
      </c>
      <c r="I612" t="s">
        <v>1289</v>
      </c>
      <c r="J612" t="str">
        <f t="shared" si="90"/>
        <v>100004743</v>
      </c>
      <c r="K612" s="1">
        <v>47194</v>
      </c>
      <c r="L612" s="1">
        <v>45369</v>
      </c>
      <c r="M612" s="1">
        <v>43544</v>
      </c>
      <c r="N612" t="str">
        <f t="shared" si="88"/>
        <v>1329002006</v>
      </c>
      <c r="O612">
        <v>40</v>
      </c>
      <c r="P612" s="2">
        <v>46240.602453703701</v>
      </c>
      <c r="Q612" s="2">
        <v>46240.961134259262</v>
      </c>
      <c r="R612" s="2">
        <v>46240.602453703701</v>
      </c>
      <c r="S612">
        <v>0</v>
      </c>
      <c r="T612" t="s">
        <v>67</v>
      </c>
      <c r="U612" t="s">
        <v>67</v>
      </c>
      <c r="W612" t="str">
        <f t="shared" si="89"/>
        <v>400466</v>
      </c>
      <c r="X612" t="s">
        <v>37</v>
      </c>
      <c r="AD612" s="2">
        <v>46240.961122685185</v>
      </c>
    </row>
    <row r="613" spans="1:30" x14ac:dyDescent="0.35">
      <c r="A613" t="s">
        <v>30</v>
      </c>
      <c r="B613" t="s">
        <v>31</v>
      </c>
      <c r="C613" t="s">
        <v>1290</v>
      </c>
      <c r="D613" t="s">
        <v>33</v>
      </c>
      <c r="E613" t="str">
        <f t="shared" si="87"/>
        <v>400466</v>
      </c>
      <c r="F613" t="s">
        <v>1249</v>
      </c>
      <c r="G613">
        <v>40</v>
      </c>
      <c r="H613">
        <v>0</v>
      </c>
      <c r="I613" t="s">
        <v>1291</v>
      </c>
      <c r="J613" t="str">
        <f t="shared" si="90"/>
        <v>100004743</v>
      </c>
      <c r="K613" s="1">
        <v>47194</v>
      </c>
      <c r="L613" s="1">
        <v>45369</v>
      </c>
      <c r="M613" s="1">
        <v>43544</v>
      </c>
      <c r="N613" t="str">
        <f t="shared" si="88"/>
        <v>1329002006</v>
      </c>
      <c r="O613">
        <v>40</v>
      </c>
      <c r="P613" s="2">
        <v>46240.602627314816</v>
      </c>
      <c r="Q613" s="2">
        <v>46240.961759259262</v>
      </c>
      <c r="R613" s="2">
        <v>46240.602627314816</v>
      </c>
      <c r="S613">
        <v>0</v>
      </c>
      <c r="T613" t="s">
        <v>67</v>
      </c>
      <c r="U613" t="s">
        <v>67</v>
      </c>
      <c r="W613" t="str">
        <f t="shared" si="89"/>
        <v>400466</v>
      </c>
      <c r="X613" t="s">
        <v>37</v>
      </c>
      <c r="AD613" s="2">
        <v>46240.961759259262</v>
      </c>
    </row>
    <row r="614" spans="1:30" x14ac:dyDescent="0.35">
      <c r="A614" t="s">
        <v>30</v>
      </c>
      <c r="B614" t="s">
        <v>31</v>
      </c>
      <c r="C614" t="s">
        <v>1292</v>
      </c>
      <c r="D614" t="s">
        <v>33</v>
      </c>
      <c r="E614" t="str">
        <f t="shared" si="87"/>
        <v>400466</v>
      </c>
      <c r="F614" t="s">
        <v>1249</v>
      </c>
      <c r="G614">
        <v>40</v>
      </c>
      <c r="H614">
        <v>0</v>
      </c>
      <c r="I614" t="s">
        <v>1293</v>
      </c>
      <c r="J614" t="str">
        <f t="shared" si="90"/>
        <v>100004743</v>
      </c>
      <c r="K614" s="1">
        <v>47194</v>
      </c>
      <c r="L614" s="1">
        <v>45369</v>
      </c>
      <c r="M614" s="1">
        <v>43544</v>
      </c>
      <c r="N614" t="str">
        <f t="shared" si="88"/>
        <v>1329002006</v>
      </c>
      <c r="O614">
        <v>40</v>
      </c>
      <c r="P614" s="2">
        <v>46240.602800925924</v>
      </c>
      <c r="Q614" s="2">
        <v>46240.961921296293</v>
      </c>
      <c r="R614" s="2">
        <v>46240.602800925924</v>
      </c>
      <c r="S614">
        <v>0</v>
      </c>
      <c r="T614" t="s">
        <v>67</v>
      </c>
      <c r="U614" t="s">
        <v>67</v>
      </c>
      <c r="W614" t="str">
        <f t="shared" si="89"/>
        <v>400466</v>
      </c>
      <c r="X614" t="s">
        <v>37</v>
      </c>
      <c r="AD614" s="2">
        <v>46240.961909722224</v>
      </c>
    </row>
    <row r="615" spans="1:30" x14ac:dyDescent="0.35">
      <c r="A615" t="s">
        <v>30</v>
      </c>
      <c r="B615" t="s">
        <v>31</v>
      </c>
      <c r="C615" t="s">
        <v>1294</v>
      </c>
      <c r="D615" t="s">
        <v>33</v>
      </c>
      <c r="E615" t="str">
        <f>"400503"</f>
        <v>400503</v>
      </c>
      <c r="F615" t="s">
        <v>1295</v>
      </c>
      <c r="G615">
        <v>40</v>
      </c>
      <c r="H615">
        <v>0</v>
      </c>
      <c r="I615" t="s">
        <v>1296</v>
      </c>
      <c r="J615" t="str">
        <f>"100005436"</f>
        <v>100005436</v>
      </c>
      <c r="K615" s="1">
        <v>47262</v>
      </c>
      <c r="M615" s="1">
        <v>45437</v>
      </c>
      <c r="N615" t="str">
        <f>"1329002008"</f>
        <v>1329002008</v>
      </c>
      <c r="O615">
        <v>40</v>
      </c>
      <c r="P615" s="2">
        <v>46242.583993055552</v>
      </c>
      <c r="Q615" s="2">
        <v>46242.893414351849</v>
      </c>
      <c r="R615" s="2">
        <v>46242.583993055552</v>
      </c>
      <c r="S615">
        <v>0</v>
      </c>
      <c r="T615" t="s">
        <v>67</v>
      </c>
      <c r="U615" t="s">
        <v>67</v>
      </c>
      <c r="W615" t="str">
        <f>"400503"</f>
        <v>400503</v>
      </c>
      <c r="X615" t="s">
        <v>37</v>
      </c>
      <c r="AD615" s="2">
        <v>46242.893414351849</v>
      </c>
    </row>
    <row r="616" spans="1:30" x14ac:dyDescent="0.35">
      <c r="A616" t="s">
        <v>30</v>
      </c>
      <c r="B616" t="s">
        <v>31</v>
      </c>
      <c r="C616" t="s">
        <v>1297</v>
      </c>
      <c r="D616" t="s">
        <v>33</v>
      </c>
      <c r="E616" t="str">
        <f>"400503"</f>
        <v>400503</v>
      </c>
      <c r="F616" t="s">
        <v>1295</v>
      </c>
      <c r="G616">
        <v>40</v>
      </c>
      <c r="H616">
        <v>0</v>
      </c>
      <c r="I616" t="s">
        <v>1298</v>
      </c>
      <c r="J616" t="str">
        <f>"100005436"</f>
        <v>100005436</v>
      </c>
      <c r="K616" s="1">
        <v>47262</v>
      </c>
      <c r="M616" s="1">
        <v>45437</v>
      </c>
      <c r="N616" t="str">
        <f>"1329002008"</f>
        <v>1329002008</v>
      </c>
      <c r="O616">
        <v>40</v>
      </c>
      <c r="P616" s="2">
        <v>46242.590289351851</v>
      </c>
      <c r="Q616" s="2">
        <v>46242.894571759258</v>
      </c>
      <c r="R616" s="2">
        <v>46242.590289351851</v>
      </c>
      <c r="S616">
        <v>0</v>
      </c>
      <c r="T616" t="s">
        <v>67</v>
      </c>
      <c r="U616" t="s">
        <v>67</v>
      </c>
      <c r="W616" t="str">
        <f>"400503"</f>
        <v>400503</v>
      </c>
      <c r="X616" t="s">
        <v>37</v>
      </c>
      <c r="AD616" s="2">
        <v>46242.894571759258</v>
      </c>
    </row>
    <row r="617" spans="1:30" x14ac:dyDescent="0.35">
      <c r="A617" t="s">
        <v>30</v>
      </c>
      <c r="B617" t="s">
        <v>31</v>
      </c>
      <c r="C617" t="s">
        <v>1299</v>
      </c>
      <c r="D617" t="s">
        <v>33</v>
      </c>
      <c r="E617" t="str">
        <f>"400932"</f>
        <v>400932</v>
      </c>
      <c r="F617" t="s">
        <v>1205</v>
      </c>
      <c r="G617">
        <v>24</v>
      </c>
      <c r="H617">
        <v>0</v>
      </c>
      <c r="I617" t="s">
        <v>1300</v>
      </c>
      <c r="J617" t="str">
        <f>"100009495"</f>
        <v>100009495</v>
      </c>
      <c r="K617" s="1">
        <v>47687</v>
      </c>
      <c r="L617" s="1">
        <v>45862</v>
      </c>
      <c r="M617" s="1">
        <v>45862</v>
      </c>
      <c r="N617" t="str">
        <f>"1329002007"</f>
        <v>1329002007</v>
      </c>
      <c r="O617">
        <v>24</v>
      </c>
      <c r="P617" s="2">
        <v>46240.656226851854</v>
      </c>
      <c r="Q617" s="2">
        <v>46242.895231481481</v>
      </c>
      <c r="R617" s="2">
        <v>46240.656226851854</v>
      </c>
      <c r="S617">
        <v>0</v>
      </c>
      <c r="T617" t="s">
        <v>67</v>
      </c>
      <c r="U617" t="s">
        <v>67</v>
      </c>
      <c r="W617" t="str">
        <f>"400932"</f>
        <v>400932</v>
      </c>
      <c r="X617" t="s">
        <v>37</v>
      </c>
      <c r="AD617" s="2">
        <v>46242.895231481481</v>
      </c>
    </row>
    <row r="618" spans="1:30" x14ac:dyDescent="0.35">
      <c r="A618" t="s">
        <v>30</v>
      </c>
      <c r="B618" t="s">
        <v>31</v>
      </c>
      <c r="C618" t="s">
        <v>1301</v>
      </c>
      <c r="D618" t="s">
        <v>33</v>
      </c>
      <c r="E618" t="str">
        <f>"400932"</f>
        <v>400932</v>
      </c>
      <c r="F618" t="s">
        <v>1205</v>
      </c>
      <c r="G618">
        <v>24</v>
      </c>
      <c r="H618">
        <v>0</v>
      </c>
      <c r="I618" t="s">
        <v>1302</v>
      </c>
      <c r="J618" t="str">
        <f>"100009226"</f>
        <v>100009226</v>
      </c>
      <c r="K618" s="1">
        <v>47663</v>
      </c>
      <c r="L618" s="1">
        <v>45838</v>
      </c>
      <c r="M618" s="1">
        <v>45838</v>
      </c>
      <c r="N618" t="str">
        <f>"1329002007"</f>
        <v>1329002007</v>
      </c>
      <c r="O618">
        <v>24</v>
      </c>
      <c r="P618" s="2">
        <v>46240.656388888892</v>
      </c>
      <c r="Q618" s="2">
        <v>46242.895821759259</v>
      </c>
      <c r="R618" s="2">
        <v>46240.656388888892</v>
      </c>
      <c r="S618">
        <v>0</v>
      </c>
      <c r="T618" t="s">
        <v>67</v>
      </c>
      <c r="U618" t="s">
        <v>67</v>
      </c>
      <c r="W618" t="str">
        <f>"400932"</f>
        <v>400932</v>
      </c>
      <c r="X618" t="s">
        <v>37</v>
      </c>
      <c r="AD618" s="2">
        <v>46242.895821759259</v>
      </c>
    </row>
    <row r="619" spans="1:30" x14ac:dyDescent="0.35">
      <c r="A619" t="s">
        <v>30</v>
      </c>
      <c r="B619" t="s">
        <v>31</v>
      </c>
      <c r="C619" t="s">
        <v>1303</v>
      </c>
      <c r="D619" t="s">
        <v>33</v>
      </c>
      <c r="E619" t="str">
        <f>"400457"</f>
        <v>400457</v>
      </c>
      <c r="F619" t="s">
        <v>1304</v>
      </c>
      <c r="G619">
        <v>40</v>
      </c>
      <c r="H619">
        <v>0</v>
      </c>
      <c r="I619" t="s">
        <v>1305</v>
      </c>
      <c r="J619" t="str">
        <f>"100005652"</f>
        <v>100005652</v>
      </c>
      <c r="K619" s="1">
        <v>47281</v>
      </c>
      <c r="M619" s="1">
        <v>45456</v>
      </c>
      <c r="N619" t="str">
        <f t="shared" ref="N619:N639" si="91">"1329002008"</f>
        <v>1329002008</v>
      </c>
      <c r="O619">
        <v>40</v>
      </c>
      <c r="P619" s="2">
        <v>46242.589594907404</v>
      </c>
      <c r="Q619" s="2">
        <v>46242.896921296298</v>
      </c>
      <c r="R619" s="2">
        <v>46242.589594907404</v>
      </c>
      <c r="S619">
        <v>0</v>
      </c>
      <c r="T619" t="s">
        <v>67</v>
      </c>
      <c r="U619" t="s">
        <v>67</v>
      </c>
      <c r="W619" t="str">
        <f>"400457"</f>
        <v>400457</v>
      </c>
      <c r="X619" t="s">
        <v>37</v>
      </c>
      <c r="AD619" s="2">
        <v>46242.896921296298</v>
      </c>
    </row>
    <row r="620" spans="1:30" x14ac:dyDescent="0.35">
      <c r="A620" t="s">
        <v>30</v>
      </c>
      <c r="B620" t="s">
        <v>31</v>
      </c>
      <c r="C620" t="s">
        <v>1306</v>
      </c>
      <c r="D620" t="s">
        <v>33</v>
      </c>
      <c r="E620" t="str">
        <f t="shared" ref="E620:E625" si="92">"400503"</f>
        <v>400503</v>
      </c>
      <c r="F620" t="s">
        <v>1295</v>
      </c>
      <c r="G620">
        <v>40</v>
      </c>
      <c r="H620">
        <v>0</v>
      </c>
      <c r="I620" t="s">
        <v>1307</v>
      </c>
      <c r="J620" t="str">
        <f t="shared" ref="J620:J625" si="93">"100005436"</f>
        <v>100005436</v>
      </c>
      <c r="K620" s="1">
        <v>47262</v>
      </c>
      <c r="M620" s="1">
        <v>45437</v>
      </c>
      <c r="N620" t="str">
        <f t="shared" si="91"/>
        <v>1329002008</v>
      </c>
      <c r="O620">
        <v>40</v>
      </c>
      <c r="P620" s="2">
        <v>46242.587569444448</v>
      </c>
      <c r="Q620" s="2">
        <v>46242.897361111114</v>
      </c>
      <c r="R620" s="2">
        <v>46242.587569444448</v>
      </c>
      <c r="S620">
        <v>0</v>
      </c>
      <c r="T620" t="s">
        <v>67</v>
      </c>
      <c r="U620" t="s">
        <v>67</v>
      </c>
      <c r="W620" t="str">
        <f t="shared" ref="W620:W625" si="94">"400503"</f>
        <v>400503</v>
      </c>
      <c r="X620" t="s">
        <v>37</v>
      </c>
      <c r="AD620" s="2">
        <v>46242.897361111114</v>
      </c>
    </row>
    <row r="621" spans="1:30" x14ac:dyDescent="0.35">
      <c r="A621" t="s">
        <v>30</v>
      </c>
      <c r="B621" t="s">
        <v>31</v>
      </c>
      <c r="C621" t="s">
        <v>1308</v>
      </c>
      <c r="D621" t="s">
        <v>33</v>
      </c>
      <c r="E621" t="str">
        <f t="shared" si="92"/>
        <v>400503</v>
      </c>
      <c r="F621" t="s">
        <v>1295</v>
      </c>
      <c r="G621">
        <v>40</v>
      </c>
      <c r="H621">
        <v>0</v>
      </c>
      <c r="I621" t="s">
        <v>1309</v>
      </c>
      <c r="J621" t="str">
        <f t="shared" si="93"/>
        <v>100005436</v>
      </c>
      <c r="K621" s="1">
        <v>47262</v>
      </c>
      <c r="M621" s="1">
        <v>45437</v>
      </c>
      <c r="N621" t="str">
        <f t="shared" si="91"/>
        <v>1329002008</v>
      </c>
      <c r="O621">
        <v>40</v>
      </c>
      <c r="P621" s="2">
        <v>46242.584513888891</v>
      </c>
      <c r="Q621" s="2">
        <v>46242.89770833333</v>
      </c>
      <c r="R621" s="2">
        <v>46242.584513888891</v>
      </c>
      <c r="S621">
        <v>0</v>
      </c>
      <c r="T621" t="s">
        <v>67</v>
      </c>
      <c r="U621" t="s">
        <v>67</v>
      </c>
      <c r="W621" t="str">
        <f t="shared" si="94"/>
        <v>400503</v>
      </c>
      <c r="X621" t="s">
        <v>37</v>
      </c>
      <c r="AD621" s="2">
        <v>46242.89770833333</v>
      </c>
    </row>
    <row r="622" spans="1:30" x14ac:dyDescent="0.35">
      <c r="A622" t="s">
        <v>30</v>
      </c>
      <c r="B622" t="s">
        <v>31</v>
      </c>
      <c r="C622" t="s">
        <v>1310</v>
      </c>
      <c r="D622" t="s">
        <v>33</v>
      </c>
      <c r="E622" t="str">
        <f t="shared" si="92"/>
        <v>400503</v>
      </c>
      <c r="F622" t="s">
        <v>1295</v>
      </c>
      <c r="G622">
        <v>40</v>
      </c>
      <c r="H622">
        <v>0</v>
      </c>
      <c r="I622" t="s">
        <v>1311</v>
      </c>
      <c r="J622" t="str">
        <f t="shared" si="93"/>
        <v>100005436</v>
      </c>
      <c r="K622" s="1">
        <v>47262</v>
      </c>
      <c r="M622" s="1">
        <v>45437</v>
      </c>
      <c r="N622" t="str">
        <f t="shared" si="91"/>
        <v>1329002008</v>
      </c>
      <c r="O622">
        <v>40</v>
      </c>
      <c r="P622" s="2">
        <v>46242.584872685184</v>
      </c>
      <c r="Q622" s="2">
        <v>46242.898136574076</v>
      </c>
      <c r="R622" s="2">
        <v>46242.584872685184</v>
      </c>
      <c r="S622">
        <v>0</v>
      </c>
      <c r="T622" t="s">
        <v>67</v>
      </c>
      <c r="U622" t="s">
        <v>67</v>
      </c>
      <c r="W622" t="str">
        <f t="shared" si="94"/>
        <v>400503</v>
      </c>
      <c r="X622" t="s">
        <v>37</v>
      </c>
      <c r="AD622" s="2">
        <v>46242.898136574076</v>
      </c>
    </row>
    <row r="623" spans="1:30" x14ac:dyDescent="0.35">
      <c r="A623" t="s">
        <v>30</v>
      </c>
      <c r="B623" t="s">
        <v>31</v>
      </c>
      <c r="C623" t="s">
        <v>1312</v>
      </c>
      <c r="D623" t="s">
        <v>33</v>
      </c>
      <c r="E623" t="str">
        <f t="shared" si="92"/>
        <v>400503</v>
      </c>
      <c r="F623" t="s">
        <v>1295</v>
      </c>
      <c r="G623">
        <v>40</v>
      </c>
      <c r="H623">
        <v>0</v>
      </c>
      <c r="I623" t="s">
        <v>1313</v>
      </c>
      <c r="J623" t="str">
        <f t="shared" si="93"/>
        <v>100005436</v>
      </c>
      <c r="K623" s="1">
        <v>47262</v>
      </c>
      <c r="M623" s="1">
        <v>45437</v>
      </c>
      <c r="N623" t="str">
        <f t="shared" si="91"/>
        <v>1329002008</v>
      </c>
      <c r="O623">
        <v>40</v>
      </c>
      <c r="P623" s="2">
        <v>46242.588020833333</v>
      </c>
      <c r="Q623" s="2">
        <v>46242.898611111108</v>
      </c>
      <c r="R623" s="2">
        <v>46242.588020833333</v>
      </c>
      <c r="S623">
        <v>0</v>
      </c>
      <c r="T623" t="s">
        <v>67</v>
      </c>
      <c r="U623" t="s">
        <v>67</v>
      </c>
      <c r="W623" t="str">
        <f t="shared" si="94"/>
        <v>400503</v>
      </c>
      <c r="X623" t="s">
        <v>37</v>
      </c>
      <c r="AD623" s="2">
        <v>46242.898611111108</v>
      </c>
    </row>
    <row r="624" spans="1:30" x14ac:dyDescent="0.35">
      <c r="A624" t="s">
        <v>30</v>
      </c>
      <c r="B624" t="s">
        <v>31</v>
      </c>
      <c r="C624" t="s">
        <v>1314</v>
      </c>
      <c r="D624" t="s">
        <v>33</v>
      </c>
      <c r="E624" t="str">
        <f t="shared" si="92"/>
        <v>400503</v>
      </c>
      <c r="F624" t="s">
        <v>1295</v>
      </c>
      <c r="G624">
        <v>40</v>
      </c>
      <c r="H624">
        <v>0</v>
      </c>
      <c r="I624" t="s">
        <v>1315</v>
      </c>
      <c r="J624" t="str">
        <f t="shared" si="93"/>
        <v>100005436</v>
      </c>
      <c r="K624" s="1">
        <v>47262</v>
      </c>
      <c r="M624" s="1">
        <v>45437</v>
      </c>
      <c r="N624" t="str">
        <f t="shared" si="91"/>
        <v>1329002008</v>
      </c>
      <c r="O624">
        <v>40</v>
      </c>
      <c r="P624" s="2">
        <v>46242.590069444443</v>
      </c>
      <c r="Q624" s="2">
        <v>46242.899085648147</v>
      </c>
      <c r="R624" s="2">
        <v>46242.590069444443</v>
      </c>
      <c r="S624">
        <v>0</v>
      </c>
      <c r="T624" t="s">
        <v>67</v>
      </c>
      <c r="U624" t="s">
        <v>67</v>
      </c>
      <c r="W624" t="str">
        <f t="shared" si="94"/>
        <v>400503</v>
      </c>
      <c r="X624" t="s">
        <v>37</v>
      </c>
      <c r="AD624" s="2">
        <v>46242.899085648147</v>
      </c>
    </row>
    <row r="625" spans="1:30" x14ac:dyDescent="0.35">
      <c r="A625" t="s">
        <v>30</v>
      </c>
      <c r="B625" t="s">
        <v>31</v>
      </c>
      <c r="C625" t="s">
        <v>1316</v>
      </c>
      <c r="D625" t="s">
        <v>33</v>
      </c>
      <c r="E625" t="str">
        <f t="shared" si="92"/>
        <v>400503</v>
      </c>
      <c r="F625" t="s">
        <v>1295</v>
      </c>
      <c r="G625">
        <v>40</v>
      </c>
      <c r="H625">
        <v>0</v>
      </c>
      <c r="I625" t="s">
        <v>1317</v>
      </c>
      <c r="J625" t="str">
        <f t="shared" si="93"/>
        <v>100005436</v>
      </c>
      <c r="K625" s="1">
        <v>47262</v>
      </c>
      <c r="M625" s="1">
        <v>45437</v>
      </c>
      <c r="N625" t="str">
        <f t="shared" si="91"/>
        <v>1329002008</v>
      </c>
      <c r="O625">
        <v>40</v>
      </c>
      <c r="P625" s="2">
        <v>46242.589803240742</v>
      </c>
      <c r="Q625" s="2">
        <v>46242.899560185186</v>
      </c>
      <c r="R625" s="2">
        <v>46242.589803240742</v>
      </c>
      <c r="S625">
        <v>0</v>
      </c>
      <c r="T625" t="s">
        <v>67</v>
      </c>
      <c r="U625" t="s">
        <v>67</v>
      </c>
      <c r="W625" t="str">
        <f t="shared" si="94"/>
        <v>400503</v>
      </c>
      <c r="X625" t="s">
        <v>37</v>
      </c>
      <c r="AD625" s="2">
        <v>46242.899560185186</v>
      </c>
    </row>
    <row r="626" spans="1:30" x14ac:dyDescent="0.35">
      <c r="A626" t="s">
        <v>30</v>
      </c>
      <c r="B626" t="s">
        <v>31</v>
      </c>
      <c r="C626" t="s">
        <v>1318</v>
      </c>
      <c r="D626" t="s">
        <v>33</v>
      </c>
      <c r="E626" t="str">
        <f>"400457"</f>
        <v>400457</v>
      </c>
      <c r="F626" t="s">
        <v>1304</v>
      </c>
      <c r="G626">
        <v>40</v>
      </c>
      <c r="H626">
        <v>0</v>
      </c>
      <c r="I626" t="s">
        <v>459</v>
      </c>
      <c r="J626" t="str">
        <f>"100005652"</f>
        <v>100005652</v>
      </c>
      <c r="K626" s="1">
        <v>47281</v>
      </c>
      <c r="M626" s="1">
        <v>45456</v>
      </c>
      <c r="N626" t="str">
        <f t="shared" si="91"/>
        <v>1329002008</v>
      </c>
      <c r="O626">
        <v>40</v>
      </c>
      <c r="P626" s="2">
        <v>46242.588240740741</v>
      </c>
      <c r="Q626" s="2">
        <v>46242.900011574071</v>
      </c>
      <c r="R626" s="2">
        <v>46242.588240740741</v>
      </c>
      <c r="S626">
        <v>0</v>
      </c>
      <c r="T626" t="s">
        <v>67</v>
      </c>
      <c r="U626" t="s">
        <v>67</v>
      </c>
      <c r="W626" t="str">
        <f>"400457"</f>
        <v>400457</v>
      </c>
      <c r="X626" t="s">
        <v>37</v>
      </c>
      <c r="AD626" s="2">
        <v>46242.900011574071</v>
      </c>
    </row>
    <row r="627" spans="1:30" x14ac:dyDescent="0.35">
      <c r="A627" t="s">
        <v>30</v>
      </c>
      <c r="B627" t="s">
        <v>31</v>
      </c>
      <c r="C627" t="s">
        <v>1319</v>
      </c>
      <c r="D627" t="s">
        <v>33</v>
      </c>
      <c r="E627" t="str">
        <f>"400503"</f>
        <v>400503</v>
      </c>
      <c r="F627" t="s">
        <v>1295</v>
      </c>
      <c r="G627">
        <v>40</v>
      </c>
      <c r="H627">
        <v>0</v>
      </c>
      <c r="I627" t="s">
        <v>1320</v>
      </c>
      <c r="J627" t="str">
        <f>"100005436"</f>
        <v>100005436</v>
      </c>
      <c r="K627" s="1">
        <v>47262</v>
      </c>
      <c r="M627" s="1">
        <v>45437</v>
      </c>
      <c r="N627" t="str">
        <f t="shared" si="91"/>
        <v>1329002008</v>
      </c>
      <c r="O627">
        <v>40</v>
      </c>
      <c r="P627" s="2">
        <v>46242.585034722222</v>
      </c>
      <c r="Q627" s="2">
        <v>46242.900625000002</v>
      </c>
      <c r="R627" s="2">
        <v>46242.585034722222</v>
      </c>
      <c r="S627">
        <v>0</v>
      </c>
      <c r="T627" t="s">
        <v>67</v>
      </c>
      <c r="U627" t="s">
        <v>67</v>
      </c>
      <c r="W627" t="str">
        <f>"400503"</f>
        <v>400503</v>
      </c>
      <c r="X627" t="s">
        <v>37</v>
      </c>
      <c r="AD627" s="2">
        <v>46242.900625000002</v>
      </c>
    </row>
    <row r="628" spans="1:30" x14ac:dyDescent="0.35">
      <c r="A628" t="s">
        <v>30</v>
      </c>
      <c r="B628" t="s">
        <v>31</v>
      </c>
      <c r="C628" t="s">
        <v>1321</v>
      </c>
      <c r="D628" t="s">
        <v>33</v>
      </c>
      <c r="E628" t="str">
        <f>"400503"</f>
        <v>400503</v>
      </c>
      <c r="F628" t="s">
        <v>1295</v>
      </c>
      <c r="G628">
        <v>40</v>
      </c>
      <c r="H628">
        <v>0</v>
      </c>
      <c r="I628" t="s">
        <v>1322</v>
      </c>
      <c r="J628" t="str">
        <f>"100005436"</f>
        <v>100005436</v>
      </c>
      <c r="K628" s="1">
        <v>47262</v>
      </c>
      <c r="M628" s="1">
        <v>45437</v>
      </c>
      <c r="N628" t="str">
        <f t="shared" si="91"/>
        <v>1329002008</v>
      </c>
      <c r="O628">
        <v>40</v>
      </c>
      <c r="P628" s="2">
        <v>46242.585173611114</v>
      </c>
      <c r="Q628" s="2">
        <v>46242.901192129626</v>
      </c>
      <c r="R628" s="2">
        <v>46242.585173611114</v>
      </c>
      <c r="S628">
        <v>0</v>
      </c>
      <c r="T628" t="s">
        <v>67</v>
      </c>
      <c r="U628" t="s">
        <v>67</v>
      </c>
      <c r="W628" t="str">
        <f>"400503"</f>
        <v>400503</v>
      </c>
      <c r="X628" t="s">
        <v>37</v>
      </c>
      <c r="AD628" s="2">
        <v>46242.901180555556</v>
      </c>
    </row>
    <row r="629" spans="1:30" x14ac:dyDescent="0.35">
      <c r="A629" t="s">
        <v>30</v>
      </c>
      <c r="B629" t="s">
        <v>31</v>
      </c>
      <c r="C629" t="s">
        <v>1323</v>
      </c>
      <c r="D629" t="s">
        <v>33</v>
      </c>
      <c r="E629" t="str">
        <f>"400503"</f>
        <v>400503</v>
      </c>
      <c r="F629" t="s">
        <v>1295</v>
      </c>
      <c r="G629">
        <v>40</v>
      </c>
      <c r="H629">
        <v>0</v>
      </c>
      <c r="I629" t="s">
        <v>1324</v>
      </c>
      <c r="J629" t="str">
        <f>"100005436"</f>
        <v>100005436</v>
      </c>
      <c r="K629" s="1">
        <v>47262</v>
      </c>
      <c r="M629" s="1">
        <v>45437</v>
      </c>
      <c r="N629" t="str">
        <f t="shared" si="91"/>
        <v>1329002008</v>
      </c>
      <c r="O629">
        <v>40</v>
      </c>
      <c r="P629" s="2">
        <v>46242.585347222222</v>
      </c>
      <c r="Q629" s="2">
        <v>46242.901770833334</v>
      </c>
      <c r="R629" s="2">
        <v>46242.585347222222</v>
      </c>
      <c r="S629">
        <v>0</v>
      </c>
      <c r="T629" t="s">
        <v>67</v>
      </c>
      <c r="U629" t="s">
        <v>67</v>
      </c>
      <c r="W629" t="str">
        <f>"400503"</f>
        <v>400503</v>
      </c>
      <c r="X629" t="s">
        <v>37</v>
      </c>
      <c r="AD629" s="2">
        <v>46242.901770833334</v>
      </c>
    </row>
    <row r="630" spans="1:30" x14ac:dyDescent="0.35">
      <c r="A630" t="s">
        <v>30</v>
      </c>
      <c r="B630" t="s">
        <v>31</v>
      </c>
      <c r="C630" t="s">
        <v>1325</v>
      </c>
      <c r="D630" t="s">
        <v>33</v>
      </c>
      <c r="E630" t="str">
        <f>"400503"</f>
        <v>400503</v>
      </c>
      <c r="F630" t="s">
        <v>1295</v>
      </c>
      <c r="G630">
        <v>40</v>
      </c>
      <c r="H630">
        <v>0</v>
      </c>
      <c r="I630" t="s">
        <v>1326</v>
      </c>
      <c r="J630" t="str">
        <f>"100005436"</f>
        <v>100005436</v>
      </c>
      <c r="K630" s="1">
        <v>47262</v>
      </c>
      <c r="M630" s="1">
        <v>45437</v>
      </c>
      <c r="N630" t="str">
        <f t="shared" si="91"/>
        <v>1329002008</v>
      </c>
      <c r="O630">
        <v>40</v>
      </c>
      <c r="P630" s="2">
        <v>46242.585509259261</v>
      </c>
      <c r="Q630" s="2">
        <v>46242.902361111112</v>
      </c>
      <c r="R630" s="2">
        <v>46242.585509259261</v>
      </c>
      <c r="S630">
        <v>0</v>
      </c>
      <c r="T630" t="s">
        <v>67</v>
      </c>
      <c r="U630" t="s">
        <v>67</v>
      </c>
      <c r="W630" t="str">
        <f>"400503"</f>
        <v>400503</v>
      </c>
      <c r="X630" t="s">
        <v>37</v>
      </c>
      <c r="AD630" s="2">
        <v>46242.902361111112</v>
      </c>
    </row>
    <row r="631" spans="1:30" x14ac:dyDescent="0.35">
      <c r="A631" t="s">
        <v>30</v>
      </c>
      <c r="B631" t="s">
        <v>31</v>
      </c>
      <c r="C631" t="s">
        <v>1327</v>
      </c>
      <c r="D631" t="s">
        <v>33</v>
      </c>
      <c r="E631" t="str">
        <f>"400457"</f>
        <v>400457</v>
      </c>
      <c r="F631" t="s">
        <v>1304</v>
      </c>
      <c r="G631">
        <v>40</v>
      </c>
      <c r="H631">
        <v>0</v>
      </c>
      <c r="I631" t="s">
        <v>1328</v>
      </c>
      <c r="J631" t="str">
        <f>"100005652"</f>
        <v>100005652</v>
      </c>
      <c r="K631" s="1">
        <v>47281</v>
      </c>
      <c r="M631" s="1">
        <v>45456</v>
      </c>
      <c r="N631" t="str">
        <f t="shared" si="91"/>
        <v>1329002008</v>
      </c>
      <c r="O631">
        <v>40</v>
      </c>
      <c r="P631" s="2">
        <v>46242.588483796295</v>
      </c>
      <c r="Q631" s="2">
        <v>46242.903252314813</v>
      </c>
      <c r="R631" s="2">
        <v>46242.588483796295</v>
      </c>
      <c r="S631">
        <v>0</v>
      </c>
      <c r="T631" t="s">
        <v>67</v>
      </c>
      <c r="U631" t="s">
        <v>67</v>
      </c>
      <c r="W631" t="str">
        <f>"400457"</f>
        <v>400457</v>
      </c>
      <c r="X631" t="s">
        <v>37</v>
      </c>
      <c r="AD631" s="2">
        <v>46242.903252314813</v>
      </c>
    </row>
    <row r="632" spans="1:30" x14ac:dyDescent="0.35">
      <c r="A632" t="s">
        <v>30</v>
      </c>
      <c r="B632" t="s">
        <v>31</v>
      </c>
      <c r="C632" t="s">
        <v>1329</v>
      </c>
      <c r="D632" t="s">
        <v>33</v>
      </c>
      <c r="E632" t="str">
        <f>"400457"</f>
        <v>400457</v>
      </c>
      <c r="F632" t="s">
        <v>1304</v>
      </c>
      <c r="G632">
        <v>40</v>
      </c>
      <c r="H632">
        <v>0</v>
      </c>
      <c r="I632" t="s">
        <v>1330</v>
      </c>
      <c r="J632" t="str">
        <f>"100005652"</f>
        <v>100005652</v>
      </c>
      <c r="K632" s="1">
        <v>47281</v>
      </c>
      <c r="M632" s="1">
        <v>45456</v>
      </c>
      <c r="N632" t="str">
        <f t="shared" si="91"/>
        <v>1329002008</v>
      </c>
      <c r="O632">
        <v>40</v>
      </c>
      <c r="P632" s="2">
        <v>46242.588750000003</v>
      </c>
      <c r="Q632" s="2">
        <v>46242.903553240743</v>
      </c>
      <c r="R632" s="2">
        <v>46242.588750000003</v>
      </c>
      <c r="S632">
        <v>0</v>
      </c>
      <c r="T632" t="s">
        <v>67</v>
      </c>
      <c r="U632" t="s">
        <v>67</v>
      </c>
      <c r="W632" t="str">
        <f>"400457"</f>
        <v>400457</v>
      </c>
      <c r="X632" t="s">
        <v>37</v>
      </c>
      <c r="AD632" s="2">
        <v>46242.903553240743</v>
      </c>
    </row>
    <row r="633" spans="1:30" x14ac:dyDescent="0.35">
      <c r="A633" t="s">
        <v>30</v>
      </c>
      <c r="B633" t="s">
        <v>31</v>
      </c>
      <c r="C633" t="s">
        <v>1331</v>
      </c>
      <c r="D633" t="s">
        <v>33</v>
      </c>
      <c r="E633" t="str">
        <f>"400457"</f>
        <v>400457</v>
      </c>
      <c r="F633" t="s">
        <v>1304</v>
      </c>
      <c r="G633">
        <v>37</v>
      </c>
      <c r="H633">
        <v>0</v>
      </c>
      <c r="I633" t="s">
        <v>1332</v>
      </c>
      <c r="J633" t="str">
        <f>"100005652"</f>
        <v>100005652</v>
      </c>
      <c r="K633" s="1">
        <v>47281</v>
      </c>
      <c r="M633" s="1">
        <v>45456</v>
      </c>
      <c r="N633" t="str">
        <f t="shared" si="91"/>
        <v>1329002008</v>
      </c>
      <c r="O633">
        <v>37</v>
      </c>
      <c r="P633" s="2">
        <v>46242.618414351855</v>
      </c>
      <c r="Q633" s="2">
        <v>46242.90421296296</v>
      </c>
      <c r="R633" s="2">
        <v>46242.618414351855</v>
      </c>
      <c r="S633">
        <v>0</v>
      </c>
      <c r="T633" t="s">
        <v>67</v>
      </c>
      <c r="U633" t="s">
        <v>67</v>
      </c>
      <c r="W633" t="str">
        <f>"400457"</f>
        <v>400457</v>
      </c>
      <c r="X633" t="s">
        <v>37</v>
      </c>
      <c r="AD633" s="2">
        <v>46242.90420138889</v>
      </c>
    </row>
    <row r="634" spans="1:30" x14ac:dyDescent="0.35">
      <c r="A634" t="s">
        <v>30</v>
      </c>
      <c r="B634" t="s">
        <v>31</v>
      </c>
      <c r="C634" t="s">
        <v>1333</v>
      </c>
      <c r="D634" t="s">
        <v>33</v>
      </c>
      <c r="E634" t="str">
        <f>"400503"</f>
        <v>400503</v>
      </c>
      <c r="F634" t="s">
        <v>1295</v>
      </c>
      <c r="G634">
        <v>40</v>
      </c>
      <c r="H634">
        <v>0</v>
      </c>
      <c r="I634" t="s">
        <v>1334</v>
      </c>
      <c r="J634" t="str">
        <f>"100005436"</f>
        <v>100005436</v>
      </c>
      <c r="K634" s="1">
        <v>47262</v>
      </c>
      <c r="M634" s="1">
        <v>45437</v>
      </c>
      <c r="N634" t="str">
        <f t="shared" si="91"/>
        <v>1329002008</v>
      </c>
      <c r="O634">
        <v>40</v>
      </c>
      <c r="P634" s="2">
        <v>46242.592511574076</v>
      </c>
      <c r="Q634" s="2">
        <v>46242.906006944446</v>
      </c>
      <c r="R634" s="2">
        <v>46242.592511574076</v>
      </c>
      <c r="S634">
        <v>0</v>
      </c>
      <c r="T634" t="s">
        <v>67</v>
      </c>
      <c r="U634" t="s">
        <v>67</v>
      </c>
      <c r="W634" t="str">
        <f>"400503"</f>
        <v>400503</v>
      </c>
      <c r="X634" t="s">
        <v>37</v>
      </c>
      <c r="AD634" s="2">
        <v>46242.906006944446</v>
      </c>
    </row>
    <row r="635" spans="1:30" x14ac:dyDescent="0.35">
      <c r="A635" t="s">
        <v>30</v>
      </c>
      <c r="B635" t="s">
        <v>31</v>
      </c>
      <c r="C635" t="s">
        <v>1335</v>
      </c>
      <c r="D635" t="s">
        <v>33</v>
      </c>
      <c r="E635" t="str">
        <f>"400503"</f>
        <v>400503</v>
      </c>
      <c r="F635" t="s">
        <v>1295</v>
      </c>
      <c r="G635">
        <v>13</v>
      </c>
      <c r="H635">
        <v>0</v>
      </c>
      <c r="I635" t="s">
        <v>1336</v>
      </c>
      <c r="J635" t="str">
        <f>"100005436"</f>
        <v>100005436</v>
      </c>
      <c r="K635" s="1">
        <v>47262</v>
      </c>
      <c r="M635" s="1">
        <v>45437</v>
      </c>
      <c r="N635" t="str">
        <f t="shared" si="91"/>
        <v>1329002008</v>
      </c>
      <c r="O635">
        <v>13</v>
      </c>
      <c r="P635" s="2">
        <v>46242.592280092591</v>
      </c>
      <c r="Q635" s="2">
        <v>46242.906956018516</v>
      </c>
      <c r="R635" s="2">
        <v>46242.592280092591</v>
      </c>
      <c r="S635">
        <v>0</v>
      </c>
      <c r="T635" t="s">
        <v>67</v>
      </c>
      <c r="U635" t="s">
        <v>67</v>
      </c>
      <c r="W635" t="str">
        <f>"400503"</f>
        <v>400503</v>
      </c>
      <c r="X635" t="s">
        <v>37</v>
      </c>
      <c r="AD635" s="2">
        <v>46242.906956018516</v>
      </c>
    </row>
    <row r="636" spans="1:30" x14ac:dyDescent="0.35">
      <c r="A636" t="s">
        <v>30</v>
      </c>
      <c r="B636" t="s">
        <v>31</v>
      </c>
      <c r="C636" t="s">
        <v>1337</v>
      </c>
      <c r="D636" t="s">
        <v>33</v>
      </c>
      <c r="E636" t="str">
        <f>"400457"</f>
        <v>400457</v>
      </c>
      <c r="F636" t="s">
        <v>1304</v>
      </c>
      <c r="G636">
        <v>30</v>
      </c>
      <c r="H636">
        <v>0</v>
      </c>
      <c r="I636" t="s">
        <v>1338</v>
      </c>
      <c r="J636" t="str">
        <f>"100005652"</f>
        <v>100005652</v>
      </c>
      <c r="K636" s="1">
        <v>47281</v>
      </c>
      <c r="M636" s="1">
        <v>45456</v>
      </c>
      <c r="N636" t="str">
        <f t="shared" si="91"/>
        <v>1329002008</v>
      </c>
      <c r="O636">
        <v>30</v>
      </c>
      <c r="P636" s="2">
        <v>46242.58929398148</v>
      </c>
      <c r="Q636" s="2">
        <v>46242.907141203701</v>
      </c>
      <c r="R636" s="2">
        <v>46242.58929398148</v>
      </c>
      <c r="S636">
        <v>0</v>
      </c>
      <c r="T636" t="s">
        <v>67</v>
      </c>
      <c r="U636" t="s">
        <v>67</v>
      </c>
      <c r="W636" t="str">
        <f>"400457"</f>
        <v>400457</v>
      </c>
      <c r="X636" t="s">
        <v>37</v>
      </c>
      <c r="AD636" s="2">
        <v>46242.907141203701</v>
      </c>
    </row>
    <row r="637" spans="1:30" x14ac:dyDescent="0.35">
      <c r="A637" t="s">
        <v>30</v>
      </c>
      <c r="B637" t="s">
        <v>31</v>
      </c>
      <c r="C637" t="s">
        <v>1339</v>
      </c>
      <c r="D637" t="s">
        <v>33</v>
      </c>
      <c r="E637" t="str">
        <f>"400457"</f>
        <v>400457</v>
      </c>
      <c r="F637" t="s">
        <v>1304</v>
      </c>
      <c r="G637">
        <v>40</v>
      </c>
      <c r="H637">
        <v>0</v>
      </c>
      <c r="I637" t="s">
        <v>1340</v>
      </c>
      <c r="J637" t="str">
        <f>"100005652"</f>
        <v>100005652</v>
      </c>
      <c r="K637" s="1">
        <v>47281</v>
      </c>
      <c r="M637" s="1">
        <v>45456</v>
      </c>
      <c r="N637" t="str">
        <f t="shared" si="91"/>
        <v>1329002008</v>
      </c>
      <c r="O637">
        <v>40</v>
      </c>
      <c r="P637" s="2">
        <v>46242.589108796295</v>
      </c>
      <c r="Q637" s="2">
        <v>46242.907557870371</v>
      </c>
      <c r="R637" s="2">
        <v>46242.589108796295</v>
      </c>
      <c r="S637">
        <v>0</v>
      </c>
      <c r="T637" t="s">
        <v>67</v>
      </c>
      <c r="U637" t="s">
        <v>67</v>
      </c>
      <c r="W637" t="str">
        <f>"400457"</f>
        <v>400457</v>
      </c>
      <c r="X637" t="s">
        <v>37</v>
      </c>
      <c r="AD637" s="2">
        <v>46242.907557870371</v>
      </c>
    </row>
    <row r="638" spans="1:30" x14ac:dyDescent="0.35">
      <c r="A638" t="s">
        <v>30</v>
      </c>
      <c r="B638" t="s">
        <v>31</v>
      </c>
      <c r="C638" t="s">
        <v>1341</v>
      </c>
      <c r="D638" t="s">
        <v>33</v>
      </c>
      <c r="E638" t="str">
        <f>"400457"</f>
        <v>400457</v>
      </c>
      <c r="F638" t="s">
        <v>1304</v>
      </c>
      <c r="G638">
        <v>40</v>
      </c>
      <c r="H638">
        <v>0</v>
      </c>
      <c r="I638" t="s">
        <v>1342</v>
      </c>
      <c r="J638" t="str">
        <f>"100005652"</f>
        <v>100005652</v>
      </c>
      <c r="K638" s="1">
        <v>47281</v>
      </c>
      <c r="M638" s="1">
        <v>45456</v>
      </c>
      <c r="N638" t="str">
        <f t="shared" si="91"/>
        <v>1329002008</v>
      </c>
      <c r="O638">
        <v>40</v>
      </c>
      <c r="P638" s="2">
        <v>46242.588923611111</v>
      </c>
      <c r="Q638" s="2">
        <v>46242.935185185182</v>
      </c>
      <c r="R638" s="2">
        <v>46242.588923611111</v>
      </c>
      <c r="S638">
        <v>0</v>
      </c>
      <c r="T638" t="s">
        <v>67</v>
      </c>
      <c r="U638" t="s">
        <v>67</v>
      </c>
      <c r="W638" t="str">
        <f>"400457"</f>
        <v>400457</v>
      </c>
      <c r="X638" t="s">
        <v>37</v>
      </c>
      <c r="AD638" s="2">
        <v>46242.935185185182</v>
      </c>
    </row>
    <row r="639" spans="1:30" x14ac:dyDescent="0.35">
      <c r="A639" t="s">
        <v>30</v>
      </c>
      <c r="B639" t="s">
        <v>31</v>
      </c>
      <c r="C639" t="s">
        <v>1343</v>
      </c>
      <c r="D639" t="s">
        <v>33</v>
      </c>
      <c r="E639" t="str">
        <f>"400503"</f>
        <v>400503</v>
      </c>
      <c r="F639" t="s">
        <v>1295</v>
      </c>
      <c r="G639">
        <v>40</v>
      </c>
      <c r="H639">
        <v>0</v>
      </c>
      <c r="I639" t="s">
        <v>1344</v>
      </c>
      <c r="J639" t="str">
        <f>"100005436"</f>
        <v>100005436</v>
      </c>
      <c r="K639" s="1">
        <v>47262</v>
      </c>
      <c r="M639" s="1">
        <v>45437</v>
      </c>
      <c r="N639" t="str">
        <f t="shared" si="91"/>
        <v>1329002008</v>
      </c>
      <c r="O639">
        <v>40</v>
      </c>
      <c r="P639" s="2">
        <v>46242.592719907407</v>
      </c>
      <c r="Q639" s="2">
        <v>46242.936296296299</v>
      </c>
      <c r="R639" s="2">
        <v>46242.592719907407</v>
      </c>
      <c r="S639">
        <v>0</v>
      </c>
      <c r="T639" t="s">
        <v>67</v>
      </c>
      <c r="U639" t="s">
        <v>67</v>
      </c>
      <c r="W639" t="str">
        <f>"400503"</f>
        <v>400503</v>
      </c>
      <c r="X639" t="s">
        <v>37</v>
      </c>
      <c r="AD639" s="2">
        <v>46242.936296296299</v>
      </c>
    </row>
    <row r="640" spans="1:30" x14ac:dyDescent="0.35">
      <c r="A640" t="s">
        <v>30</v>
      </c>
      <c r="B640" t="s">
        <v>31</v>
      </c>
      <c r="C640" t="s">
        <v>1345</v>
      </c>
      <c r="D640" t="s">
        <v>33</v>
      </c>
      <c r="E640" t="str">
        <f t="shared" ref="E640:E647" si="95">"400448"</f>
        <v>400448</v>
      </c>
      <c r="F640" t="s">
        <v>1346</v>
      </c>
      <c r="G640">
        <v>35</v>
      </c>
      <c r="H640">
        <v>0</v>
      </c>
      <c r="I640" t="s">
        <v>1174</v>
      </c>
      <c r="J640" t="str">
        <f t="shared" ref="J640:J647" si="96">"100005435"</f>
        <v>100005435</v>
      </c>
      <c r="K640" s="1">
        <v>47233</v>
      </c>
      <c r="L640" s="1">
        <v>45438</v>
      </c>
      <c r="M640" s="1">
        <v>43613</v>
      </c>
      <c r="N640" t="str">
        <f t="shared" ref="N640:N661" si="97">"1329002010"</f>
        <v>1329002010</v>
      </c>
      <c r="O640">
        <v>35</v>
      </c>
      <c r="P640" s="2">
        <v>46244.631331018521</v>
      </c>
      <c r="Q640" s="2">
        <v>46244.882187499999</v>
      </c>
      <c r="R640" s="2">
        <v>46244.631331018521</v>
      </c>
      <c r="S640">
        <v>0</v>
      </c>
      <c r="T640" t="s">
        <v>67</v>
      </c>
      <c r="U640" t="s">
        <v>67</v>
      </c>
      <c r="W640" t="str">
        <f t="shared" ref="W640:W647" si="98">"400448"</f>
        <v>400448</v>
      </c>
      <c r="X640" t="s">
        <v>37</v>
      </c>
      <c r="AD640" s="2">
        <v>46244.882187499999</v>
      </c>
    </row>
    <row r="641" spans="1:30" x14ac:dyDescent="0.35">
      <c r="A641" t="s">
        <v>30</v>
      </c>
      <c r="B641" t="s">
        <v>31</v>
      </c>
      <c r="C641" t="s">
        <v>1347</v>
      </c>
      <c r="D641" t="s">
        <v>33</v>
      </c>
      <c r="E641" t="str">
        <f t="shared" si="95"/>
        <v>400448</v>
      </c>
      <c r="F641" t="s">
        <v>1346</v>
      </c>
      <c r="G641">
        <v>40</v>
      </c>
      <c r="H641">
        <v>0</v>
      </c>
      <c r="I641" t="s">
        <v>1348</v>
      </c>
      <c r="J641" t="str">
        <f t="shared" si="96"/>
        <v>100005435</v>
      </c>
      <c r="K641" s="1">
        <v>47233</v>
      </c>
      <c r="L641" s="1">
        <v>45438</v>
      </c>
      <c r="M641" s="1">
        <v>43613</v>
      </c>
      <c r="N641" t="str">
        <f t="shared" si="97"/>
        <v>1329002010</v>
      </c>
      <c r="O641">
        <v>40</v>
      </c>
      <c r="P641" s="2">
        <v>46244.623912037037</v>
      </c>
      <c r="Q641" s="2">
        <v>46244.883321759262</v>
      </c>
      <c r="R641" s="2">
        <v>46244.623912037037</v>
      </c>
      <c r="S641">
        <v>0</v>
      </c>
      <c r="T641" t="s">
        <v>67</v>
      </c>
      <c r="U641" t="s">
        <v>67</v>
      </c>
      <c r="W641" t="str">
        <f t="shared" si="98"/>
        <v>400448</v>
      </c>
      <c r="X641" t="s">
        <v>37</v>
      </c>
      <c r="AD641" s="2">
        <v>46244.883321759262</v>
      </c>
    </row>
    <row r="642" spans="1:30" x14ac:dyDescent="0.35">
      <c r="A642" t="s">
        <v>30</v>
      </c>
      <c r="B642" t="s">
        <v>31</v>
      </c>
      <c r="C642" t="s">
        <v>1349</v>
      </c>
      <c r="D642" t="s">
        <v>33</v>
      </c>
      <c r="E642" t="str">
        <f t="shared" si="95"/>
        <v>400448</v>
      </c>
      <c r="F642" t="s">
        <v>1346</v>
      </c>
      <c r="G642">
        <v>40</v>
      </c>
      <c r="H642">
        <v>0</v>
      </c>
      <c r="I642" t="s">
        <v>1350</v>
      </c>
      <c r="J642" t="str">
        <f t="shared" si="96"/>
        <v>100005435</v>
      </c>
      <c r="K642" s="1">
        <v>47233</v>
      </c>
      <c r="L642" s="1">
        <v>45438</v>
      </c>
      <c r="M642" s="1">
        <v>43613</v>
      </c>
      <c r="N642" t="str">
        <f t="shared" si="97"/>
        <v>1329002010</v>
      </c>
      <c r="O642">
        <v>40</v>
      </c>
      <c r="P642" s="2">
        <v>46244.628888888888</v>
      </c>
      <c r="Q642" s="2">
        <v>46244.883750000001</v>
      </c>
      <c r="R642" s="2">
        <v>46244.628888888888</v>
      </c>
      <c r="S642">
        <v>0</v>
      </c>
      <c r="T642" t="s">
        <v>67</v>
      </c>
      <c r="U642" t="s">
        <v>67</v>
      </c>
      <c r="W642" t="str">
        <f t="shared" si="98"/>
        <v>400448</v>
      </c>
      <c r="X642" t="s">
        <v>37</v>
      </c>
      <c r="AD642" s="2">
        <v>46244.883750000001</v>
      </c>
    </row>
    <row r="643" spans="1:30" x14ac:dyDescent="0.35">
      <c r="A643" t="s">
        <v>30</v>
      </c>
      <c r="B643" t="s">
        <v>31</v>
      </c>
      <c r="C643" t="s">
        <v>1351</v>
      </c>
      <c r="D643" t="s">
        <v>33</v>
      </c>
      <c r="E643" t="str">
        <f t="shared" si="95"/>
        <v>400448</v>
      </c>
      <c r="F643" t="s">
        <v>1346</v>
      </c>
      <c r="G643">
        <v>40</v>
      </c>
      <c r="H643">
        <v>0</v>
      </c>
      <c r="I643" t="s">
        <v>1352</v>
      </c>
      <c r="J643" t="str">
        <f t="shared" si="96"/>
        <v>100005435</v>
      </c>
      <c r="K643" s="1">
        <v>47233</v>
      </c>
      <c r="L643" s="1">
        <v>45438</v>
      </c>
      <c r="M643" s="1">
        <v>43613</v>
      </c>
      <c r="N643" t="str">
        <f t="shared" si="97"/>
        <v>1329002010</v>
      </c>
      <c r="O643">
        <v>40</v>
      </c>
      <c r="P643" s="2">
        <v>46244.629108796296</v>
      </c>
      <c r="Q643" s="2">
        <v>46244.884375000001</v>
      </c>
      <c r="R643" s="2">
        <v>46244.629108796296</v>
      </c>
      <c r="S643">
        <v>0</v>
      </c>
      <c r="T643" t="s">
        <v>67</v>
      </c>
      <c r="U643" t="s">
        <v>67</v>
      </c>
      <c r="W643" t="str">
        <f t="shared" si="98"/>
        <v>400448</v>
      </c>
      <c r="X643" t="s">
        <v>37</v>
      </c>
      <c r="AD643" s="2">
        <v>46244.884375000001</v>
      </c>
    </row>
    <row r="644" spans="1:30" x14ac:dyDescent="0.35">
      <c r="A644" t="s">
        <v>30</v>
      </c>
      <c r="B644" t="s">
        <v>31</v>
      </c>
      <c r="C644" t="s">
        <v>1353</v>
      </c>
      <c r="D644" t="s">
        <v>33</v>
      </c>
      <c r="E644" t="str">
        <f t="shared" si="95"/>
        <v>400448</v>
      </c>
      <c r="F644" t="s">
        <v>1346</v>
      </c>
      <c r="G644">
        <v>40</v>
      </c>
      <c r="H644">
        <v>0</v>
      </c>
      <c r="I644" t="s">
        <v>1354</v>
      </c>
      <c r="J644" t="str">
        <f t="shared" si="96"/>
        <v>100005435</v>
      </c>
      <c r="K644" s="1">
        <v>47233</v>
      </c>
      <c r="L644" s="1">
        <v>45438</v>
      </c>
      <c r="M644" s="1">
        <v>43613</v>
      </c>
      <c r="N644" t="str">
        <f t="shared" si="97"/>
        <v>1329002010</v>
      </c>
      <c r="O644">
        <v>40</v>
      </c>
      <c r="P644" s="2">
        <v>46244.629305555558</v>
      </c>
      <c r="Q644" s="2">
        <v>46244.885023148148</v>
      </c>
      <c r="R644" s="2">
        <v>46244.629305555558</v>
      </c>
      <c r="S644">
        <v>0</v>
      </c>
      <c r="T644" t="s">
        <v>67</v>
      </c>
      <c r="U644" t="s">
        <v>67</v>
      </c>
      <c r="W644" t="str">
        <f t="shared" si="98"/>
        <v>400448</v>
      </c>
      <c r="X644" t="s">
        <v>37</v>
      </c>
      <c r="AD644" s="2">
        <v>46244.885023148148</v>
      </c>
    </row>
    <row r="645" spans="1:30" x14ac:dyDescent="0.35">
      <c r="A645" t="s">
        <v>30</v>
      </c>
      <c r="B645" t="s">
        <v>31</v>
      </c>
      <c r="C645" t="s">
        <v>1355</v>
      </c>
      <c r="D645" t="s">
        <v>33</v>
      </c>
      <c r="E645" t="str">
        <f t="shared" si="95"/>
        <v>400448</v>
      </c>
      <c r="F645" t="s">
        <v>1346</v>
      </c>
      <c r="G645">
        <v>40</v>
      </c>
      <c r="H645">
        <v>0</v>
      </c>
      <c r="I645" t="s">
        <v>1356</v>
      </c>
      <c r="J645" t="str">
        <f t="shared" si="96"/>
        <v>100005435</v>
      </c>
      <c r="K645" s="1">
        <v>47233</v>
      </c>
      <c r="L645" s="1">
        <v>45438</v>
      </c>
      <c r="M645" s="1">
        <v>43613</v>
      </c>
      <c r="N645" t="str">
        <f t="shared" si="97"/>
        <v>1329002010</v>
      </c>
      <c r="O645">
        <v>40</v>
      </c>
      <c r="P645" s="2">
        <v>46244.629699074074</v>
      </c>
      <c r="Q645" s="2">
        <v>46244.886446759258</v>
      </c>
      <c r="R645" s="2">
        <v>46244.629699074074</v>
      </c>
      <c r="S645">
        <v>0</v>
      </c>
      <c r="T645" t="s">
        <v>67</v>
      </c>
      <c r="U645" t="s">
        <v>67</v>
      </c>
      <c r="W645" t="str">
        <f t="shared" si="98"/>
        <v>400448</v>
      </c>
      <c r="X645" t="s">
        <v>37</v>
      </c>
      <c r="AD645" s="2">
        <v>46244.886446759258</v>
      </c>
    </row>
    <row r="646" spans="1:30" x14ac:dyDescent="0.35">
      <c r="A646" t="s">
        <v>30</v>
      </c>
      <c r="B646" t="s">
        <v>31</v>
      </c>
      <c r="C646" t="s">
        <v>1357</v>
      </c>
      <c r="D646" t="s">
        <v>33</v>
      </c>
      <c r="E646" t="str">
        <f t="shared" si="95"/>
        <v>400448</v>
      </c>
      <c r="F646" t="s">
        <v>1346</v>
      </c>
      <c r="G646">
        <v>40</v>
      </c>
      <c r="H646">
        <v>0</v>
      </c>
      <c r="I646" t="s">
        <v>1358</v>
      </c>
      <c r="J646" t="str">
        <f t="shared" si="96"/>
        <v>100005435</v>
      </c>
      <c r="K646" s="1">
        <v>47233</v>
      </c>
      <c r="L646" s="1">
        <v>45438</v>
      </c>
      <c r="M646" s="1">
        <v>43613</v>
      </c>
      <c r="N646" t="str">
        <f t="shared" si="97"/>
        <v>1329002010</v>
      </c>
      <c r="O646">
        <v>40</v>
      </c>
      <c r="P646" s="2">
        <v>46244.629872685182</v>
      </c>
      <c r="Q646" s="2">
        <v>46244.887129629627</v>
      </c>
      <c r="R646" s="2">
        <v>46244.629872685182</v>
      </c>
      <c r="S646">
        <v>0</v>
      </c>
      <c r="T646" t="s">
        <v>67</v>
      </c>
      <c r="U646" t="s">
        <v>67</v>
      </c>
      <c r="W646" t="str">
        <f t="shared" si="98"/>
        <v>400448</v>
      </c>
      <c r="X646" t="s">
        <v>37</v>
      </c>
      <c r="AD646" s="2">
        <v>46244.887118055558</v>
      </c>
    </row>
    <row r="647" spans="1:30" x14ac:dyDescent="0.35">
      <c r="A647" t="s">
        <v>30</v>
      </c>
      <c r="B647" t="s">
        <v>31</v>
      </c>
      <c r="C647" t="s">
        <v>1359</v>
      </c>
      <c r="D647" t="s">
        <v>33</v>
      </c>
      <c r="E647" t="str">
        <f t="shared" si="95"/>
        <v>400448</v>
      </c>
      <c r="F647" t="s">
        <v>1346</v>
      </c>
      <c r="G647">
        <v>40</v>
      </c>
      <c r="H647">
        <v>0</v>
      </c>
      <c r="I647" t="s">
        <v>1360</v>
      </c>
      <c r="J647" t="str">
        <f t="shared" si="96"/>
        <v>100005435</v>
      </c>
      <c r="K647" s="1">
        <v>47233</v>
      </c>
      <c r="L647" s="1">
        <v>45438</v>
      </c>
      <c r="M647" s="1">
        <v>43613</v>
      </c>
      <c r="N647" t="str">
        <f t="shared" si="97"/>
        <v>1329002010</v>
      </c>
      <c r="O647">
        <v>40</v>
      </c>
      <c r="P647" s="2">
        <v>46244.630057870374</v>
      </c>
      <c r="Q647" s="2">
        <v>46244.887870370374</v>
      </c>
      <c r="R647" s="2">
        <v>46244.630057870374</v>
      </c>
      <c r="S647">
        <v>0</v>
      </c>
      <c r="T647" t="s">
        <v>67</v>
      </c>
      <c r="U647" t="s">
        <v>67</v>
      </c>
      <c r="W647" t="str">
        <f t="shared" si="98"/>
        <v>400448</v>
      </c>
      <c r="X647" t="s">
        <v>37</v>
      </c>
      <c r="AD647" s="2">
        <v>46244.887870370374</v>
      </c>
    </row>
    <row r="648" spans="1:30" x14ac:dyDescent="0.35">
      <c r="A648" t="s">
        <v>30</v>
      </c>
      <c r="B648" t="s">
        <v>31</v>
      </c>
      <c r="C648" t="s">
        <v>1361</v>
      </c>
      <c r="D648" t="s">
        <v>33</v>
      </c>
      <c r="E648" t="str">
        <f t="shared" ref="E648:E661" si="99">"400905"</f>
        <v>400905</v>
      </c>
      <c r="F648" t="s">
        <v>1362</v>
      </c>
      <c r="G648">
        <v>42</v>
      </c>
      <c r="H648">
        <v>0</v>
      </c>
      <c r="I648" t="s">
        <v>1363</v>
      </c>
      <c r="J648" t="str">
        <f>"400003251"</f>
        <v>400003251</v>
      </c>
      <c r="K648" s="1">
        <v>48055</v>
      </c>
      <c r="L648" s="1">
        <v>45865</v>
      </c>
      <c r="M648" s="1">
        <v>44405</v>
      </c>
      <c r="N648" t="str">
        <f t="shared" si="97"/>
        <v>1329002010</v>
      </c>
      <c r="O648">
        <v>42</v>
      </c>
      <c r="P648" s="2">
        <v>46244.622430555559</v>
      </c>
      <c r="Q648" s="2">
        <v>46244.890081018515</v>
      </c>
      <c r="R648" s="2">
        <v>46244.622430555559</v>
      </c>
      <c r="S648">
        <v>0</v>
      </c>
      <c r="T648" t="s">
        <v>67</v>
      </c>
      <c r="U648" t="s">
        <v>67</v>
      </c>
      <c r="V648" t="s">
        <v>1364</v>
      </c>
      <c r="W648" t="str">
        <f t="shared" ref="W648:W661" si="100">"400905"</f>
        <v>400905</v>
      </c>
      <c r="X648" t="s">
        <v>41</v>
      </c>
      <c r="AD648" s="2">
        <v>46244.889108796298</v>
      </c>
    </row>
    <row r="649" spans="1:30" x14ac:dyDescent="0.35">
      <c r="A649" t="s">
        <v>30</v>
      </c>
      <c r="B649" t="s">
        <v>31</v>
      </c>
      <c r="C649" t="s">
        <v>1365</v>
      </c>
      <c r="D649" t="s">
        <v>33</v>
      </c>
      <c r="E649" t="str">
        <f t="shared" si="99"/>
        <v>400905</v>
      </c>
      <c r="F649" t="s">
        <v>1362</v>
      </c>
      <c r="G649">
        <v>42</v>
      </c>
      <c r="H649">
        <v>0</v>
      </c>
      <c r="I649" t="s">
        <v>1366</v>
      </c>
      <c r="J649" t="str">
        <f>"400003251"</f>
        <v>400003251</v>
      </c>
      <c r="K649" s="1">
        <v>48055</v>
      </c>
      <c r="L649" s="1">
        <v>45866</v>
      </c>
      <c r="M649" s="1">
        <v>44405</v>
      </c>
      <c r="N649" t="str">
        <f t="shared" si="97"/>
        <v>1329002010</v>
      </c>
      <c r="O649">
        <v>42</v>
      </c>
      <c r="P649" s="2">
        <v>46244.621944444443</v>
      </c>
      <c r="Q649" s="2">
        <v>46244.890659722223</v>
      </c>
      <c r="R649" s="2">
        <v>46244.621944444443</v>
      </c>
      <c r="S649">
        <v>0</v>
      </c>
      <c r="T649" t="s">
        <v>67</v>
      </c>
      <c r="U649" t="s">
        <v>67</v>
      </c>
      <c r="W649" t="str">
        <f t="shared" si="100"/>
        <v>400905</v>
      </c>
      <c r="X649" t="s">
        <v>41</v>
      </c>
      <c r="AD649" s="2">
        <v>46244.890659722223</v>
      </c>
    </row>
    <row r="650" spans="1:30" x14ac:dyDescent="0.35">
      <c r="A650" t="s">
        <v>30</v>
      </c>
      <c r="B650" t="s">
        <v>31</v>
      </c>
      <c r="C650" t="s">
        <v>1367</v>
      </c>
      <c r="D650" t="s">
        <v>33</v>
      </c>
      <c r="E650" t="str">
        <f t="shared" si="99"/>
        <v>400905</v>
      </c>
      <c r="F650" t="s">
        <v>1362</v>
      </c>
      <c r="G650">
        <v>42</v>
      </c>
      <c r="H650">
        <v>0</v>
      </c>
      <c r="I650" t="s">
        <v>1368</v>
      </c>
      <c r="J650" t="str">
        <f>"400003256"</f>
        <v>400003256</v>
      </c>
      <c r="K650" s="1">
        <v>47691</v>
      </c>
      <c r="L650" s="1">
        <v>45866</v>
      </c>
      <c r="M650" s="1">
        <v>44041</v>
      </c>
      <c r="N650" t="str">
        <f t="shared" si="97"/>
        <v>1329002010</v>
      </c>
      <c r="O650">
        <v>42</v>
      </c>
      <c r="P650" s="2">
        <v>46244.621412037035</v>
      </c>
      <c r="Q650" s="2">
        <v>46244.892013888886</v>
      </c>
      <c r="R650" s="2">
        <v>46244.621412037035</v>
      </c>
      <c r="S650">
        <v>0</v>
      </c>
      <c r="T650" t="s">
        <v>67</v>
      </c>
      <c r="U650" t="s">
        <v>67</v>
      </c>
      <c r="W650" t="str">
        <f t="shared" si="100"/>
        <v>400905</v>
      </c>
      <c r="X650" t="s">
        <v>41</v>
      </c>
      <c r="AD650" s="2">
        <v>46244.892013888886</v>
      </c>
    </row>
    <row r="651" spans="1:30" x14ac:dyDescent="0.35">
      <c r="A651" t="s">
        <v>30</v>
      </c>
      <c r="B651" t="s">
        <v>31</v>
      </c>
      <c r="C651" t="s">
        <v>1369</v>
      </c>
      <c r="D651" t="s">
        <v>33</v>
      </c>
      <c r="E651" t="str">
        <f t="shared" si="99"/>
        <v>400905</v>
      </c>
      <c r="F651" t="s">
        <v>1362</v>
      </c>
      <c r="G651">
        <v>42</v>
      </c>
      <c r="H651">
        <v>0</v>
      </c>
      <c r="I651" t="s">
        <v>1370</v>
      </c>
      <c r="J651" t="str">
        <f>"400003245"</f>
        <v>400003245</v>
      </c>
      <c r="K651" s="1">
        <v>47598</v>
      </c>
      <c r="L651" s="1">
        <v>45864</v>
      </c>
      <c r="M651" s="1">
        <v>44039</v>
      </c>
      <c r="N651" t="str">
        <f t="shared" si="97"/>
        <v>1329002010</v>
      </c>
      <c r="O651">
        <v>42</v>
      </c>
      <c r="P651" s="2">
        <v>46244.621134259258</v>
      </c>
      <c r="Q651" s="2">
        <v>46244.893310185187</v>
      </c>
      <c r="R651" s="2">
        <v>46244.621134259258</v>
      </c>
      <c r="S651">
        <v>0</v>
      </c>
      <c r="T651" t="s">
        <v>67</v>
      </c>
      <c r="U651" t="s">
        <v>67</v>
      </c>
      <c r="W651" t="str">
        <f t="shared" si="100"/>
        <v>400905</v>
      </c>
      <c r="X651" t="s">
        <v>41</v>
      </c>
      <c r="AD651" s="2">
        <v>46244.893310185187</v>
      </c>
    </row>
    <row r="652" spans="1:30" x14ac:dyDescent="0.35">
      <c r="A652" t="s">
        <v>30</v>
      </c>
      <c r="B652" t="s">
        <v>31</v>
      </c>
      <c r="C652" t="s">
        <v>1371</v>
      </c>
      <c r="D652" t="s">
        <v>33</v>
      </c>
      <c r="E652" t="str">
        <f t="shared" si="99"/>
        <v>400905</v>
      </c>
      <c r="F652" t="s">
        <v>1362</v>
      </c>
      <c r="G652">
        <v>42</v>
      </c>
      <c r="H652">
        <v>0</v>
      </c>
      <c r="I652" t="s">
        <v>1372</v>
      </c>
      <c r="J652" t="str">
        <f>"400003256"</f>
        <v>400003256</v>
      </c>
      <c r="K652" s="1">
        <v>47691</v>
      </c>
      <c r="L652" s="1">
        <v>45866</v>
      </c>
      <c r="M652" s="1">
        <v>44041</v>
      </c>
      <c r="N652" t="str">
        <f t="shared" si="97"/>
        <v>1329002010</v>
      </c>
      <c r="O652">
        <v>42</v>
      </c>
      <c r="P652" s="2">
        <v>46244.620729166665</v>
      </c>
      <c r="Q652" s="2">
        <v>46244.894537037035</v>
      </c>
      <c r="R652" s="2">
        <v>46244.620729166665</v>
      </c>
      <c r="S652">
        <v>0</v>
      </c>
      <c r="T652" t="s">
        <v>67</v>
      </c>
      <c r="U652" t="s">
        <v>67</v>
      </c>
      <c r="W652" t="str">
        <f t="shared" si="100"/>
        <v>400905</v>
      </c>
      <c r="X652" t="s">
        <v>41</v>
      </c>
      <c r="AD652" s="2">
        <v>46244.894537037035</v>
      </c>
    </row>
    <row r="653" spans="1:30" x14ac:dyDescent="0.35">
      <c r="A653" t="s">
        <v>30</v>
      </c>
      <c r="B653" t="s">
        <v>31</v>
      </c>
      <c r="C653" t="s">
        <v>1373</v>
      </c>
      <c r="D653" t="s">
        <v>33</v>
      </c>
      <c r="E653" t="str">
        <f t="shared" si="99"/>
        <v>400905</v>
      </c>
      <c r="F653" t="s">
        <v>1362</v>
      </c>
      <c r="G653">
        <v>42</v>
      </c>
      <c r="H653">
        <v>0</v>
      </c>
      <c r="I653" t="s">
        <v>1374</v>
      </c>
      <c r="J653" t="str">
        <f>"400003256"</f>
        <v>400003256</v>
      </c>
      <c r="K653" s="1">
        <v>47691</v>
      </c>
      <c r="L653" s="1">
        <v>45866</v>
      </c>
      <c r="M653" s="1">
        <v>44041</v>
      </c>
      <c r="N653" t="str">
        <f t="shared" si="97"/>
        <v>1329002010</v>
      </c>
      <c r="O653">
        <v>42</v>
      </c>
      <c r="P653" s="2">
        <v>46244.620474537034</v>
      </c>
      <c r="Q653" s="2">
        <v>46244.895914351851</v>
      </c>
      <c r="R653" s="2">
        <v>46244.620474537034</v>
      </c>
      <c r="S653">
        <v>0</v>
      </c>
      <c r="T653" t="s">
        <v>67</v>
      </c>
      <c r="U653" t="s">
        <v>67</v>
      </c>
      <c r="W653" t="str">
        <f t="shared" si="100"/>
        <v>400905</v>
      </c>
      <c r="X653" t="s">
        <v>41</v>
      </c>
      <c r="AD653" s="2">
        <v>46244.895914351851</v>
      </c>
    </row>
    <row r="654" spans="1:30" x14ac:dyDescent="0.35">
      <c r="A654" t="s">
        <v>30</v>
      </c>
      <c r="B654" t="s">
        <v>31</v>
      </c>
      <c r="C654" t="s">
        <v>1375</v>
      </c>
      <c r="D654" t="s">
        <v>33</v>
      </c>
      <c r="E654" t="str">
        <f t="shared" si="99"/>
        <v>400905</v>
      </c>
      <c r="F654" t="s">
        <v>1362</v>
      </c>
      <c r="G654">
        <v>42</v>
      </c>
      <c r="H654">
        <v>0</v>
      </c>
      <c r="I654" t="s">
        <v>1376</v>
      </c>
      <c r="J654" t="str">
        <f>"400003251"</f>
        <v>400003251</v>
      </c>
      <c r="K654" s="1">
        <v>48055</v>
      </c>
      <c r="L654" s="1">
        <v>45865</v>
      </c>
      <c r="M654" s="1">
        <v>44405</v>
      </c>
      <c r="N654" t="str">
        <f t="shared" si="97"/>
        <v>1329002010</v>
      </c>
      <c r="O654">
        <v>42</v>
      </c>
      <c r="P654" s="2">
        <v>46244.618854166663</v>
      </c>
      <c r="Q654" s="2">
        <v>46244.897256944445</v>
      </c>
      <c r="R654" s="2">
        <v>46244.618854166663</v>
      </c>
      <c r="S654">
        <v>0</v>
      </c>
      <c r="T654" t="s">
        <v>67</v>
      </c>
      <c r="U654" t="s">
        <v>67</v>
      </c>
      <c r="W654" t="str">
        <f t="shared" si="100"/>
        <v>400905</v>
      </c>
      <c r="X654" t="s">
        <v>41</v>
      </c>
      <c r="AD654" s="2">
        <v>46244.897256944445</v>
      </c>
    </row>
    <row r="655" spans="1:30" x14ac:dyDescent="0.35">
      <c r="A655" t="s">
        <v>30</v>
      </c>
      <c r="B655" t="s">
        <v>31</v>
      </c>
      <c r="C655" t="s">
        <v>1377</v>
      </c>
      <c r="D655" t="s">
        <v>33</v>
      </c>
      <c r="E655" t="str">
        <f t="shared" si="99"/>
        <v>400905</v>
      </c>
      <c r="F655" t="s">
        <v>1362</v>
      </c>
      <c r="G655">
        <v>42</v>
      </c>
      <c r="H655">
        <v>0</v>
      </c>
      <c r="I655" t="s">
        <v>1378</v>
      </c>
      <c r="J655" t="str">
        <f>"400003251"</f>
        <v>400003251</v>
      </c>
      <c r="K655" s="1">
        <v>48055</v>
      </c>
      <c r="L655" s="1">
        <v>46230</v>
      </c>
      <c r="M655" s="1">
        <v>44405</v>
      </c>
      <c r="N655" t="str">
        <f t="shared" si="97"/>
        <v>1329002010</v>
      </c>
      <c r="O655">
        <v>42</v>
      </c>
      <c r="P655" s="2">
        <v>46244.615266203706</v>
      </c>
      <c r="Q655" s="2">
        <v>46244.939756944441</v>
      </c>
      <c r="R655" s="2">
        <v>46244.615266203706</v>
      </c>
      <c r="S655">
        <v>0</v>
      </c>
      <c r="T655" t="s">
        <v>67</v>
      </c>
      <c r="U655" t="s">
        <v>67</v>
      </c>
      <c r="W655" t="str">
        <f t="shared" si="100"/>
        <v>400905</v>
      </c>
      <c r="X655" t="s">
        <v>41</v>
      </c>
      <c r="AD655" s="2">
        <v>46244.939756944441</v>
      </c>
    </row>
    <row r="656" spans="1:30" x14ac:dyDescent="0.35">
      <c r="A656" t="s">
        <v>30</v>
      </c>
      <c r="B656" t="s">
        <v>31</v>
      </c>
      <c r="C656" t="s">
        <v>1379</v>
      </c>
      <c r="D656" t="s">
        <v>33</v>
      </c>
      <c r="E656" t="str">
        <f t="shared" si="99"/>
        <v>400905</v>
      </c>
      <c r="F656" t="s">
        <v>1362</v>
      </c>
      <c r="G656">
        <v>42</v>
      </c>
      <c r="H656">
        <v>0</v>
      </c>
      <c r="I656" t="s">
        <v>1380</v>
      </c>
      <c r="J656" t="str">
        <f>"400003245"</f>
        <v>400003245</v>
      </c>
      <c r="K656" s="1">
        <v>47598</v>
      </c>
      <c r="L656" s="1">
        <v>45864</v>
      </c>
      <c r="M656" s="1">
        <v>44039</v>
      </c>
      <c r="N656" t="str">
        <f t="shared" si="97"/>
        <v>1329002010</v>
      </c>
      <c r="O656">
        <v>42</v>
      </c>
      <c r="P656" s="2">
        <v>46244.616666666669</v>
      </c>
      <c r="Q656" s="2">
        <v>46244.941030092596</v>
      </c>
      <c r="R656" s="2">
        <v>46244.616666666669</v>
      </c>
      <c r="S656">
        <v>0</v>
      </c>
      <c r="T656" t="s">
        <v>67</v>
      </c>
      <c r="U656" t="s">
        <v>67</v>
      </c>
      <c r="W656" t="str">
        <f t="shared" si="100"/>
        <v>400905</v>
      </c>
      <c r="X656" t="s">
        <v>41</v>
      </c>
      <c r="AD656" s="2">
        <v>46244.941030092596</v>
      </c>
    </row>
    <row r="657" spans="1:30" x14ac:dyDescent="0.35">
      <c r="A657" t="s">
        <v>30</v>
      </c>
      <c r="B657" t="s">
        <v>31</v>
      </c>
      <c r="C657" t="s">
        <v>1381</v>
      </c>
      <c r="D657" t="s">
        <v>33</v>
      </c>
      <c r="E657" t="str">
        <f t="shared" si="99"/>
        <v>400905</v>
      </c>
      <c r="F657" t="s">
        <v>1362</v>
      </c>
      <c r="G657">
        <v>42</v>
      </c>
      <c r="H657">
        <v>0</v>
      </c>
      <c r="I657" t="s">
        <v>1382</v>
      </c>
      <c r="J657" t="str">
        <f>"400003245"</f>
        <v>400003245</v>
      </c>
      <c r="K657" s="1">
        <v>47598</v>
      </c>
      <c r="L657" s="1">
        <v>45864</v>
      </c>
      <c r="M657" s="1">
        <v>44039</v>
      </c>
      <c r="N657" t="str">
        <f t="shared" si="97"/>
        <v>1329002010</v>
      </c>
      <c r="O657">
        <v>42</v>
      </c>
      <c r="P657" s="2">
        <v>46244.617199074077</v>
      </c>
      <c r="Q657" s="2">
        <v>46244.941620370373</v>
      </c>
      <c r="R657" s="2">
        <v>46244.617199074077</v>
      </c>
      <c r="S657">
        <v>0</v>
      </c>
      <c r="T657" t="s">
        <v>67</v>
      </c>
      <c r="U657" t="s">
        <v>67</v>
      </c>
      <c r="W657" t="str">
        <f t="shared" si="100"/>
        <v>400905</v>
      </c>
      <c r="X657" t="s">
        <v>41</v>
      </c>
      <c r="AD657" s="2">
        <v>46244.941620370373</v>
      </c>
    </row>
    <row r="658" spans="1:30" x14ac:dyDescent="0.35">
      <c r="A658" t="s">
        <v>30</v>
      </c>
      <c r="B658" t="s">
        <v>31</v>
      </c>
      <c r="C658" t="s">
        <v>1383</v>
      </c>
      <c r="D658" t="s">
        <v>33</v>
      </c>
      <c r="E658" t="str">
        <f t="shared" si="99"/>
        <v>400905</v>
      </c>
      <c r="F658" t="s">
        <v>1362</v>
      </c>
      <c r="G658">
        <v>42</v>
      </c>
      <c r="H658">
        <v>0</v>
      </c>
      <c r="I658" t="s">
        <v>1384</v>
      </c>
      <c r="J658" t="str">
        <f>"400003251"</f>
        <v>400003251</v>
      </c>
      <c r="K658" s="1">
        <v>48055</v>
      </c>
      <c r="L658" s="1">
        <v>45865</v>
      </c>
      <c r="M658" s="1">
        <v>44405</v>
      </c>
      <c r="N658" t="str">
        <f t="shared" si="97"/>
        <v>1329002010</v>
      </c>
      <c r="O658">
        <v>42</v>
      </c>
      <c r="P658" s="2">
        <v>46244.617511574077</v>
      </c>
      <c r="Q658" s="2">
        <v>46244.942025462966</v>
      </c>
      <c r="R658" s="2">
        <v>46244.617511574077</v>
      </c>
      <c r="S658">
        <v>0</v>
      </c>
      <c r="T658" t="s">
        <v>67</v>
      </c>
      <c r="U658" t="s">
        <v>67</v>
      </c>
      <c r="W658" t="str">
        <f t="shared" si="100"/>
        <v>400905</v>
      </c>
      <c r="X658" t="s">
        <v>41</v>
      </c>
      <c r="AD658" s="2">
        <v>46244.942025462966</v>
      </c>
    </row>
    <row r="659" spans="1:30" x14ac:dyDescent="0.35">
      <c r="A659" t="s">
        <v>30</v>
      </c>
      <c r="B659" t="s">
        <v>31</v>
      </c>
      <c r="C659" t="s">
        <v>1385</v>
      </c>
      <c r="D659" t="s">
        <v>33</v>
      </c>
      <c r="E659" t="str">
        <f t="shared" si="99"/>
        <v>400905</v>
      </c>
      <c r="F659" t="s">
        <v>1362</v>
      </c>
      <c r="G659">
        <v>29</v>
      </c>
      <c r="H659">
        <v>0</v>
      </c>
      <c r="I659" t="s">
        <v>1386</v>
      </c>
      <c r="J659" t="str">
        <f>"400003255"</f>
        <v>400003255</v>
      </c>
      <c r="K659" s="1">
        <v>47598</v>
      </c>
      <c r="L659" s="1">
        <v>45865</v>
      </c>
      <c r="M659" s="1">
        <v>44040</v>
      </c>
      <c r="N659" t="str">
        <f t="shared" si="97"/>
        <v>1329002010</v>
      </c>
      <c r="O659">
        <v>29</v>
      </c>
      <c r="P659" s="2">
        <v>46244.618101851855</v>
      </c>
      <c r="Q659" s="2">
        <v>46244.942708333336</v>
      </c>
      <c r="R659" s="2">
        <v>46244.618101851855</v>
      </c>
      <c r="S659">
        <v>0</v>
      </c>
      <c r="T659" t="s">
        <v>67</v>
      </c>
      <c r="U659" t="s">
        <v>67</v>
      </c>
      <c r="W659" t="str">
        <f t="shared" si="100"/>
        <v>400905</v>
      </c>
      <c r="X659" t="s">
        <v>41</v>
      </c>
      <c r="AD659" s="2">
        <v>46244.942708333336</v>
      </c>
    </row>
    <row r="660" spans="1:30" x14ac:dyDescent="0.35">
      <c r="A660" t="s">
        <v>30</v>
      </c>
      <c r="B660" t="s">
        <v>31</v>
      </c>
      <c r="C660" t="s">
        <v>1387</v>
      </c>
      <c r="D660" t="s">
        <v>33</v>
      </c>
      <c r="E660" t="str">
        <f t="shared" si="99"/>
        <v>400905</v>
      </c>
      <c r="F660" t="s">
        <v>1362</v>
      </c>
      <c r="G660">
        <v>42</v>
      </c>
      <c r="H660">
        <v>0</v>
      </c>
      <c r="I660" t="s">
        <v>1388</v>
      </c>
      <c r="J660" t="str">
        <f>"400003245"</f>
        <v>400003245</v>
      </c>
      <c r="K660" s="1">
        <v>47598</v>
      </c>
      <c r="L660" s="1">
        <v>45864</v>
      </c>
      <c r="M660" s="1">
        <v>44039</v>
      </c>
      <c r="N660" t="str">
        <f t="shared" si="97"/>
        <v>1329002010</v>
      </c>
      <c r="O660">
        <v>42</v>
      </c>
      <c r="P660" s="2">
        <v>46244.618356481478</v>
      </c>
      <c r="Q660" s="2">
        <v>46244.943796296298</v>
      </c>
      <c r="R660" s="2">
        <v>46244.618356481478</v>
      </c>
      <c r="S660">
        <v>0</v>
      </c>
      <c r="T660" t="s">
        <v>67</v>
      </c>
      <c r="U660" t="s">
        <v>67</v>
      </c>
      <c r="W660" t="str">
        <f t="shared" si="100"/>
        <v>400905</v>
      </c>
      <c r="X660" t="s">
        <v>41</v>
      </c>
      <c r="AD660" s="2">
        <v>46244.943796296298</v>
      </c>
    </row>
    <row r="661" spans="1:30" x14ac:dyDescent="0.35">
      <c r="A661" t="s">
        <v>30</v>
      </c>
      <c r="B661" t="s">
        <v>31</v>
      </c>
      <c r="C661" t="s">
        <v>1389</v>
      </c>
      <c r="D661" t="s">
        <v>33</v>
      </c>
      <c r="E661" t="str">
        <f t="shared" si="99"/>
        <v>400905</v>
      </c>
      <c r="F661" t="s">
        <v>1362</v>
      </c>
      <c r="G661">
        <v>42</v>
      </c>
      <c r="H661">
        <v>0</v>
      </c>
      <c r="I661" t="s">
        <v>1390</v>
      </c>
      <c r="J661" t="str">
        <f>"400003251"</f>
        <v>400003251</v>
      </c>
      <c r="K661" s="1">
        <v>48055</v>
      </c>
      <c r="L661" s="1">
        <v>45865</v>
      </c>
      <c r="M661" s="1">
        <v>44405</v>
      </c>
      <c r="N661" t="str">
        <f t="shared" si="97"/>
        <v>1329002010</v>
      </c>
      <c r="O661">
        <v>42</v>
      </c>
      <c r="P661" s="2">
        <v>46244.618622685186</v>
      </c>
      <c r="Q661" s="2">
        <v>46244.945763888885</v>
      </c>
      <c r="R661" s="2">
        <v>46244.618622685186</v>
      </c>
      <c r="S661">
        <v>0</v>
      </c>
      <c r="T661" t="s">
        <v>67</v>
      </c>
      <c r="U661" t="s">
        <v>67</v>
      </c>
      <c r="W661" t="str">
        <f t="shared" si="100"/>
        <v>400905</v>
      </c>
      <c r="X661" t="s">
        <v>41</v>
      </c>
      <c r="AD661" s="2">
        <v>46244.945763888885</v>
      </c>
    </row>
    <row r="662" spans="1:30" x14ac:dyDescent="0.35">
      <c r="A662" t="s">
        <v>30</v>
      </c>
      <c r="B662" t="s">
        <v>31</v>
      </c>
      <c r="C662" t="s">
        <v>1391</v>
      </c>
      <c r="D662" t="s">
        <v>33</v>
      </c>
      <c r="E662" t="str">
        <f t="shared" ref="E662:E686" si="101">"400438"</f>
        <v>400438</v>
      </c>
      <c r="F662" t="s">
        <v>1392</v>
      </c>
      <c r="G662">
        <v>30</v>
      </c>
      <c r="H662">
        <v>0</v>
      </c>
      <c r="I662" t="s">
        <v>1393</v>
      </c>
      <c r="J662" t="str">
        <f t="shared" ref="J662:J686" si="102">"100005342"</f>
        <v>100005342</v>
      </c>
      <c r="K662" s="1">
        <v>45434</v>
      </c>
      <c r="L662" s="1">
        <v>45434</v>
      </c>
      <c r="M662" s="1">
        <v>43609</v>
      </c>
      <c r="N662" t="str">
        <f t="shared" ref="N662:N686" si="103">"1329002009"</f>
        <v>1329002009</v>
      </c>
      <c r="O662">
        <v>30</v>
      </c>
      <c r="P662" s="2">
        <v>46244.453518518516</v>
      </c>
      <c r="Q662" s="2">
        <v>46244.946909722225</v>
      </c>
      <c r="R662" s="2">
        <v>46244.453518518516</v>
      </c>
      <c r="S662">
        <v>0</v>
      </c>
      <c r="T662" t="s">
        <v>67</v>
      </c>
      <c r="U662" t="s">
        <v>67</v>
      </c>
      <c r="W662" t="str">
        <f t="shared" ref="W662:W686" si="104">"400438"</f>
        <v>400438</v>
      </c>
      <c r="X662" t="s">
        <v>37</v>
      </c>
      <c r="AD662" s="2">
        <v>46244.946909722225</v>
      </c>
    </row>
    <row r="663" spans="1:30" x14ac:dyDescent="0.35">
      <c r="A663" t="s">
        <v>30</v>
      </c>
      <c r="B663" t="s">
        <v>31</v>
      </c>
      <c r="C663" t="s">
        <v>1394</v>
      </c>
      <c r="D663" t="s">
        <v>33</v>
      </c>
      <c r="E663" t="str">
        <f t="shared" si="101"/>
        <v>400438</v>
      </c>
      <c r="F663" t="s">
        <v>1392</v>
      </c>
      <c r="G663">
        <v>30</v>
      </c>
      <c r="H663">
        <v>0</v>
      </c>
      <c r="I663" t="s">
        <v>1395</v>
      </c>
      <c r="J663" t="str">
        <f t="shared" si="102"/>
        <v>100005342</v>
      </c>
      <c r="K663" s="1">
        <v>45434</v>
      </c>
      <c r="L663" s="1">
        <v>45434</v>
      </c>
      <c r="M663" s="1">
        <v>43609</v>
      </c>
      <c r="N663" t="str">
        <f t="shared" si="103"/>
        <v>1329002009</v>
      </c>
      <c r="O663">
        <v>30</v>
      </c>
      <c r="P663" s="2">
        <v>46244.453692129631</v>
      </c>
      <c r="Q663" s="2">
        <v>46244.947777777779</v>
      </c>
      <c r="R663" s="2">
        <v>46244.453692129631</v>
      </c>
      <c r="S663">
        <v>0</v>
      </c>
      <c r="T663" t="s">
        <v>67</v>
      </c>
      <c r="U663" t="s">
        <v>67</v>
      </c>
      <c r="W663" t="str">
        <f t="shared" si="104"/>
        <v>400438</v>
      </c>
      <c r="X663" t="s">
        <v>37</v>
      </c>
      <c r="AD663" s="2">
        <v>46244.947777777779</v>
      </c>
    </row>
    <row r="664" spans="1:30" x14ac:dyDescent="0.35">
      <c r="A664" t="s">
        <v>30</v>
      </c>
      <c r="B664" t="s">
        <v>31</v>
      </c>
      <c r="C664" t="s">
        <v>1396</v>
      </c>
      <c r="D664" t="s">
        <v>33</v>
      </c>
      <c r="E664" t="str">
        <f t="shared" si="101"/>
        <v>400438</v>
      </c>
      <c r="F664" t="s">
        <v>1392</v>
      </c>
      <c r="G664">
        <v>30</v>
      </c>
      <c r="H664">
        <v>0</v>
      </c>
      <c r="I664" t="s">
        <v>1397</v>
      </c>
      <c r="J664" t="str">
        <f t="shared" si="102"/>
        <v>100005342</v>
      </c>
      <c r="K664" s="1">
        <v>45434</v>
      </c>
      <c r="L664" s="1">
        <v>45434</v>
      </c>
      <c r="M664" s="1">
        <v>43609</v>
      </c>
      <c r="N664" t="str">
        <f t="shared" si="103"/>
        <v>1329002009</v>
      </c>
      <c r="O664">
        <v>30</v>
      </c>
      <c r="P664" s="2">
        <v>46244.453865740739</v>
      </c>
      <c r="Q664" s="2">
        <v>46244.948530092595</v>
      </c>
      <c r="R664" s="2">
        <v>46244.453865740739</v>
      </c>
      <c r="S664">
        <v>0</v>
      </c>
      <c r="T664" t="s">
        <v>67</v>
      </c>
      <c r="U664" t="s">
        <v>67</v>
      </c>
      <c r="W664" t="str">
        <f t="shared" si="104"/>
        <v>400438</v>
      </c>
      <c r="X664" t="s">
        <v>37</v>
      </c>
      <c r="AD664" s="2">
        <v>46244.948530092595</v>
      </c>
    </row>
    <row r="665" spans="1:30" x14ac:dyDescent="0.35">
      <c r="A665" t="s">
        <v>30</v>
      </c>
      <c r="B665" t="s">
        <v>31</v>
      </c>
      <c r="C665" t="s">
        <v>1398</v>
      </c>
      <c r="D665" t="s">
        <v>33</v>
      </c>
      <c r="E665" t="str">
        <f t="shared" si="101"/>
        <v>400438</v>
      </c>
      <c r="F665" t="s">
        <v>1392</v>
      </c>
      <c r="G665">
        <v>30</v>
      </c>
      <c r="H665">
        <v>0</v>
      </c>
      <c r="I665" t="s">
        <v>1399</v>
      </c>
      <c r="J665" t="str">
        <f t="shared" si="102"/>
        <v>100005342</v>
      </c>
      <c r="K665" s="1">
        <v>45434</v>
      </c>
      <c r="L665" s="1">
        <v>45434</v>
      </c>
      <c r="M665" s="1">
        <v>43609</v>
      </c>
      <c r="N665" t="str">
        <f t="shared" si="103"/>
        <v>1329002009</v>
      </c>
      <c r="O665">
        <v>30</v>
      </c>
      <c r="P665" s="2">
        <v>46244.454074074078</v>
      </c>
      <c r="Q665" s="2">
        <v>46244.949791666666</v>
      </c>
      <c r="R665" s="2">
        <v>46244.454074074078</v>
      </c>
      <c r="S665">
        <v>0</v>
      </c>
      <c r="T665" t="s">
        <v>67</v>
      </c>
      <c r="U665" t="s">
        <v>67</v>
      </c>
      <c r="W665" t="str">
        <f t="shared" si="104"/>
        <v>400438</v>
      </c>
      <c r="X665" t="s">
        <v>37</v>
      </c>
      <c r="AD665" s="2">
        <v>46244.949791666666</v>
      </c>
    </row>
    <row r="666" spans="1:30" x14ac:dyDescent="0.35">
      <c r="A666" t="s">
        <v>30</v>
      </c>
      <c r="B666" t="s">
        <v>31</v>
      </c>
      <c r="C666" t="s">
        <v>1400</v>
      </c>
      <c r="D666" t="s">
        <v>33</v>
      </c>
      <c r="E666" t="str">
        <f t="shared" si="101"/>
        <v>400438</v>
      </c>
      <c r="F666" t="s">
        <v>1392</v>
      </c>
      <c r="G666">
        <v>30</v>
      </c>
      <c r="H666">
        <v>0</v>
      </c>
      <c r="I666" t="s">
        <v>1401</v>
      </c>
      <c r="J666" t="str">
        <f t="shared" si="102"/>
        <v>100005342</v>
      </c>
      <c r="K666" s="1">
        <v>45434</v>
      </c>
      <c r="L666" s="1">
        <v>45434</v>
      </c>
      <c r="M666" s="1">
        <v>43609</v>
      </c>
      <c r="N666" t="str">
        <f t="shared" si="103"/>
        <v>1329002009</v>
      </c>
      <c r="O666">
        <v>30</v>
      </c>
      <c r="P666" s="2">
        <v>46244.454328703701</v>
      </c>
      <c r="Q666" s="2">
        <v>46244.950474537036</v>
      </c>
      <c r="R666" s="2">
        <v>46244.454328703701</v>
      </c>
      <c r="S666">
        <v>0</v>
      </c>
      <c r="T666" t="s">
        <v>67</v>
      </c>
      <c r="U666" t="s">
        <v>67</v>
      </c>
      <c r="W666" t="str">
        <f t="shared" si="104"/>
        <v>400438</v>
      </c>
      <c r="X666" t="s">
        <v>37</v>
      </c>
      <c r="AD666" s="2">
        <v>46244.950474537036</v>
      </c>
    </row>
    <row r="667" spans="1:30" x14ac:dyDescent="0.35">
      <c r="A667" t="s">
        <v>30</v>
      </c>
      <c r="B667" t="s">
        <v>31</v>
      </c>
      <c r="C667" t="s">
        <v>1402</v>
      </c>
      <c r="D667" t="s">
        <v>33</v>
      </c>
      <c r="E667" t="str">
        <f t="shared" si="101"/>
        <v>400438</v>
      </c>
      <c r="F667" t="s">
        <v>1392</v>
      </c>
      <c r="G667">
        <v>30</v>
      </c>
      <c r="H667">
        <v>0</v>
      </c>
      <c r="I667" t="s">
        <v>1403</v>
      </c>
      <c r="J667" t="str">
        <f t="shared" si="102"/>
        <v>100005342</v>
      </c>
      <c r="K667" s="1">
        <v>45434</v>
      </c>
      <c r="L667" s="1">
        <v>45434</v>
      </c>
      <c r="M667" s="1">
        <v>43609</v>
      </c>
      <c r="N667" t="str">
        <f t="shared" si="103"/>
        <v>1329002009</v>
      </c>
      <c r="O667">
        <v>30</v>
      </c>
      <c r="P667" s="2">
        <v>46244.454513888886</v>
      </c>
      <c r="Q667" s="2">
        <v>46244.952418981484</v>
      </c>
      <c r="R667" s="2">
        <v>46244.454513888886</v>
      </c>
      <c r="S667">
        <v>0</v>
      </c>
      <c r="T667" t="s">
        <v>67</v>
      </c>
      <c r="U667" t="s">
        <v>67</v>
      </c>
      <c r="W667" t="str">
        <f t="shared" si="104"/>
        <v>400438</v>
      </c>
      <c r="X667" t="s">
        <v>37</v>
      </c>
      <c r="AD667" s="2">
        <v>46244.952418981484</v>
      </c>
    </row>
    <row r="668" spans="1:30" x14ac:dyDescent="0.35">
      <c r="A668" t="s">
        <v>30</v>
      </c>
      <c r="B668" t="s">
        <v>31</v>
      </c>
      <c r="C668" t="s">
        <v>1404</v>
      </c>
      <c r="D668" t="s">
        <v>33</v>
      </c>
      <c r="E668" t="str">
        <f t="shared" si="101"/>
        <v>400438</v>
      </c>
      <c r="F668" t="s">
        <v>1392</v>
      </c>
      <c r="G668">
        <v>30</v>
      </c>
      <c r="H668">
        <v>0</v>
      </c>
      <c r="I668" t="s">
        <v>1405</v>
      </c>
      <c r="J668" t="str">
        <f t="shared" si="102"/>
        <v>100005342</v>
      </c>
      <c r="K668" s="1">
        <v>45434</v>
      </c>
      <c r="L668" s="1">
        <v>45434</v>
      </c>
      <c r="M668" s="1">
        <v>43609</v>
      </c>
      <c r="N668" t="str">
        <f t="shared" si="103"/>
        <v>1329002009</v>
      </c>
      <c r="O668">
        <v>30</v>
      </c>
      <c r="P668" s="2">
        <v>46244.450810185182</v>
      </c>
      <c r="Q668" s="2">
        <v>46244.953321759262</v>
      </c>
      <c r="R668" s="2">
        <v>46244.450810185182</v>
      </c>
      <c r="S668">
        <v>0</v>
      </c>
      <c r="T668" t="s">
        <v>67</v>
      </c>
      <c r="U668" t="s">
        <v>67</v>
      </c>
      <c r="W668" t="str">
        <f t="shared" si="104"/>
        <v>400438</v>
      </c>
      <c r="X668" t="s">
        <v>37</v>
      </c>
      <c r="AD668" s="2">
        <v>46244.953321759262</v>
      </c>
    </row>
    <row r="669" spans="1:30" x14ac:dyDescent="0.35">
      <c r="A669" t="s">
        <v>30</v>
      </c>
      <c r="B669" t="s">
        <v>31</v>
      </c>
      <c r="C669" t="s">
        <v>1406</v>
      </c>
      <c r="D669" t="s">
        <v>33</v>
      </c>
      <c r="E669" t="str">
        <f t="shared" si="101"/>
        <v>400438</v>
      </c>
      <c r="F669" t="s">
        <v>1392</v>
      </c>
      <c r="G669">
        <v>30</v>
      </c>
      <c r="H669">
        <v>0</v>
      </c>
      <c r="I669" t="s">
        <v>1407</v>
      </c>
      <c r="J669" t="str">
        <f t="shared" si="102"/>
        <v>100005342</v>
      </c>
      <c r="K669" s="1">
        <v>45434</v>
      </c>
      <c r="L669" s="1">
        <v>45434</v>
      </c>
      <c r="M669" s="1">
        <v>43609</v>
      </c>
      <c r="N669" t="str">
        <f t="shared" si="103"/>
        <v>1329002009</v>
      </c>
      <c r="O669">
        <v>30</v>
      </c>
      <c r="P669" s="2">
        <v>46244.453275462962</v>
      </c>
      <c r="Q669" s="2">
        <v>46244.954189814816</v>
      </c>
      <c r="R669" s="2">
        <v>46244.453275462962</v>
      </c>
      <c r="S669">
        <v>0</v>
      </c>
      <c r="T669" t="s">
        <v>67</v>
      </c>
      <c r="U669" t="s">
        <v>67</v>
      </c>
      <c r="W669" t="str">
        <f t="shared" si="104"/>
        <v>400438</v>
      </c>
      <c r="X669" t="s">
        <v>37</v>
      </c>
      <c r="AD669" s="2">
        <v>46244.954189814816</v>
      </c>
    </row>
    <row r="670" spans="1:30" x14ac:dyDescent="0.35">
      <c r="A670" t="s">
        <v>30</v>
      </c>
      <c r="B670" t="s">
        <v>31</v>
      </c>
      <c r="C670" t="s">
        <v>1408</v>
      </c>
      <c r="D670" t="s">
        <v>33</v>
      </c>
      <c r="E670" t="str">
        <f t="shared" si="101"/>
        <v>400438</v>
      </c>
      <c r="F670" t="s">
        <v>1392</v>
      </c>
      <c r="G670">
        <v>30</v>
      </c>
      <c r="H670">
        <v>0</v>
      </c>
      <c r="I670" t="s">
        <v>1409</v>
      </c>
      <c r="J670" t="str">
        <f t="shared" si="102"/>
        <v>100005342</v>
      </c>
      <c r="K670" s="1">
        <v>45434</v>
      </c>
      <c r="L670" s="1">
        <v>45434</v>
      </c>
      <c r="M670" s="1">
        <v>43609</v>
      </c>
      <c r="N670" t="str">
        <f t="shared" si="103"/>
        <v>1329002009</v>
      </c>
      <c r="O670">
        <v>30</v>
      </c>
      <c r="P670" s="2">
        <v>46244.451006944444</v>
      </c>
      <c r="Q670" s="2">
        <v>46244.956203703703</v>
      </c>
      <c r="R670" s="2">
        <v>46244.451006944444</v>
      </c>
      <c r="S670">
        <v>0</v>
      </c>
      <c r="T670" t="s">
        <v>67</v>
      </c>
      <c r="U670" t="s">
        <v>67</v>
      </c>
      <c r="W670" t="str">
        <f t="shared" si="104"/>
        <v>400438</v>
      </c>
      <c r="X670" t="s">
        <v>37</v>
      </c>
      <c r="AD670" s="2">
        <v>46244.956203703703</v>
      </c>
    </row>
    <row r="671" spans="1:30" x14ac:dyDescent="0.35">
      <c r="A671" t="s">
        <v>30</v>
      </c>
      <c r="B671" t="s">
        <v>31</v>
      </c>
      <c r="C671" t="s">
        <v>1410</v>
      </c>
      <c r="D671" t="s">
        <v>33</v>
      </c>
      <c r="E671" t="str">
        <f t="shared" si="101"/>
        <v>400438</v>
      </c>
      <c r="F671" t="s">
        <v>1392</v>
      </c>
      <c r="G671">
        <v>30</v>
      </c>
      <c r="H671">
        <v>0</v>
      </c>
      <c r="I671" t="s">
        <v>1411</v>
      </c>
      <c r="J671" t="str">
        <f t="shared" si="102"/>
        <v>100005342</v>
      </c>
      <c r="K671" s="1">
        <v>45434</v>
      </c>
      <c r="L671" s="1">
        <v>45434</v>
      </c>
      <c r="M671" s="1">
        <v>43609</v>
      </c>
      <c r="N671" t="str">
        <f t="shared" si="103"/>
        <v>1329002009</v>
      </c>
      <c r="O671">
        <v>30</v>
      </c>
      <c r="P671" s="2">
        <v>46244.451192129629</v>
      </c>
      <c r="Q671" s="2">
        <v>46244.95722222222</v>
      </c>
      <c r="R671" s="2">
        <v>46244.451192129629</v>
      </c>
      <c r="S671">
        <v>0</v>
      </c>
      <c r="T671" t="s">
        <v>67</v>
      </c>
      <c r="U671" t="s">
        <v>67</v>
      </c>
      <c r="W671" t="str">
        <f t="shared" si="104"/>
        <v>400438</v>
      </c>
      <c r="X671" t="s">
        <v>37</v>
      </c>
      <c r="AD671" s="2">
        <v>46244.95722222222</v>
      </c>
    </row>
    <row r="672" spans="1:30" x14ac:dyDescent="0.35">
      <c r="A672" t="s">
        <v>30</v>
      </c>
      <c r="B672" t="s">
        <v>31</v>
      </c>
      <c r="C672" t="s">
        <v>1412</v>
      </c>
      <c r="D672" t="s">
        <v>33</v>
      </c>
      <c r="E672" t="str">
        <f t="shared" si="101"/>
        <v>400438</v>
      </c>
      <c r="F672" t="s">
        <v>1392</v>
      </c>
      <c r="G672">
        <v>30</v>
      </c>
      <c r="H672">
        <v>0</v>
      </c>
      <c r="I672" t="s">
        <v>1413</v>
      </c>
      <c r="J672" t="str">
        <f t="shared" si="102"/>
        <v>100005342</v>
      </c>
      <c r="K672" s="1">
        <v>45434</v>
      </c>
      <c r="L672" s="1">
        <v>45434</v>
      </c>
      <c r="M672" s="1">
        <v>43609</v>
      </c>
      <c r="N672" t="str">
        <f t="shared" si="103"/>
        <v>1329002009</v>
      </c>
      <c r="O672">
        <v>30</v>
      </c>
      <c r="P672" s="2">
        <v>46244.451388888891</v>
      </c>
      <c r="Q672" s="2">
        <v>46244.958171296297</v>
      </c>
      <c r="R672" s="2">
        <v>46244.451388888891</v>
      </c>
      <c r="S672">
        <v>0</v>
      </c>
      <c r="T672" t="s">
        <v>67</v>
      </c>
      <c r="U672" t="s">
        <v>67</v>
      </c>
      <c r="W672" t="str">
        <f t="shared" si="104"/>
        <v>400438</v>
      </c>
      <c r="X672" t="s">
        <v>37</v>
      </c>
      <c r="AD672" s="2">
        <v>46244.958171296297</v>
      </c>
    </row>
    <row r="673" spans="1:30" x14ac:dyDescent="0.35">
      <c r="A673" t="s">
        <v>30</v>
      </c>
      <c r="B673" t="s">
        <v>31</v>
      </c>
      <c r="C673" t="s">
        <v>1414</v>
      </c>
      <c r="D673" t="s">
        <v>33</v>
      </c>
      <c r="E673" t="str">
        <f t="shared" si="101"/>
        <v>400438</v>
      </c>
      <c r="F673" t="s">
        <v>1392</v>
      </c>
      <c r="G673">
        <v>30</v>
      </c>
      <c r="H673">
        <v>0</v>
      </c>
      <c r="I673" t="s">
        <v>1415</v>
      </c>
      <c r="J673" t="str">
        <f t="shared" si="102"/>
        <v>100005342</v>
      </c>
      <c r="K673" s="1">
        <v>45434</v>
      </c>
      <c r="L673" s="1">
        <v>45434</v>
      </c>
      <c r="M673" s="1">
        <v>43609</v>
      </c>
      <c r="N673" t="str">
        <f t="shared" si="103"/>
        <v>1329002009</v>
      </c>
      <c r="O673">
        <v>30</v>
      </c>
      <c r="P673" s="2">
        <v>46244.452893518515</v>
      </c>
      <c r="Q673" s="2">
        <v>46244.959374999999</v>
      </c>
      <c r="R673" s="2">
        <v>46244.452893518515</v>
      </c>
      <c r="S673">
        <v>0</v>
      </c>
      <c r="T673" t="s">
        <v>67</v>
      </c>
      <c r="U673" t="s">
        <v>67</v>
      </c>
      <c r="W673" t="str">
        <f t="shared" si="104"/>
        <v>400438</v>
      </c>
      <c r="X673" t="s">
        <v>37</v>
      </c>
      <c r="AD673" s="2">
        <v>46244.959374999999</v>
      </c>
    </row>
    <row r="674" spans="1:30" x14ac:dyDescent="0.35">
      <c r="A674" t="s">
        <v>30</v>
      </c>
      <c r="B674" t="s">
        <v>31</v>
      </c>
      <c r="C674" t="s">
        <v>1416</v>
      </c>
      <c r="D674" t="s">
        <v>33</v>
      </c>
      <c r="E674" t="str">
        <f t="shared" si="101"/>
        <v>400438</v>
      </c>
      <c r="F674" t="s">
        <v>1392</v>
      </c>
      <c r="G674">
        <v>30</v>
      </c>
      <c r="H674">
        <v>0</v>
      </c>
      <c r="I674" t="s">
        <v>1417</v>
      </c>
      <c r="J674" t="str">
        <f t="shared" si="102"/>
        <v>100005342</v>
      </c>
      <c r="K674" s="1">
        <v>45434</v>
      </c>
      <c r="L674" s="1">
        <v>45434</v>
      </c>
      <c r="M674" s="1">
        <v>43609</v>
      </c>
      <c r="N674" t="str">
        <f t="shared" si="103"/>
        <v>1329002009</v>
      </c>
      <c r="O674">
        <v>30</v>
      </c>
      <c r="P674" s="2">
        <v>46244.452662037038</v>
      </c>
      <c r="Q674" s="2">
        <v>46244.960706018515</v>
      </c>
      <c r="R674" s="2">
        <v>46244.452662037038</v>
      </c>
      <c r="S674">
        <v>0</v>
      </c>
      <c r="T674" t="s">
        <v>67</v>
      </c>
      <c r="U674" t="s">
        <v>67</v>
      </c>
      <c r="W674" t="str">
        <f t="shared" si="104"/>
        <v>400438</v>
      </c>
      <c r="X674" t="s">
        <v>37</v>
      </c>
      <c r="AD674" s="2">
        <v>46244.960706018515</v>
      </c>
    </row>
    <row r="675" spans="1:30" x14ac:dyDescent="0.35">
      <c r="A675" t="s">
        <v>30</v>
      </c>
      <c r="B675" t="s">
        <v>31</v>
      </c>
      <c r="C675" t="s">
        <v>1418</v>
      </c>
      <c r="D675" t="s">
        <v>33</v>
      </c>
      <c r="E675" t="str">
        <f t="shared" si="101"/>
        <v>400438</v>
      </c>
      <c r="F675" t="s">
        <v>1392</v>
      </c>
      <c r="G675">
        <v>30</v>
      </c>
      <c r="H675">
        <v>0</v>
      </c>
      <c r="I675" t="s">
        <v>1419</v>
      </c>
      <c r="J675" t="str">
        <f t="shared" si="102"/>
        <v>100005342</v>
      </c>
      <c r="K675" s="1">
        <v>45434</v>
      </c>
      <c r="L675" s="1">
        <v>45434</v>
      </c>
      <c r="M675" s="1">
        <v>43609</v>
      </c>
      <c r="N675" t="str">
        <f t="shared" si="103"/>
        <v>1329002009</v>
      </c>
      <c r="O675">
        <v>30</v>
      </c>
      <c r="P675" s="2">
        <v>46244.452418981484</v>
      </c>
      <c r="Q675" s="2">
        <v>46244.961712962962</v>
      </c>
      <c r="R675" s="2">
        <v>46244.452418981484</v>
      </c>
      <c r="S675">
        <v>0</v>
      </c>
      <c r="T675" t="s">
        <v>67</v>
      </c>
      <c r="U675" t="s">
        <v>67</v>
      </c>
      <c r="W675" t="str">
        <f t="shared" si="104"/>
        <v>400438</v>
      </c>
      <c r="X675" t="s">
        <v>37</v>
      </c>
      <c r="AD675" s="2">
        <v>46244.961712962962</v>
      </c>
    </row>
    <row r="676" spans="1:30" x14ac:dyDescent="0.35">
      <c r="A676" t="s">
        <v>30</v>
      </c>
      <c r="B676" t="s">
        <v>31</v>
      </c>
      <c r="C676" t="s">
        <v>1420</v>
      </c>
      <c r="D676" t="s">
        <v>33</v>
      </c>
      <c r="E676" t="str">
        <f t="shared" si="101"/>
        <v>400438</v>
      </c>
      <c r="F676" t="s">
        <v>1392</v>
      </c>
      <c r="G676">
        <v>30</v>
      </c>
      <c r="H676">
        <v>0</v>
      </c>
      <c r="I676" t="s">
        <v>1421</v>
      </c>
      <c r="J676" t="str">
        <f t="shared" si="102"/>
        <v>100005342</v>
      </c>
      <c r="K676" s="1">
        <v>45434</v>
      </c>
      <c r="L676" s="1">
        <v>45434</v>
      </c>
      <c r="M676" s="1">
        <v>43609</v>
      </c>
      <c r="N676" t="str">
        <f t="shared" si="103"/>
        <v>1329002009</v>
      </c>
      <c r="O676">
        <v>30</v>
      </c>
      <c r="P676" s="2">
        <v>46244.452175925922</v>
      </c>
      <c r="Q676" s="2">
        <v>46244.962638888886</v>
      </c>
      <c r="R676" s="2">
        <v>46244.452175925922</v>
      </c>
      <c r="S676">
        <v>0</v>
      </c>
      <c r="T676" t="s">
        <v>67</v>
      </c>
      <c r="U676" t="s">
        <v>67</v>
      </c>
      <c r="W676" t="str">
        <f t="shared" si="104"/>
        <v>400438</v>
      </c>
      <c r="X676" t="s">
        <v>37</v>
      </c>
      <c r="AD676" s="2">
        <v>46244.962638888886</v>
      </c>
    </row>
    <row r="677" spans="1:30" x14ac:dyDescent="0.35">
      <c r="A677" t="s">
        <v>30</v>
      </c>
      <c r="B677" t="s">
        <v>31</v>
      </c>
      <c r="C677" t="s">
        <v>1422</v>
      </c>
      <c r="D677" t="s">
        <v>33</v>
      </c>
      <c r="E677" t="str">
        <f t="shared" si="101"/>
        <v>400438</v>
      </c>
      <c r="F677" t="s">
        <v>1392</v>
      </c>
      <c r="G677">
        <v>30</v>
      </c>
      <c r="H677">
        <v>0</v>
      </c>
      <c r="I677" t="s">
        <v>1423</v>
      </c>
      <c r="J677" t="str">
        <f t="shared" si="102"/>
        <v>100005342</v>
      </c>
      <c r="K677" s="1">
        <v>45434</v>
      </c>
      <c r="L677" s="1">
        <v>45434</v>
      </c>
      <c r="M677" s="1">
        <v>43609</v>
      </c>
      <c r="N677" t="str">
        <f t="shared" si="103"/>
        <v>1329002009</v>
      </c>
      <c r="O677">
        <v>30</v>
      </c>
      <c r="P677" s="2">
        <v>46244.451956018522</v>
      </c>
      <c r="Q677" s="2">
        <v>46244.963969907411</v>
      </c>
      <c r="R677" s="2">
        <v>46244.451956018522</v>
      </c>
      <c r="S677">
        <v>0</v>
      </c>
      <c r="T677" t="s">
        <v>67</v>
      </c>
      <c r="U677" t="s">
        <v>67</v>
      </c>
      <c r="W677" t="str">
        <f t="shared" si="104"/>
        <v>400438</v>
      </c>
      <c r="X677" t="s">
        <v>37</v>
      </c>
      <c r="AD677" s="2">
        <v>46244.963969907411</v>
      </c>
    </row>
    <row r="678" spans="1:30" x14ac:dyDescent="0.35">
      <c r="A678" t="s">
        <v>30</v>
      </c>
      <c r="B678" t="s">
        <v>31</v>
      </c>
      <c r="C678" t="s">
        <v>1424</v>
      </c>
      <c r="D678" t="s">
        <v>33</v>
      </c>
      <c r="E678" t="str">
        <f t="shared" si="101"/>
        <v>400438</v>
      </c>
      <c r="F678" t="s">
        <v>1392</v>
      </c>
      <c r="G678">
        <v>30</v>
      </c>
      <c r="H678">
        <v>0</v>
      </c>
      <c r="I678" t="s">
        <v>1425</v>
      </c>
      <c r="J678" t="str">
        <f t="shared" si="102"/>
        <v>100005342</v>
      </c>
      <c r="K678" s="1">
        <v>45434</v>
      </c>
      <c r="L678" s="1">
        <v>45434</v>
      </c>
      <c r="M678" s="1">
        <v>43609</v>
      </c>
      <c r="N678" t="str">
        <f t="shared" si="103"/>
        <v>1329002009</v>
      </c>
      <c r="O678">
        <v>30</v>
      </c>
      <c r="P678" s="2">
        <v>46244.451666666668</v>
      </c>
      <c r="Q678" s="2">
        <v>46244.965115740742</v>
      </c>
      <c r="R678" s="2">
        <v>46244.451666666668</v>
      </c>
      <c r="S678">
        <v>0</v>
      </c>
      <c r="T678" t="s">
        <v>67</v>
      </c>
      <c r="U678" t="s">
        <v>67</v>
      </c>
      <c r="W678" t="str">
        <f t="shared" si="104"/>
        <v>400438</v>
      </c>
      <c r="X678" t="s">
        <v>37</v>
      </c>
      <c r="AD678" s="2">
        <v>46244.965115740742</v>
      </c>
    </row>
    <row r="679" spans="1:30" x14ac:dyDescent="0.35">
      <c r="A679" t="s">
        <v>30</v>
      </c>
      <c r="B679" t="s">
        <v>31</v>
      </c>
      <c r="C679" t="s">
        <v>1426</v>
      </c>
      <c r="D679" t="s">
        <v>33</v>
      </c>
      <c r="E679" t="str">
        <f t="shared" si="101"/>
        <v>400438</v>
      </c>
      <c r="F679" t="s">
        <v>1392</v>
      </c>
      <c r="G679">
        <v>30</v>
      </c>
      <c r="H679">
        <v>0</v>
      </c>
      <c r="I679" t="s">
        <v>1427</v>
      </c>
      <c r="J679" t="str">
        <f t="shared" si="102"/>
        <v>100005342</v>
      </c>
      <c r="K679" s="1">
        <v>45434</v>
      </c>
      <c r="L679" s="1">
        <v>45434</v>
      </c>
      <c r="M679" s="1">
        <v>43609</v>
      </c>
      <c r="N679" t="str">
        <f t="shared" si="103"/>
        <v>1329002009</v>
      </c>
      <c r="O679">
        <v>30</v>
      </c>
      <c r="P679" s="2">
        <v>46244.448576388888</v>
      </c>
      <c r="Q679" s="2">
        <v>46244.966261574074</v>
      </c>
      <c r="R679" s="2">
        <v>46244.448576388888</v>
      </c>
      <c r="S679">
        <v>0</v>
      </c>
      <c r="T679" t="s">
        <v>67</v>
      </c>
      <c r="U679" t="s">
        <v>67</v>
      </c>
      <c r="W679" t="str">
        <f t="shared" si="104"/>
        <v>400438</v>
      </c>
      <c r="X679" t="s">
        <v>37</v>
      </c>
      <c r="AD679" s="2">
        <v>46244.966261574074</v>
      </c>
    </row>
    <row r="680" spans="1:30" x14ac:dyDescent="0.35">
      <c r="A680" t="s">
        <v>30</v>
      </c>
      <c r="B680" t="s">
        <v>31</v>
      </c>
      <c r="C680" t="s">
        <v>1428</v>
      </c>
      <c r="D680" t="s">
        <v>33</v>
      </c>
      <c r="E680" t="str">
        <f t="shared" si="101"/>
        <v>400438</v>
      </c>
      <c r="F680" t="s">
        <v>1392</v>
      </c>
      <c r="G680">
        <v>30</v>
      </c>
      <c r="H680">
        <v>0</v>
      </c>
      <c r="I680" t="s">
        <v>1429</v>
      </c>
      <c r="J680" t="str">
        <f t="shared" si="102"/>
        <v>100005342</v>
      </c>
      <c r="K680" s="1">
        <v>45434</v>
      </c>
      <c r="L680" s="1">
        <v>45434</v>
      </c>
      <c r="M680" s="1">
        <v>43609</v>
      </c>
      <c r="N680" t="str">
        <f t="shared" si="103"/>
        <v>1329002009</v>
      </c>
      <c r="O680">
        <v>30</v>
      </c>
      <c r="P680" s="2">
        <v>46244.450578703705</v>
      </c>
      <c r="Q680" s="2">
        <v>46244.967060185183</v>
      </c>
      <c r="R680" s="2">
        <v>46244.450578703705</v>
      </c>
      <c r="S680">
        <v>0</v>
      </c>
      <c r="T680" t="s">
        <v>67</v>
      </c>
      <c r="U680" t="s">
        <v>67</v>
      </c>
      <c r="W680" t="str">
        <f t="shared" si="104"/>
        <v>400438</v>
      </c>
      <c r="X680" t="s">
        <v>37</v>
      </c>
      <c r="AD680" s="2">
        <v>46244.967060185183</v>
      </c>
    </row>
    <row r="681" spans="1:30" x14ac:dyDescent="0.35">
      <c r="A681" t="s">
        <v>30</v>
      </c>
      <c r="B681" t="s">
        <v>31</v>
      </c>
      <c r="C681" t="s">
        <v>1430</v>
      </c>
      <c r="D681" t="s">
        <v>33</v>
      </c>
      <c r="E681" t="str">
        <f t="shared" si="101"/>
        <v>400438</v>
      </c>
      <c r="F681" t="s">
        <v>1392</v>
      </c>
      <c r="G681">
        <v>30</v>
      </c>
      <c r="H681">
        <v>0</v>
      </c>
      <c r="I681" t="s">
        <v>1431</v>
      </c>
      <c r="J681" t="str">
        <f t="shared" si="102"/>
        <v>100005342</v>
      </c>
      <c r="K681" s="1">
        <v>45434</v>
      </c>
      <c r="L681" s="1">
        <v>45434</v>
      </c>
      <c r="M681" s="1">
        <v>43609</v>
      </c>
      <c r="N681" t="str">
        <f t="shared" si="103"/>
        <v>1329002009</v>
      </c>
      <c r="O681">
        <v>30</v>
      </c>
      <c r="P681" s="2">
        <v>46244.450312499997</v>
      </c>
      <c r="Q681" s="2">
        <v>46244.967881944445</v>
      </c>
      <c r="R681" s="2">
        <v>46244.450312499997</v>
      </c>
      <c r="S681">
        <v>0</v>
      </c>
      <c r="T681" t="s">
        <v>67</v>
      </c>
      <c r="U681" t="s">
        <v>67</v>
      </c>
      <c r="W681" t="str">
        <f t="shared" si="104"/>
        <v>400438</v>
      </c>
      <c r="X681" t="s">
        <v>37</v>
      </c>
      <c r="AD681" s="2">
        <v>46244.967881944445</v>
      </c>
    </row>
    <row r="682" spans="1:30" x14ac:dyDescent="0.35">
      <c r="A682" t="s">
        <v>30</v>
      </c>
      <c r="B682" t="s">
        <v>31</v>
      </c>
      <c r="C682" t="s">
        <v>1432</v>
      </c>
      <c r="D682" t="s">
        <v>33</v>
      </c>
      <c r="E682" t="str">
        <f t="shared" si="101"/>
        <v>400438</v>
      </c>
      <c r="F682" t="s">
        <v>1392</v>
      </c>
      <c r="G682">
        <v>30</v>
      </c>
      <c r="H682">
        <v>0</v>
      </c>
      <c r="I682" t="s">
        <v>1433</v>
      </c>
      <c r="J682" t="str">
        <f t="shared" si="102"/>
        <v>100005342</v>
      </c>
      <c r="K682" s="1">
        <v>45434</v>
      </c>
      <c r="L682" s="1">
        <v>45434</v>
      </c>
      <c r="M682" s="1">
        <v>43609</v>
      </c>
      <c r="N682" t="str">
        <f t="shared" si="103"/>
        <v>1329002009</v>
      </c>
      <c r="O682">
        <v>30</v>
      </c>
      <c r="P682" s="2">
        <v>46244.449178240742</v>
      </c>
      <c r="Q682" s="2">
        <v>46244.969212962962</v>
      </c>
      <c r="R682" s="2">
        <v>46244.449178240742</v>
      </c>
      <c r="S682">
        <v>0</v>
      </c>
      <c r="T682" t="s">
        <v>67</v>
      </c>
      <c r="U682" t="s">
        <v>67</v>
      </c>
      <c r="W682" t="str">
        <f t="shared" si="104"/>
        <v>400438</v>
      </c>
      <c r="X682" t="s">
        <v>37</v>
      </c>
      <c r="AD682" s="2">
        <v>46244.969212962962</v>
      </c>
    </row>
    <row r="683" spans="1:30" x14ac:dyDescent="0.35">
      <c r="A683" t="s">
        <v>30</v>
      </c>
      <c r="B683" t="s">
        <v>31</v>
      </c>
      <c r="C683" t="s">
        <v>1434</v>
      </c>
      <c r="D683" t="s">
        <v>33</v>
      </c>
      <c r="E683" t="str">
        <f t="shared" si="101"/>
        <v>400438</v>
      </c>
      <c r="F683" t="s">
        <v>1392</v>
      </c>
      <c r="G683">
        <v>21</v>
      </c>
      <c r="H683">
        <v>0</v>
      </c>
      <c r="I683" t="s">
        <v>1435</v>
      </c>
      <c r="J683" t="str">
        <f t="shared" si="102"/>
        <v>100005342</v>
      </c>
      <c r="K683" s="1">
        <v>45434</v>
      </c>
      <c r="L683" s="1">
        <v>45434</v>
      </c>
      <c r="M683" s="1">
        <v>43609</v>
      </c>
      <c r="N683" t="str">
        <f t="shared" si="103"/>
        <v>1329002009</v>
      </c>
      <c r="O683">
        <v>21</v>
      </c>
      <c r="P683" s="2">
        <v>46244.449432870373</v>
      </c>
      <c r="Q683" s="2">
        <v>46244.970069444447</v>
      </c>
      <c r="R683" s="2">
        <v>46244.449432870373</v>
      </c>
      <c r="S683">
        <v>0</v>
      </c>
      <c r="T683" t="s">
        <v>67</v>
      </c>
      <c r="U683" t="s">
        <v>67</v>
      </c>
      <c r="W683" t="str">
        <f t="shared" si="104"/>
        <v>400438</v>
      </c>
      <c r="X683" t="s">
        <v>37</v>
      </c>
      <c r="AD683" s="2">
        <v>46244.970069444447</v>
      </c>
    </row>
    <row r="684" spans="1:30" x14ac:dyDescent="0.35">
      <c r="A684" t="s">
        <v>30</v>
      </c>
      <c r="B684" t="s">
        <v>31</v>
      </c>
      <c r="C684" t="s">
        <v>1436</v>
      </c>
      <c r="D684" t="s">
        <v>33</v>
      </c>
      <c r="E684" t="str">
        <f t="shared" si="101"/>
        <v>400438</v>
      </c>
      <c r="F684" t="s">
        <v>1392</v>
      </c>
      <c r="G684">
        <v>30</v>
      </c>
      <c r="H684">
        <v>0</v>
      </c>
      <c r="I684" t="s">
        <v>1437</v>
      </c>
      <c r="J684" t="str">
        <f t="shared" si="102"/>
        <v>100005342</v>
      </c>
      <c r="K684" s="1">
        <v>45434</v>
      </c>
      <c r="L684" s="1">
        <v>45434</v>
      </c>
      <c r="M684" s="1">
        <v>43609</v>
      </c>
      <c r="N684" t="str">
        <f t="shared" si="103"/>
        <v>1329002009</v>
      </c>
      <c r="O684">
        <v>30</v>
      </c>
      <c r="P684" s="2">
        <v>46244.449791666666</v>
      </c>
      <c r="Q684" s="2">
        <v>46244.971203703702</v>
      </c>
      <c r="R684" s="2">
        <v>46244.449791666666</v>
      </c>
      <c r="S684">
        <v>0</v>
      </c>
      <c r="T684" t="s">
        <v>67</v>
      </c>
      <c r="U684" t="s">
        <v>67</v>
      </c>
      <c r="W684" t="str">
        <f t="shared" si="104"/>
        <v>400438</v>
      </c>
      <c r="X684" t="s">
        <v>37</v>
      </c>
      <c r="AD684" s="2">
        <v>46244.971203703702</v>
      </c>
    </row>
    <row r="685" spans="1:30" x14ac:dyDescent="0.35">
      <c r="A685" t="s">
        <v>30</v>
      </c>
      <c r="B685" t="s">
        <v>31</v>
      </c>
      <c r="C685" t="s">
        <v>1438</v>
      </c>
      <c r="D685" t="s">
        <v>33</v>
      </c>
      <c r="E685" t="str">
        <f t="shared" si="101"/>
        <v>400438</v>
      </c>
      <c r="F685" t="s">
        <v>1392</v>
      </c>
      <c r="G685">
        <v>11</v>
      </c>
      <c r="H685">
        <v>0</v>
      </c>
      <c r="I685" t="s">
        <v>1439</v>
      </c>
      <c r="J685" t="str">
        <f t="shared" si="102"/>
        <v>100005342</v>
      </c>
      <c r="K685" s="1">
        <v>45434</v>
      </c>
      <c r="L685" s="1">
        <v>45434</v>
      </c>
      <c r="M685" s="1">
        <v>43609</v>
      </c>
      <c r="N685" t="str">
        <f t="shared" si="103"/>
        <v>1329002009</v>
      </c>
      <c r="O685">
        <v>11</v>
      </c>
      <c r="P685" s="2">
        <v>46244.448900462965</v>
      </c>
      <c r="Q685" s="2">
        <v>46245.544247685182</v>
      </c>
      <c r="R685" s="2">
        <v>46244.448900462965</v>
      </c>
      <c r="S685">
        <v>1</v>
      </c>
      <c r="T685" t="s">
        <v>67</v>
      </c>
      <c r="U685" t="s">
        <v>67</v>
      </c>
      <c r="W685" t="str">
        <f t="shared" si="104"/>
        <v>400438</v>
      </c>
      <c r="X685" t="s">
        <v>37</v>
      </c>
      <c r="AD685" s="2">
        <v>46245.544247685182</v>
      </c>
    </row>
    <row r="686" spans="1:30" x14ac:dyDescent="0.35">
      <c r="A686" t="s">
        <v>30</v>
      </c>
      <c r="B686" t="s">
        <v>31</v>
      </c>
      <c r="C686" t="s">
        <v>1440</v>
      </c>
      <c r="D686" t="s">
        <v>33</v>
      </c>
      <c r="E686" t="str">
        <f t="shared" si="101"/>
        <v>400438</v>
      </c>
      <c r="F686" t="s">
        <v>1392</v>
      </c>
      <c r="G686">
        <v>30</v>
      </c>
      <c r="H686">
        <v>0</v>
      </c>
      <c r="I686" t="s">
        <v>1441</v>
      </c>
      <c r="J686" t="str">
        <f t="shared" si="102"/>
        <v>100005342</v>
      </c>
      <c r="K686" s="1">
        <v>45434</v>
      </c>
      <c r="L686" s="1">
        <v>45434</v>
      </c>
      <c r="M686" s="1">
        <v>43609</v>
      </c>
      <c r="N686" t="str">
        <f t="shared" si="103"/>
        <v>1329002009</v>
      </c>
      <c r="O686">
        <v>30</v>
      </c>
      <c r="P686" s="2">
        <v>46244.450115740743</v>
      </c>
      <c r="Q686" s="2">
        <v>46245.544710648152</v>
      </c>
      <c r="R686" s="2">
        <v>46244.450115740743</v>
      </c>
      <c r="S686">
        <v>1</v>
      </c>
      <c r="T686" t="s">
        <v>67</v>
      </c>
      <c r="U686" t="s">
        <v>67</v>
      </c>
      <c r="W686" t="str">
        <f t="shared" si="104"/>
        <v>400438</v>
      </c>
      <c r="X686" t="s">
        <v>37</v>
      </c>
      <c r="AD686" s="2">
        <v>46245.544710648152</v>
      </c>
    </row>
    <row r="687" spans="1:30" x14ac:dyDescent="0.35">
      <c r="A687" t="s">
        <v>30</v>
      </c>
      <c r="B687" t="s">
        <v>31</v>
      </c>
      <c r="C687" t="s">
        <v>1442</v>
      </c>
      <c r="D687" t="s">
        <v>33</v>
      </c>
      <c r="E687" t="str">
        <f>"400448"</f>
        <v>400448</v>
      </c>
      <c r="F687" t="s">
        <v>1346</v>
      </c>
      <c r="G687">
        <v>4</v>
      </c>
      <c r="H687">
        <v>0</v>
      </c>
      <c r="I687" t="s">
        <v>1443</v>
      </c>
      <c r="J687" t="str">
        <f>"100005435"</f>
        <v>100005435</v>
      </c>
      <c r="K687" s="1">
        <v>47233</v>
      </c>
      <c r="L687" s="1">
        <v>45438</v>
      </c>
      <c r="M687" s="1">
        <v>43613</v>
      </c>
      <c r="N687" t="str">
        <f>"1329002010"</f>
        <v>1329002010</v>
      </c>
      <c r="O687">
        <v>4</v>
      </c>
      <c r="P687" s="2">
        <v>46244.630891203706</v>
      </c>
      <c r="Q687" s="2">
        <v>46245.545543981483</v>
      </c>
      <c r="R687" s="2">
        <v>46244.630891203706</v>
      </c>
      <c r="S687">
        <v>1</v>
      </c>
      <c r="T687" t="s">
        <v>67</v>
      </c>
      <c r="U687" t="s">
        <v>67</v>
      </c>
      <c r="W687" t="str">
        <f>"400448"</f>
        <v>400448</v>
      </c>
      <c r="X687" t="s">
        <v>37</v>
      </c>
      <c r="AD687" s="2">
        <v>46245.545543981483</v>
      </c>
    </row>
    <row r="688" spans="1:30" x14ac:dyDescent="0.35">
      <c r="A688" t="s">
        <v>30</v>
      </c>
      <c r="B688" t="s">
        <v>31</v>
      </c>
      <c r="C688" t="s">
        <v>1444</v>
      </c>
      <c r="D688" t="s">
        <v>33</v>
      </c>
      <c r="E688" t="str">
        <f>"400932"</f>
        <v>400932</v>
      </c>
      <c r="F688" t="s">
        <v>1205</v>
      </c>
      <c r="G688">
        <v>4</v>
      </c>
      <c r="H688">
        <v>0</v>
      </c>
      <c r="I688" t="s">
        <v>1443</v>
      </c>
      <c r="J688" t="str">
        <f>"100009495"</f>
        <v>100009495</v>
      </c>
      <c r="K688" s="1">
        <v>47687</v>
      </c>
      <c r="L688" s="1">
        <v>45862</v>
      </c>
      <c r="M688" s="1">
        <v>45862</v>
      </c>
      <c r="N688" t="str">
        <f>"1329002007"</f>
        <v>1329002007</v>
      </c>
      <c r="O688">
        <v>4</v>
      </c>
      <c r="P688" s="2">
        <v>46240.66746527778</v>
      </c>
      <c r="Q688" s="2">
        <v>46245.552083333336</v>
      </c>
      <c r="R688" s="2">
        <v>46240.66746527778</v>
      </c>
      <c r="S688">
        <v>1</v>
      </c>
      <c r="T688" t="s">
        <v>67</v>
      </c>
      <c r="U688" t="s">
        <v>67</v>
      </c>
      <c r="W688" t="str">
        <f>"400932"</f>
        <v>400932</v>
      </c>
      <c r="X688" t="s">
        <v>37</v>
      </c>
      <c r="AD688" s="2">
        <v>46245.552083333336</v>
      </c>
    </row>
    <row r="689" spans="1:30" x14ac:dyDescent="0.35">
      <c r="A689" t="s">
        <v>30</v>
      </c>
      <c r="B689" t="s">
        <v>31</v>
      </c>
      <c r="C689" t="s">
        <v>1445</v>
      </c>
      <c r="D689" t="s">
        <v>33</v>
      </c>
      <c r="E689" t="str">
        <f>"400466"</f>
        <v>400466</v>
      </c>
      <c r="F689" t="s">
        <v>1249</v>
      </c>
      <c r="G689">
        <v>40</v>
      </c>
      <c r="H689">
        <v>0</v>
      </c>
      <c r="I689" t="s">
        <v>1243</v>
      </c>
      <c r="J689" t="str">
        <f>"100004743"</f>
        <v>100004743</v>
      </c>
      <c r="K689" s="1">
        <v>47194</v>
      </c>
      <c r="L689" s="1">
        <v>45369</v>
      </c>
      <c r="M689" s="1">
        <v>43544</v>
      </c>
      <c r="N689" t="str">
        <f>"1329002006"</f>
        <v>1329002006</v>
      </c>
      <c r="O689">
        <v>40</v>
      </c>
      <c r="P689" s="2">
        <v>46240.604895833334</v>
      </c>
      <c r="Q689" s="2">
        <v>46245.552210648151</v>
      </c>
      <c r="R689" s="2">
        <v>46240.604895833334</v>
      </c>
      <c r="S689">
        <v>1</v>
      </c>
      <c r="T689" t="s">
        <v>67</v>
      </c>
      <c r="U689" t="s">
        <v>67</v>
      </c>
      <c r="W689" t="str">
        <f>"400466"</f>
        <v>400466</v>
      </c>
      <c r="X689" t="s">
        <v>37</v>
      </c>
      <c r="AD689" s="2">
        <v>46245.552210648151</v>
      </c>
    </row>
    <row r="690" spans="1:30" x14ac:dyDescent="0.35">
      <c r="A690" t="s">
        <v>30</v>
      </c>
      <c r="B690" t="s">
        <v>31</v>
      </c>
      <c r="C690" t="s">
        <v>1446</v>
      </c>
      <c r="D690" t="s">
        <v>33</v>
      </c>
      <c r="E690" t="str">
        <f>"400466"</f>
        <v>400466</v>
      </c>
      <c r="F690" t="s">
        <v>1249</v>
      </c>
      <c r="G690">
        <v>22</v>
      </c>
      <c r="H690">
        <v>0</v>
      </c>
      <c r="I690" t="s">
        <v>1447</v>
      </c>
      <c r="J690" t="str">
        <f>"100004743"</f>
        <v>100004743</v>
      </c>
      <c r="K690" s="1">
        <v>47194</v>
      </c>
      <c r="L690" s="1">
        <v>45368</v>
      </c>
      <c r="M690" s="1">
        <v>43544</v>
      </c>
      <c r="N690" t="str">
        <f>"1329002006"</f>
        <v>1329002006</v>
      </c>
      <c r="O690">
        <v>22</v>
      </c>
      <c r="P690" s="2">
        <v>46240.604687500003</v>
      </c>
      <c r="Q690" s="2">
        <v>46245.553576388891</v>
      </c>
      <c r="R690" s="2">
        <v>46240.604687500003</v>
      </c>
      <c r="S690">
        <v>1</v>
      </c>
      <c r="T690" t="s">
        <v>67</v>
      </c>
      <c r="U690" t="s">
        <v>67</v>
      </c>
      <c r="W690" t="str">
        <f>"400466"</f>
        <v>400466</v>
      </c>
      <c r="X690" t="s">
        <v>37</v>
      </c>
      <c r="AD690" s="2">
        <v>46245.553576388891</v>
      </c>
    </row>
    <row r="691" spans="1:30" x14ac:dyDescent="0.35">
      <c r="A691" t="s">
        <v>30</v>
      </c>
      <c r="B691" t="s">
        <v>31</v>
      </c>
      <c r="C691" t="s">
        <v>1448</v>
      </c>
      <c r="D691" t="s">
        <v>33</v>
      </c>
      <c r="E691" t="str">
        <f>"400932"</f>
        <v>400932</v>
      </c>
      <c r="F691" t="s">
        <v>1205</v>
      </c>
      <c r="G691">
        <v>4</v>
      </c>
      <c r="H691">
        <v>0</v>
      </c>
      <c r="I691" t="s">
        <v>1449</v>
      </c>
      <c r="J691" t="str">
        <f>"100008855"</f>
        <v>100008855</v>
      </c>
      <c r="K691" s="1">
        <v>47627</v>
      </c>
      <c r="L691" s="1">
        <v>45803</v>
      </c>
      <c r="M691" s="1">
        <v>45802</v>
      </c>
      <c r="N691" t="str">
        <f>"1329002007"</f>
        <v>1329002007</v>
      </c>
      <c r="O691">
        <v>4</v>
      </c>
      <c r="P691" s="2">
        <v>46240.667650462965</v>
      </c>
      <c r="Q691" s="2">
        <v>46245.553807870368</v>
      </c>
      <c r="R691" s="2">
        <v>46240.667650462965</v>
      </c>
      <c r="S691">
        <v>1</v>
      </c>
      <c r="T691" t="s">
        <v>67</v>
      </c>
      <c r="U691" t="s">
        <v>67</v>
      </c>
      <c r="W691" t="str">
        <f>"400932"</f>
        <v>400932</v>
      </c>
      <c r="X691" t="s">
        <v>37</v>
      </c>
      <c r="AD691" s="2">
        <v>46245.553807870368</v>
      </c>
    </row>
    <row r="692" spans="1:30" x14ac:dyDescent="0.35">
      <c r="A692" t="s">
        <v>30</v>
      </c>
      <c r="B692" t="s">
        <v>31</v>
      </c>
      <c r="C692" t="s">
        <v>1450</v>
      </c>
      <c r="D692" t="s">
        <v>33</v>
      </c>
      <c r="E692" t="str">
        <f>"400503"</f>
        <v>400503</v>
      </c>
      <c r="F692" t="s">
        <v>1295</v>
      </c>
      <c r="G692">
        <v>24</v>
      </c>
      <c r="H692">
        <v>0</v>
      </c>
      <c r="I692" t="s">
        <v>1451</v>
      </c>
      <c r="J692" t="str">
        <f>"100005436"</f>
        <v>100005436</v>
      </c>
      <c r="K692" s="1">
        <v>47262</v>
      </c>
      <c r="M692" s="1">
        <v>45437</v>
      </c>
      <c r="N692" t="str">
        <f>"1329002008"</f>
        <v>1329002008</v>
      </c>
      <c r="O692">
        <v>24</v>
      </c>
      <c r="P692" s="2">
        <v>46242.592997685184</v>
      </c>
      <c r="Q692" s="2">
        <v>46245.555613425924</v>
      </c>
      <c r="R692" s="2">
        <v>46242.592997685184</v>
      </c>
      <c r="S692">
        <v>1</v>
      </c>
      <c r="T692" t="s">
        <v>67</v>
      </c>
      <c r="U692" t="s">
        <v>67</v>
      </c>
      <c r="W692" t="str">
        <f>"400503"</f>
        <v>400503</v>
      </c>
      <c r="X692" t="s">
        <v>37</v>
      </c>
      <c r="AD692" s="2">
        <v>46245.555613425924</v>
      </c>
    </row>
    <row r="693" spans="1:30" x14ac:dyDescent="0.35">
      <c r="A693" t="s">
        <v>30</v>
      </c>
      <c r="B693" t="s">
        <v>31</v>
      </c>
      <c r="C693" t="s">
        <v>1452</v>
      </c>
      <c r="D693" t="s">
        <v>33</v>
      </c>
      <c r="E693" t="str">
        <f>"400457"</f>
        <v>400457</v>
      </c>
      <c r="F693" t="s">
        <v>1304</v>
      </c>
      <c r="G693">
        <v>3</v>
      </c>
      <c r="H693">
        <v>0</v>
      </c>
      <c r="I693" t="s">
        <v>1453</v>
      </c>
      <c r="J693" t="str">
        <f>"100005652"</f>
        <v>100005652</v>
      </c>
      <c r="K693" s="1">
        <v>47281</v>
      </c>
      <c r="M693" s="1">
        <v>45456</v>
      </c>
      <c r="N693" t="str">
        <f>"1329002008"</f>
        <v>1329002008</v>
      </c>
      <c r="O693">
        <v>3</v>
      </c>
      <c r="P693" s="2">
        <v>46242.618055555555</v>
      </c>
      <c r="Q693" s="2">
        <v>46245.557858796295</v>
      </c>
      <c r="R693" s="2">
        <v>46242.618055555555</v>
      </c>
      <c r="S693">
        <v>1</v>
      </c>
      <c r="T693" t="s">
        <v>67</v>
      </c>
      <c r="U693" t="s">
        <v>67</v>
      </c>
      <c r="W693" t="str">
        <f>"400457"</f>
        <v>400457</v>
      </c>
      <c r="X693" t="s">
        <v>37</v>
      </c>
      <c r="AD693" s="2">
        <v>46245.557858796295</v>
      </c>
    </row>
    <row r="694" spans="1:30" x14ac:dyDescent="0.35">
      <c r="A694" t="s">
        <v>30</v>
      </c>
      <c r="B694" t="s">
        <v>31</v>
      </c>
      <c r="C694" t="s">
        <v>1454</v>
      </c>
      <c r="D694" t="s">
        <v>33</v>
      </c>
      <c r="E694" t="str">
        <f>"400932"</f>
        <v>400932</v>
      </c>
      <c r="F694" t="s">
        <v>1205</v>
      </c>
      <c r="G694">
        <v>12</v>
      </c>
      <c r="H694">
        <v>0</v>
      </c>
      <c r="I694" t="s">
        <v>1455</v>
      </c>
      <c r="J694" t="str">
        <f>"10009226"</f>
        <v>10009226</v>
      </c>
      <c r="K694" s="1">
        <v>47663</v>
      </c>
      <c r="L694" s="1">
        <v>45838</v>
      </c>
      <c r="M694" s="1">
        <v>45838</v>
      </c>
      <c r="N694" t="str">
        <f>"1329002007"</f>
        <v>1329002007</v>
      </c>
      <c r="O694">
        <v>12</v>
      </c>
      <c r="P694" s="2">
        <v>46240.667800925927</v>
      </c>
      <c r="Q694" s="2">
        <v>46245.558275462965</v>
      </c>
      <c r="R694" s="2">
        <v>46240.667800925927</v>
      </c>
      <c r="S694">
        <v>1</v>
      </c>
      <c r="T694" t="s">
        <v>67</v>
      </c>
      <c r="U694" t="s">
        <v>67</v>
      </c>
      <c r="W694" t="str">
        <f>"400932"</f>
        <v>400932</v>
      </c>
      <c r="X694" t="s">
        <v>37</v>
      </c>
      <c r="AD694" s="2">
        <v>46245.558275462965</v>
      </c>
    </row>
    <row r="695" spans="1:30" x14ac:dyDescent="0.35">
      <c r="A695" t="s">
        <v>30</v>
      </c>
      <c r="B695" t="s">
        <v>31</v>
      </c>
      <c r="C695" t="s">
        <v>1456</v>
      </c>
      <c r="D695" t="s">
        <v>33</v>
      </c>
      <c r="E695" t="str">
        <f>"400932"</f>
        <v>400932</v>
      </c>
      <c r="F695" t="s">
        <v>1205</v>
      </c>
      <c r="G695">
        <v>18</v>
      </c>
      <c r="H695">
        <v>0</v>
      </c>
      <c r="I695" t="s">
        <v>1457</v>
      </c>
      <c r="J695" t="str">
        <f>"100008855"</f>
        <v>100008855</v>
      </c>
      <c r="K695" s="1">
        <v>47627</v>
      </c>
      <c r="L695" s="1">
        <v>45803</v>
      </c>
      <c r="M695" s="1">
        <v>45802</v>
      </c>
      <c r="N695" t="str">
        <f>"1329002007"</f>
        <v>1329002007</v>
      </c>
      <c r="O695">
        <v>18</v>
      </c>
      <c r="P695" s="2">
        <v>46240.66814814815</v>
      </c>
      <c r="Q695" s="2">
        <v>46245.562106481484</v>
      </c>
      <c r="R695" s="2">
        <v>46240.66814814815</v>
      </c>
      <c r="S695">
        <v>1</v>
      </c>
      <c r="T695" t="s">
        <v>67</v>
      </c>
      <c r="U695" t="s">
        <v>67</v>
      </c>
      <c r="W695" t="str">
        <f>"400932"</f>
        <v>400932</v>
      </c>
      <c r="X695" t="s">
        <v>37</v>
      </c>
      <c r="AD695" s="2">
        <v>46245.562106481484</v>
      </c>
    </row>
    <row r="696" spans="1:30" x14ac:dyDescent="0.35">
      <c r="A696" t="s">
        <v>30</v>
      </c>
      <c r="B696" t="s">
        <v>31</v>
      </c>
      <c r="C696" t="s">
        <v>1458</v>
      </c>
      <c r="D696" t="s">
        <v>33</v>
      </c>
      <c r="E696" t="str">
        <f t="shared" ref="E696:E703" si="105">"400927"</f>
        <v>400927</v>
      </c>
      <c r="F696" t="s">
        <v>1459</v>
      </c>
      <c r="G696">
        <v>24</v>
      </c>
      <c r="H696">
        <v>0</v>
      </c>
      <c r="I696" t="s">
        <v>1460</v>
      </c>
      <c r="J696" t="str">
        <f>"100009478"</f>
        <v>100009478</v>
      </c>
      <c r="K696" s="1">
        <v>47686</v>
      </c>
      <c r="L696" s="1">
        <v>45861</v>
      </c>
      <c r="M696" s="1">
        <v>44036</v>
      </c>
      <c r="N696" t="str">
        <f t="shared" ref="N696:N719" si="106">"1329002011"</f>
        <v>1329002011</v>
      </c>
      <c r="O696">
        <v>24</v>
      </c>
      <c r="P696" s="2">
        <v>46245.620011574072</v>
      </c>
      <c r="Q696" s="2">
        <v>46246.907812500001</v>
      </c>
      <c r="R696" s="2">
        <v>46245.620011574072</v>
      </c>
      <c r="S696">
        <v>0</v>
      </c>
      <c r="T696" t="s">
        <v>67</v>
      </c>
      <c r="U696" t="s">
        <v>67</v>
      </c>
      <c r="W696" t="str">
        <f t="shared" ref="W696:W703" si="107">"400927"</f>
        <v>400927</v>
      </c>
      <c r="X696" t="s">
        <v>37</v>
      </c>
      <c r="AD696" s="2">
        <v>46246.907812500001</v>
      </c>
    </row>
    <row r="697" spans="1:30" x14ac:dyDescent="0.35">
      <c r="A697" t="s">
        <v>30</v>
      </c>
      <c r="B697" t="s">
        <v>31</v>
      </c>
      <c r="C697" t="s">
        <v>1461</v>
      </c>
      <c r="D697" t="s">
        <v>33</v>
      </c>
      <c r="E697" t="str">
        <f t="shared" si="105"/>
        <v>400927</v>
      </c>
      <c r="F697" t="s">
        <v>1459</v>
      </c>
      <c r="G697">
        <v>24</v>
      </c>
      <c r="H697">
        <v>0</v>
      </c>
      <c r="I697" t="s">
        <v>1462</v>
      </c>
      <c r="J697" t="str">
        <f>"100009478"</f>
        <v>100009478</v>
      </c>
      <c r="K697" s="1">
        <v>47686</v>
      </c>
      <c r="L697" s="1">
        <v>45861</v>
      </c>
      <c r="M697" s="1">
        <v>44036</v>
      </c>
      <c r="N697" t="str">
        <f t="shared" si="106"/>
        <v>1329002011</v>
      </c>
      <c r="O697">
        <v>24</v>
      </c>
      <c r="P697" s="2">
        <v>46245.619756944441</v>
      </c>
      <c r="Q697" s="2">
        <v>46246.90792824074</v>
      </c>
      <c r="R697" s="2">
        <v>46245.619756944441</v>
      </c>
      <c r="S697">
        <v>0</v>
      </c>
      <c r="T697" t="s">
        <v>67</v>
      </c>
      <c r="U697" t="s">
        <v>67</v>
      </c>
      <c r="W697" t="str">
        <f t="shared" si="107"/>
        <v>400927</v>
      </c>
      <c r="X697" t="s">
        <v>37</v>
      </c>
      <c r="AD697" s="2">
        <v>46246.90792824074</v>
      </c>
    </row>
    <row r="698" spans="1:30" x14ac:dyDescent="0.35">
      <c r="A698" t="s">
        <v>30</v>
      </c>
      <c r="B698" t="s">
        <v>31</v>
      </c>
      <c r="C698" t="s">
        <v>1463</v>
      </c>
      <c r="D698" t="s">
        <v>33</v>
      </c>
      <c r="E698" t="str">
        <f t="shared" si="105"/>
        <v>400927</v>
      </c>
      <c r="F698" t="s">
        <v>1459</v>
      </c>
      <c r="G698">
        <v>24</v>
      </c>
      <c r="H698">
        <v>0</v>
      </c>
      <c r="I698" t="s">
        <v>1464</v>
      </c>
      <c r="J698" t="str">
        <f>"100010268"</f>
        <v>100010268</v>
      </c>
      <c r="K698" s="1">
        <v>47760</v>
      </c>
      <c r="L698" s="1">
        <v>45935</v>
      </c>
      <c r="M698" s="1">
        <v>44110</v>
      </c>
      <c r="N698" t="str">
        <f t="shared" si="106"/>
        <v>1329002011</v>
      </c>
      <c r="O698">
        <v>24</v>
      </c>
      <c r="P698" s="2">
        <v>46245.619525462964</v>
      </c>
      <c r="Q698" s="2">
        <v>46246.908819444441</v>
      </c>
      <c r="R698" s="2">
        <v>46245.619525462964</v>
      </c>
      <c r="S698">
        <v>0</v>
      </c>
      <c r="T698" t="s">
        <v>67</v>
      </c>
      <c r="U698" t="s">
        <v>67</v>
      </c>
      <c r="W698" t="str">
        <f t="shared" si="107"/>
        <v>400927</v>
      </c>
      <c r="X698" t="s">
        <v>37</v>
      </c>
      <c r="AD698" s="2">
        <v>46246.908819444441</v>
      </c>
    </row>
    <row r="699" spans="1:30" x14ac:dyDescent="0.35">
      <c r="A699" t="s">
        <v>30</v>
      </c>
      <c r="B699" t="s">
        <v>31</v>
      </c>
      <c r="C699" t="s">
        <v>1465</v>
      </c>
      <c r="D699" t="s">
        <v>33</v>
      </c>
      <c r="E699" t="str">
        <f t="shared" si="105"/>
        <v>400927</v>
      </c>
      <c r="F699" t="s">
        <v>1459</v>
      </c>
      <c r="G699">
        <v>24</v>
      </c>
      <c r="H699">
        <v>0</v>
      </c>
      <c r="I699" t="s">
        <v>448</v>
      </c>
      <c r="J699" t="str">
        <f>"100009478"</f>
        <v>100009478</v>
      </c>
      <c r="K699" s="1">
        <v>47686</v>
      </c>
      <c r="L699" s="1">
        <v>45861</v>
      </c>
      <c r="M699" s="1">
        <v>44036</v>
      </c>
      <c r="N699" t="str">
        <f t="shared" si="106"/>
        <v>1329002011</v>
      </c>
      <c r="O699">
        <v>24</v>
      </c>
      <c r="P699" s="2">
        <v>46245.619340277779</v>
      </c>
      <c r="Q699" s="2">
        <v>46246.909328703703</v>
      </c>
      <c r="R699" s="2">
        <v>46245.619340277779</v>
      </c>
      <c r="S699">
        <v>0</v>
      </c>
      <c r="T699" t="s">
        <v>67</v>
      </c>
      <c r="U699" t="s">
        <v>67</v>
      </c>
      <c r="W699" t="str">
        <f t="shared" si="107"/>
        <v>400927</v>
      </c>
      <c r="X699" t="s">
        <v>37</v>
      </c>
      <c r="AD699" s="2">
        <v>46246.909328703703</v>
      </c>
    </row>
    <row r="700" spans="1:30" x14ac:dyDescent="0.35">
      <c r="A700" t="s">
        <v>30</v>
      </c>
      <c r="B700" t="s">
        <v>31</v>
      </c>
      <c r="C700" t="s">
        <v>1466</v>
      </c>
      <c r="D700" t="s">
        <v>33</v>
      </c>
      <c r="E700" t="str">
        <f t="shared" si="105"/>
        <v>400927</v>
      </c>
      <c r="F700" t="s">
        <v>1459</v>
      </c>
      <c r="G700">
        <v>24</v>
      </c>
      <c r="H700">
        <v>0</v>
      </c>
      <c r="I700" t="s">
        <v>1467</v>
      </c>
      <c r="J700" t="str">
        <f>"100009478"</f>
        <v>100009478</v>
      </c>
      <c r="K700" s="1">
        <v>47686</v>
      </c>
      <c r="L700" s="1">
        <v>45861</v>
      </c>
      <c r="M700" s="1">
        <v>44036</v>
      </c>
      <c r="N700" t="str">
        <f t="shared" si="106"/>
        <v>1329002011</v>
      </c>
      <c r="O700">
        <v>24</v>
      </c>
      <c r="P700" s="2">
        <v>46245.61917824074</v>
      </c>
      <c r="Q700" s="2">
        <v>46246.909502314818</v>
      </c>
      <c r="R700" s="2">
        <v>46245.61917824074</v>
      </c>
      <c r="S700">
        <v>0</v>
      </c>
      <c r="T700" t="s">
        <v>67</v>
      </c>
      <c r="U700" t="s">
        <v>67</v>
      </c>
      <c r="W700" t="str">
        <f t="shared" si="107"/>
        <v>400927</v>
      </c>
      <c r="X700" t="s">
        <v>37</v>
      </c>
      <c r="AD700" s="2">
        <v>46246.909502314818</v>
      </c>
    </row>
    <row r="701" spans="1:30" x14ac:dyDescent="0.35">
      <c r="A701" t="s">
        <v>30</v>
      </c>
      <c r="B701" t="s">
        <v>31</v>
      </c>
      <c r="C701" t="s">
        <v>1468</v>
      </c>
      <c r="D701" t="s">
        <v>33</v>
      </c>
      <c r="E701" t="str">
        <f t="shared" si="105"/>
        <v>400927</v>
      </c>
      <c r="F701" t="s">
        <v>1459</v>
      </c>
      <c r="G701">
        <v>24</v>
      </c>
      <c r="H701">
        <v>0</v>
      </c>
      <c r="I701" t="s">
        <v>1469</v>
      </c>
      <c r="J701" t="str">
        <f>"100009478"</f>
        <v>100009478</v>
      </c>
      <c r="K701" s="1">
        <v>47686</v>
      </c>
      <c r="L701" s="1">
        <v>45861</v>
      </c>
      <c r="M701" s="1">
        <v>44036</v>
      </c>
      <c r="N701" t="str">
        <f t="shared" si="106"/>
        <v>1329002011</v>
      </c>
      <c r="O701">
        <v>24</v>
      </c>
      <c r="P701" s="2">
        <v>46245.618935185186</v>
      </c>
      <c r="Q701" s="2">
        <v>46246.91</v>
      </c>
      <c r="R701" s="2">
        <v>46245.618935185186</v>
      </c>
      <c r="S701">
        <v>0</v>
      </c>
      <c r="T701" t="s">
        <v>67</v>
      </c>
      <c r="U701" t="s">
        <v>67</v>
      </c>
      <c r="W701" t="str">
        <f t="shared" si="107"/>
        <v>400927</v>
      </c>
      <c r="X701" t="s">
        <v>37</v>
      </c>
      <c r="AD701" s="2">
        <v>46246.91</v>
      </c>
    </row>
    <row r="702" spans="1:30" x14ac:dyDescent="0.35">
      <c r="A702" t="s">
        <v>30</v>
      </c>
      <c r="B702" t="s">
        <v>31</v>
      </c>
      <c r="C702" t="s">
        <v>1470</v>
      </c>
      <c r="D702" t="s">
        <v>33</v>
      </c>
      <c r="E702" t="str">
        <f t="shared" si="105"/>
        <v>400927</v>
      </c>
      <c r="F702" t="s">
        <v>1459</v>
      </c>
      <c r="G702">
        <v>24</v>
      </c>
      <c r="H702">
        <v>0</v>
      </c>
      <c r="I702" t="s">
        <v>1471</v>
      </c>
      <c r="J702" t="str">
        <f>"100010268"</f>
        <v>100010268</v>
      </c>
      <c r="K702" s="1">
        <v>47760</v>
      </c>
      <c r="L702" s="1">
        <v>45935</v>
      </c>
      <c r="M702" s="1">
        <v>44110</v>
      </c>
      <c r="N702" t="str">
        <f t="shared" si="106"/>
        <v>1329002011</v>
      </c>
      <c r="O702">
        <v>24</v>
      </c>
      <c r="P702" s="2">
        <v>46245.618530092594</v>
      </c>
      <c r="Q702" s="2">
        <v>46246.910601851851</v>
      </c>
      <c r="R702" s="2">
        <v>46245.618530092594</v>
      </c>
      <c r="S702">
        <v>0</v>
      </c>
      <c r="T702" t="s">
        <v>67</v>
      </c>
      <c r="U702" t="s">
        <v>67</v>
      </c>
      <c r="W702" t="str">
        <f t="shared" si="107"/>
        <v>400927</v>
      </c>
      <c r="X702" t="s">
        <v>37</v>
      </c>
      <c r="AD702" s="2">
        <v>46246.910601851851</v>
      </c>
    </row>
    <row r="703" spans="1:30" x14ac:dyDescent="0.35">
      <c r="A703" t="s">
        <v>30</v>
      </c>
      <c r="B703" t="s">
        <v>31</v>
      </c>
      <c r="C703" t="s">
        <v>1472</v>
      </c>
      <c r="D703" t="s">
        <v>33</v>
      </c>
      <c r="E703" t="str">
        <f t="shared" si="105"/>
        <v>400927</v>
      </c>
      <c r="F703" t="s">
        <v>1459</v>
      </c>
      <c r="G703">
        <v>24</v>
      </c>
      <c r="H703">
        <v>0</v>
      </c>
      <c r="I703" t="s">
        <v>1473</v>
      </c>
      <c r="J703" t="str">
        <f>"100010268"</f>
        <v>100010268</v>
      </c>
      <c r="K703" s="1">
        <v>47760</v>
      </c>
      <c r="L703" s="1">
        <v>45935</v>
      </c>
      <c r="M703" s="1">
        <v>44110</v>
      </c>
      <c r="N703" t="str">
        <f t="shared" si="106"/>
        <v>1329002011</v>
      </c>
      <c r="O703">
        <v>24</v>
      </c>
      <c r="P703" s="2">
        <v>46245.618310185186</v>
      </c>
      <c r="Q703" s="2">
        <v>46246.911249999997</v>
      </c>
      <c r="R703" s="2">
        <v>46245.618310185186</v>
      </c>
      <c r="S703">
        <v>0</v>
      </c>
      <c r="T703" t="s">
        <v>67</v>
      </c>
      <c r="U703" t="s">
        <v>67</v>
      </c>
      <c r="W703" t="str">
        <f t="shared" si="107"/>
        <v>400927</v>
      </c>
      <c r="X703" t="s">
        <v>37</v>
      </c>
      <c r="AD703" s="2">
        <v>46246.911249999997</v>
      </c>
    </row>
    <row r="704" spans="1:30" x14ac:dyDescent="0.35">
      <c r="A704" t="s">
        <v>30</v>
      </c>
      <c r="B704" t="s">
        <v>31</v>
      </c>
      <c r="C704" t="s">
        <v>1474</v>
      </c>
      <c r="D704" t="s">
        <v>33</v>
      </c>
      <c r="E704" t="str">
        <f>"400607"</f>
        <v>400607</v>
      </c>
      <c r="F704" t="s">
        <v>1475</v>
      </c>
      <c r="G704">
        <v>40</v>
      </c>
      <c r="H704">
        <v>0</v>
      </c>
      <c r="I704" t="s">
        <v>1476</v>
      </c>
      <c r="J704" t="str">
        <f>"100005095"</f>
        <v>100005095</v>
      </c>
      <c r="K704" s="1">
        <v>47232</v>
      </c>
      <c r="L704" s="1">
        <v>45407</v>
      </c>
      <c r="M704" s="1">
        <v>43582</v>
      </c>
      <c r="N704" t="str">
        <f t="shared" si="106"/>
        <v>1329002011</v>
      </c>
      <c r="O704">
        <v>40</v>
      </c>
      <c r="P704" s="2">
        <v>46245.617766203701</v>
      </c>
      <c r="Q704" s="2">
        <v>46246.911828703705</v>
      </c>
      <c r="R704" s="2">
        <v>46245.617766203701</v>
      </c>
      <c r="S704">
        <v>0</v>
      </c>
      <c r="T704" t="s">
        <v>67</v>
      </c>
      <c r="U704" t="s">
        <v>67</v>
      </c>
      <c r="W704" t="str">
        <f>"400607"</f>
        <v>400607</v>
      </c>
      <c r="X704" t="s">
        <v>37</v>
      </c>
      <c r="AD704" s="2">
        <v>46246.911817129629</v>
      </c>
    </row>
    <row r="705" spans="1:30" x14ac:dyDescent="0.35">
      <c r="A705" t="s">
        <v>30</v>
      </c>
      <c r="B705" t="s">
        <v>31</v>
      </c>
      <c r="C705" t="s">
        <v>1477</v>
      </c>
      <c r="D705" t="s">
        <v>33</v>
      </c>
      <c r="E705" t="str">
        <f>"400927"</f>
        <v>400927</v>
      </c>
      <c r="F705" t="s">
        <v>1459</v>
      </c>
      <c r="G705">
        <v>24</v>
      </c>
      <c r="H705">
        <v>0</v>
      </c>
      <c r="I705" t="s">
        <v>1478</v>
      </c>
      <c r="J705" t="str">
        <f>"100009478"</f>
        <v>100009478</v>
      </c>
      <c r="K705" s="1">
        <v>47686</v>
      </c>
      <c r="L705" s="1">
        <v>45861</v>
      </c>
      <c r="M705" s="1">
        <v>44036</v>
      </c>
      <c r="N705" t="str">
        <f t="shared" si="106"/>
        <v>1329002011</v>
      </c>
      <c r="O705">
        <v>24</v>
      </c>
      <c r="P705" s="2">
        <v>46245.617523148147</v>
      </c>
      <c r="Q705" s="2">
        <v>46246.913310185184</v>
      </c>
      <c r="R705" s="2">
        <v>46245.617523148147</v>
      </c>
      <c r="S705">
        <v>0</v>
      </c>
      <c r="T705" t="s">
        <v>67</v>
      </c>
      <c r="U705" t="s">
        <v>67</v>
      </c>
      <c r="W705" t="str">
        <f>"400927"</f>
        <v>400927</v>
      </c>
      <c r="X705" t="s">
        <v>37</v>
      </c>
      <c r="AD705" s="2">
        <v>46246.913310185184</v>
      </c>
    </row>
    <row r="706" spans="1:30" x14ac:dyDescent="0.35">
      <c r="A706" t="s">
        <v>30</v>
      </c>
      <c r="B706" t="s">
        <v>31</v>
      </c>
      <c r="C706" t="s">
        <v>1479</v>
      </c>
      <c r="D706" t="s">
        <v>33</v>
      </c>
      <c r="E706" t="str">
        <f>"400607"</f>
        <v>400607</v>
      </c>
      <c r="F706" t="s">
        <v>1475</v>
      </c>
      <c r="G706">
        <v>40</v>
      </c>
      <c r="H706">
        <v>0</v>
      </c>
      <c r="I706" t="s">
        <v>1480</v>
      </c>
      <c r="J706" t="str">
        <f>"100005095"</f>
        <v>100005095</v>
      </c>
      <c r="K706" s="1">
        <v>47232</v>
      </c>
      <c r="L706" s="1">
        <v>45407</v>
      </c>
      <c r="M706" s="1">
        <v>43582</v>
      </c>
      <c r="N706" t="str">
        <f t="shared" si="106"/>
        <v>1329002011</v>
      </c>
      <c r="O706">
        <v>40</v>
      </c>
      <c r="P706" s="2">
        <v>46245.616574074076</v>
      </c>
      <c r="Q706" s="2">
        <v>46246.914074074077</v>
      </c>
      <c r="R706" s="2">
        <v>46245.616574074076</v>
      </c>
      <c r="S706">
        <v>0</v>
      </c>
      <c r="T706" t="s">
        <v>67</v>
      </c>
      <c r="U706" t="s">
        <v>67</v>
      </c>
      <c r="W706" t="str">
        <f>"400607"</f>
        <v>400607</v>
      </c>
      <c r="X706" t="s">
        <v>37</v>
      </c>
      <c r="AD706" s="2">
        <v>46246.914074074077</v>
      </c>
    </row>
    <row r="707" spans="1:30" x14ac:dyDescent="0.35">
      <c r="A707" t="s">
        <v>30</v>
      </c>
      <c r="B707" t="s">
        <v>31</v>
      </c>
      <c r="C707" t="s">
        <v>1481</v>
      </c>
      <c r="D707" t="s">
        <v>33</v>
      </c>
      <c r="E707" t="str">
        <f>"400607"</f>
        <v>400607</v>
      </c>
      <c r="F707" t="s">
        <v>1475</v>
      </c>
      <c r="G707">
        <v>38</v>
      </c>
      <c r="H707">
        <v>0</v>
      </c>
      <c r="I707" t="s">
        <v>1482</v>
      </c>
      <c r="J707" t="str">
        <f>"100005095"</f>
        <v>100005095</v>
      </c>
      <c r="K707" s="1">
        <v>47232</v>
      </c>
      <c r="L707" s="1">
        <v>45407</v>
      </c>
      <c r="M707" s="1">
        <v>43582</v>
      </c>
      <c r="N707" t="str">
        <f t="shared" si="106"/>
        <v>1329002011</v>
      </c>
      <c r="O707">
        <v>38</v>
      </c>
      <c r="P707" s="2">
        <v>46245.615856481483</v>
      </c>
      <c r="Q707" s="2">
        <v>46246.91474537037</v>
      </c>
      <c r="R707" s="2">
        <v>46245.615856481483</v>
      </c>
      <c r="S707">
        <v>0</v>
      </c>
      <c r="T707" t="s">
        <v>67</v>
      </c>
      <c r="U707" t="s">
        <v>67</v>
      </c>
      <c r="W707" t="str">
        <f>"400607"</f>
        <v>400607</v>
      </c>
      <c r="X707" t="s">
        <v>37</v>
      </c>
      <c r="AD707" s="2">
        <v>46246.91474537037</v>
      </c>
    </row>
    <row r="708" spans="1:30" x14ac:dyDescent="0.35">
      <c r="A708" t="s">
        <v>30</v>
      </c>
      <c r="B708" t="s">
        <v>31</v>
      </c>
      <c r="C708" t="s">
        <v>1483</v>
      </c>
      <c r="D708" t="s">
        <v>33</v>
      </c>
      <c r="E708" t="str">
        <f>"400927"</f>
        <v>400927</v>
      </c>
      <c r="F708" t="s">
        <v>1459</v>
      </c>
      <c r="G708">
        <v>24</v>
      </c>
      <c r="H708">
        <v>0</v>
      </c>
      <c r="I708" t="s">
        <v>1484</v>
      </c>
      <c r="J708" t="str">
        <f>"100009478"</f>
        <v>100009478</v>
      </c>
      <c r="K708" s="1">
        <v>47686</v>
      </c>
      <c r="L708" s="1">
        <v>45861</v>
      </c>
      <c r="M708" s="1">
        <v>44036</v>
      </c>
      <c r="N708" t="str">
        <f t="shared" si="106"/>
        <v>1329002011</v>
      </c>
      <c r="O708">
        <v>24</v>
      </c>
      <c r="P708" s="2">
        <v>46245.615243055552</v>
      </c>
      <c r="Q708" s="2">
        <v>46246.915486111109</v>
      </c>
      <c r="R708" s="2">
        <v>46245.615243055552</v>
      </c>
      <c r="S708">
        <v>0</v>
      </c>
      <c r="T708" t="s">
        <v>67</v>
      </c>
      <c r="U708" t="s">
        <v>67</v>
      </c>
      <c r="W708" t="str">
        <f>"400927"</f>
        <v>400927</v>
      </c>
      <c r="X708" t="s">
        <v>37</v>
      </c>
      <c r="AD708" s="2">
        <v>46246.915486111109</v>
      </c>
    </row>
    <row r="709" spans="1:30" x14ac:dyDescent="0.35">
      <c r="A709" t="s">
        <v>30</v>
      </c>
      <c r="B709" t="s">
        <v>31</v>
      </c>
      <c r="C709" t="s">
        <v>1485</v>
      </c>
      <c r="D709" t="s">
        <v>33</v>
      </c>
      <c r="E709" t="str">
        <f>"400932"</f>
        <v>400932</v>
      </c>
      <c r="F709" t="s">
        <v>1205</v>
      </c>
      <c r="G709">
        <v>24</v>
      </c>
      <c r="H709">
        <v>0</v>
      </c>
      <c r="I709" t="s">
        <v>1183</v>
      </c>
      <c r="J709" t="str">
        <f>"100009226"</f>
        <v>100009226</v>
      </c>
      <c r="K709" s="1">
        <v>47663</v>
      </c>
      <c r="L709" s="1">
        <v>45838</v>
      </c>
      <c r="M709" s="1">
        <v>45838</v>
      </c>
      <c r="N709" t="str">
        <f t="shared" si="106"/>
        <v>1329002011</v>
      </c>
      <c r="O709">
        <v>24</v>
      </c>
      <c r="P709" s="2">
        <v>46245.61478009259</v>
      </c>
      <c r="Q709" s="2">
        <v>46246.916261574072</v>
      </c>
      <c r="R709" s="2">
        <v>46245.61478009259</v>
      </c>
      <c r="S709">
        <v>0</v>
      </c>
      <c r="T709" t="s">
        <v>67</v>
      </c>
      <c r="U709" t="s">
        <v>67</v>
      </c>
      <c r="W709" t="str">
        <f>"400932"</f>
        <v>400932</v>
      </c>
      <c r="X709" t="s">
        <v>37</v>
      </c>
      <c r="AD709" s="2">
        <v>46246.916261574072</v>
      </c>
    </row>
    <row r="710" spans="1:30" x14ac:dyDescent="0.35">
      <c r="A710" t="s">
        <v>30</v>
      </c>
      <c r="B710" t="s">
        <v>31</v>
      </c>
      <c r="C710" t="s">
        <v>1486</v>
      </c>
      <c r="D710" t="s">
        <v>33</v>
      </c>
      <c r="E710" t="str">
        <f>"400932"</f>
        <v>400932</v>
      </c>
      <c r="F710" t="s">
        <v>1205</v>
      </c>
      <c r="G710">
        <v>24</v>
      </c>
      <c r="H710">
        <v>0</v>
      </c>
      <c r="I710" t="s">
        <v>1487</v>
      </c>
      <c r="J710" t="str">
        <f>"100009495"</f>
        <v>100009495</v>
      </c>
      <c r="K710" s="1">
        <v>47687</v>
      </c>
      <c r="L710" s="1">
        <v>45862</v>
      </c>
      <c r="M710" s="1">
        <v>45862</v>
      </c>
      <c r="N710" t="str">
        <f t="shared" si="106"/>
        <v>1329002011</v>
      </c>
      <c r="O710">
        <v>24</v>
      </c>
      <c r="P710" s="2">
        <v>46245.61451388889</v>
      </c>
      <c r="Q710" s="2">
        <v>46246.917094907411</v>
      </c>
      <c r="R710" s="2">
        <v>46245.61451388889</v>
      </c>
      <c r="S710">
        <v>0</v>
      </c>
      <c r="T710" t="s">
        <v>67</v>
      </c>
      <c r="U710" t="s">
        <v>67</v>
      </c>
      <c r="W710" t="str">
        <f>"400932"</f>
        <v>400932</v>
      </c>
      <c r="X710" t="s">
        <v>37</v>
      </c>
      <c r="AD710" s="2">
        <v>46246.917094907411</v>
      </c>
    </row>
    <row r="711" spans="1:30" x14ac:dyDescent="0.35">
      <c r="A711" t="s">
        <v>30</v>
      </c>
      <c r="B711" t="s">
        <v>31</v>
      </c>
      <c r="C711" t="s">
        <v>1488</v>
      </c>
      <c r="D711" t="s">
        <v>33</v>
      </c>
      <c r="E711" t="str">
        <f>"400607"</f>
        <v>400607</v>
      </c>
      <c r="F711" t="s">
        <v>1475</v>
      </c>
      <c r="G711">
        <v>40</v>
      </c>
      <c r="H711">
        <v>0</v>
      </c>
      <c r="I711" t="s">
        <v>1489</v>
      </c>
      <c r="J711" t="str">
        <f>"100005095"</f>
        <v>100005095</v>
      </c>
      <c r="K711" s="1">
        <v>47232</v>
      </c>
      <c r="L711" s="1">
        <v>45407</v>
      </c>
      <c r="M711" s="1">
        <v>43582</v>
      </c>
      <c r="N711" t="str">
        <f t="shared" si="106"/>
        <v>1329002011</v>
      </c>
      <c r="O711">
        <v>40</v>
      </c>
      <c r="P711" s="2">
        <v>46245.61414351852</v>
      </c>
      <c r="Q711" s="2">
        <v>46246.918043981481</v>
      </c>
      <c r="R711" s="2">
        <v>46245.61414351852</v>
      </c>
      <c r="S711">
        <v>0</v>
      </c>
      <c r="T711" t="s">
        <v>67</v>
      </c>
      <c r="U711" t="s">
        <v>67</v>
      </c>
      <c r="W711" t="str">
        <f>"400607"</f>
        <v>400607</v>
      </c>
      <c r="X711" t="s">
        <v>37</v>
      </c>
      <c r="AD711" s="2">
        <v>46246.918043981481</v>
      </c>
    </row>
    <row r="712" spans="1:30" x14ac:dyDescent="0.35">
      <c r="A712" t="s">
        <v>30</v>
      </c>
      <c r="B712" t="s">
        <v>31</v>
      </c>
      <c r="C712" t="s">
        <v>1490</v>
      </c>
      <c r="D712" t="s">
        <v>33</v>
      </c>
      <c r="E712" t="str">
        <f t="shared" ref="E712:E719" si="108">"400932"</f>
        <v>400932</v>
      </c>
      <c r="F712" t="s">
        <v>1205</v>
      </c>
      <c r="G712">
        <v>24</v>
      </c>
      <c r="H712">
        <v>0</v>
      </c>
      <c r="I712" t="s">
        <v>1491</v>
      </c>
      <c r="J712" t="str">
        <f>"100009226"</f>
        <v>100009226</v>
      </c>
      <c r="K712" s="1">
        <v>47663</v>
      </c>
      <c r="L712" s="1">
        <v>45838</v>
      </c>
      <c r="M712" s="1">
        <v>45838</v>
      </c>
      <c r="N712" t="str">
        <f t="shared" si="106"/>
        <v>1329002011</v>
      </c>
      <c r="O712">
        <v>24</v>
      </c>
      <c r="P712" s="2">
        <v>46245.610069444447</v>
      </c>
      <c r="Q712" s="2">
        <v>46246.919456018521</v>
      </c>
      <c r="R712" s="2">
        <v>46245.610069444447</v>
      </c>
      <c r="S712">
        <v>0</v>
      </c>
      <c r="T712" t="s">
        <v>67</v>
      </c>
      <c r="U712" t="s">
        <v>67</v>
      </c>
      <c r="W712" t="str">
        <f t="shared" ref="W712:W719" si="109">"400932"</f>
        <v>400932</v>
      </c>
      <c r="X712" t="s">
        <v>37</v>
      </c>
      <c r="AD712" s="2">
        <v>46246.919456018521</v>
      </c>
    </row>
    <row r="713" spans="1:30" x14ac:dyDescent="0.35">
      <c r="A713" t="s">
        <v>30</v>
      </c>
      <c r="B713" t="s">
        <v>31</v>
      </c>
      <c r="C713" t="s">
        <v>1492</v>
      </c>
      <c r="D713" t="s">
        <v>33</v>
      </c>
      <c r="E713" t="str">
        <f t="shared" si="108"/>
        <v>400932</v>
      </c>
      <c r="F713" t="s">
        <v>1205</v>
      </c>
      <c r="G713">
        <v>13</v>
      </c>
      <c r="H713">
        <v>0</v>
      </c>
      <c r="I713" t="s">
        <v>1493</v>
      </c>
      <c r="J713" t="str">
        <f>"100009226"</f>
        <v>100009226</v>
      </c>
      <c r="K713" s="1">
        <v>47663</v>
      </c>
      <c r="L713" s="1">
        <v>45838</v>
      </c>
      <c r="M713" s="1">
        <v>45838</v>
      </c>
      <c r="N713" t="str">
        <f t="shared" si="106"/>
        <v>1329002011</v>
      </c>
      <c r="O713">
        <v>13</v>
      </c>
      <c r="P713" s="2">
        <v>46245.611701388887</v>
      </c>
      <c r="Q713" s="2">
        <v>46246.920439814814</v>
      </c>
      <c r="R713" s="2">
        <v>46245.611701388887</v>
      </c>
      <c r="S713">
        <v>0</v>
      </c>
      <c r="T713" t="s">
        <v>67</v>
      </c>
      <c r="U713" t="s">
        <v>67</v>
      </c>
      <c r="W713" t="str">
        <f t="shared" si="109"/>
        <v>400932</v>
      </c>
      <c r="X713" t="s">
        <v>37</v>
      </c>
      <c r="AD713" s="2">
        <v>46246.920439814814</v>
      </c>
    </row>
    <row r="714" spans="1:30" x14ac:dyDescent="0.35">
      <c r="A714" t="s">
        <v>30</v>
      </c>
      <c r="B714" t="s">
        <v>31</v>
      </c>
      <c r="C714" t="s">
        <v>1494</v>
      </c>
      <c r="D714" t="s">
        <v>33</v>
      </c>
      <c r="E714" t="str">
        <f t="shared" si="108"/>
        <v>400932</v>
      </c>
      <c r="F714" t="s">
        <v>1205</v>
      </c>
      <c r="G714">
        <v>24</v>
      </c>
      <c r="H714">
        <v>0</v>
      </c>
      <c r="I714" t="s">
        <v>1495</v>
      </c>
      <c r="J714" t="str">
        <f>"100009226"</f>
        <v>100009226</v>
      </c>
      <c r="K714" s="1">
        <v>47663</v>
      </c>
      <c r="L714" s="1">
        <v>45838</v>
      </c>
      <c r="M714" s="1">
        <v>45838</v>
      </c>
      <c r="N714" t="str">
        <f t="shared" si="106"/>
        <v>1329002011</v>
      </c>
      <c r="O714">
        <v>24</v>
      </c>
      <c r="P714" s="2">
        <v>46245.611967592595</v>
      </c>
      <c r="Q714" s="2">
        <v>46246.922152777777</v>
      </c>
      <c r="R714" s="2">
        <v>46245.611967592595</v>
      </c>
      <c r="S714">
        <v>0</v>
      </c>
      <c r="T714" t="s">
        <v>67</v>
      </c>
      <c r="U714" t="s">
        <v>67</v>
      </c>
      <c r="W714" t="str">
        <f t="shared" si="109"/>
        <v>400932</v>
      </c>
      <c r="X714" t="s">
        <v>37</v>
      </c>
      <c r="AD714" s="2">
        <v>46246.922152777777</v>
      </c>
    </row>
    <row r="715" spans="1:30" x14ac:dyDescent="0.35">
      <c r="A715" t="s">
        <v>30</v>
      </c>
      <c r="B715" t="s">
        <v>31</v>
      </c>
      <c r="C715" t="s">
        <v>1496</v>
      </c>
      <c r="D715" t="s">
        <v>33</v>
      </c>
      <c r="E715" t="str">
        <f t="shared" si="108"/>
        <v>400932</v>
      </c>
      <c r="F715" t="s">
        <v>1205</v>
      </c>
      <c r="G715">
        <v>24</v>
      </c>
      <c r="H715">
        <v>0</v>
      </c>
      <c r="I715" t="s">
        <v>1497</v>
      </c>
      <c r="J715" t="str">
        <f>"100009226"</f>
        <v>100009226</v>
      </c>
      <c r="K715" s="1">
        <v>47663</v>
      </c>
      <c r="L715" s="1">
        <v>45838</v>
      </c>
      <c r="M715" s="1">
        <v>45838</v>
      </c>
      <c r="N715" t="str">
        <f t="shared" si="106"/>
        <v>1329002011</v>
      </c>
      <c r="O715">
        <v>24</v>
      </c>
      <c r="P715" s="2">
        <v>46245.612210648149</v>
      </c>
      <c r="Q715" s="2">
        <v>46246.92292824074</v>
      </c>
      <c r="R715" s="2">
        <v>46245.612210648149</v>
      </c>
      <c r="S715">
        <v>0</v>
      </c>
      <c r="T715" t="s">
        <v>67</v>
      </c>
      <c r="U715" t="s">
        <v>67</v>
      </c>
      <c r="W715" t="str">
        <f t="shared" si="109"/>
        <v>400932</v>
      </c>
      <c r="X715" t="s">
        <v>37</v>
      </c>
      <c r="AD715" s="2">
        <v>46246.92292824074</v>
      </c>
    </row>
    <row r="716" spans="1:30" x14ac:dyDescent="0.35">
      <c r="A716" t="s">
        <v>30</v>
      </c>
      <c r="B716" t="s">
        <v>31</v>
      </c>
      <c r="C716" t="s">
        <v>1498</v>
      </c>
      <c r="D716" t="s">
        <v>33</v>
      </c>
      <c r="E716" t="str">
        <f t="shared" si="108"/>
        <v>400932</v>
      </c>
      <c r="F716" t="s">
        <v>1205</v>
      </c>
      <c r="G716">
        <v>24</v>
      </c>
      <c r="H716">
        <v>0</v>
      </c>
      <c r="I716" t="s">
        <v>1499</v>
      </c>
      <c r="J716" t="str">
        <f>"100008855"</f>
        <v>100008855</v>
      </c>
      <c r="K716" s="1">
        <v>47627</v>
      </c>
      <c r="L716" s="1">
        <v>45802</v>
      </c>
      <c r="M716" s="1">
        <v>45802</v>
      </c>
      <c r="N716" t="str">
        <f t="shared" si="106"/>
        <v>1329002011</v>
      </c>
      <c r="O716">
        <v>24</v>
      </c>
      <c r="P716" s="2">
        <v>46245.61246527778</v>
      </c>
      <c r="Q716" s="2">
        <v>46246.924490740741</v>
      </c>
      <c r="R716" s="2">
        <v>46245.61246527778</v>
      </c>
      <c r="S716">
        <v>0</v>
      </c>
      <c r="T716" t="s">
        <v>67</v>
      </c>
      <c r="U716" t="s">
        <v>67</v>
      </c>
      <c r="W716" t="str">
        <f t="shared" si="109"/>
        <v>400932</v>
      </c>
      <c r="X716" t="s">
        <v>37</v>
      </c>
      <c r="AD716" s="2">
        <v>46246.924490740741</v>
      </c>
    </row>
    <row r="717" spans="1:30" x14ac:dyDescent="0.35">
      <c r="A717" t="s">
        <v>30</v>
      </c>
      <c r="B717" t="s">
        <v>31</v>
      </c>
      <c r="C717" t="s">
        <v>1500</v>
      </c>
      <c r="D717" t="s">
        <v>33</v>
      </c>
      <c r="E717" t="str">
        <f t="shared" si="108"/>
        <v>400932</v>
      </c>
      <c r="F717" t="s">
        <v>1205</v>
      </c>
      <c r="G717">
        <v>24</v>
      </c>
      <c r="H717">
        <v>0</v>
      </c>
      <c r="I717" t="s">
        <v>1501</v>
      </c>
      <c r="J717" t="str">
        <f>"100008855"</f>
        <v>100008855</v>
      </c>
      <c r="K717" s="1">
        <v>47627</v>
      </c>
      <c r="L717" s="1">
        <v>45803</v>
      </c>
      <c r="M717" s="1">
        <v>45802</v>
      </c>
      <c r="N717" t="str">
        <f t="shared" si="106"/>
        <v>1329002011</v>
      </c>
      <c r="O717">
        <v>24</v>
      </c>
      <c r="P717" s="2">
        <v>46245.61277777778</v>
      </c>
      <c r="Q717" s="2">
        <v>46246.925416666665</v>
      </c>
      <c r="R717" s="2">
        <v>46245.61277777778</v>
      </c>
      <c r="S717">
        <v>0</v>
      </c>
      <c r="T717" t="s">
        <v>67</v>
      </c>
      <c r="U717" t="s">
        <v>67</v>
      </c>
      <c r="W717" t="str">
        <f t="shared" si="109"/>
        <v>400932</v>
      </c>
      <c r="X717" t="s">
        <v>37</v>
      </c>
      <c r="AD717" s="2">
        <v>46246.925416666665</v>
      </c>
    </row>
    <row r="718" spans="1:30" x14ac:dyDescent="0.35">
      <c r="A718" t="s">
        <v>30</v>
      </c>
      <c r="B718" t="s">
        <v>31</v>
      </c>
      <c r="C718" t="s">
        <v>1502</v>
      </c>
      <c r="D718" t="s">
        <v>33</v>
      </c>
      <c r="E718" t="str">
        <f t="shared" si="108"/>
        <v>400932</v>
      </c>
      <c r="F718" t="s">
        <v>1205</v>
      </c>
      <c r="G718">
        <v>24</v>
      </c>
      <c r="H718">
        <v>0</v>
      </c>
      <c r="I718" t="s">
        <v>1503</v>
      </c>
      <c r="J718" t="str">
        <f>"100009226"</f>
        <v>100009226</v>
      </c>
      <c r="K718" s="1">
        <v>47663</v>
      </c>
      <c r="L718" s="1">
        <v>45838</v>
      </c>
      <c r="M718" s="1">
        <v>45838</v>
      </c>
      <c r="N718" t="str">
        <f t="shared" si="106"/>
        <v>1329002011</v>
      </c>
      <c r="O718">
        <v>24</v>
      </c>
      <c r="P718" s="2">
        <v>46245.613078703704</v>
      </c>
      <c r="Q718" s="2">
        <v>46246.926701388889</v>
      </c>
      <c r="R718" s="2">
        <v>46245.613078703704</v>
      </c>
      <c r="S718">
        <v>0</v>
      </c>
      <c r="T718" t="s">
        <v>67</v>
      </c>
      <c r="U718" t="s">
        <v>67</v>
      </c>
      <c r="W718" t="str">
        <f t="shared" si="109"/>
        <v>400932</v>
      </c>
      <c r="X718" t="s">
        <v>37</v>
      </c>
      <c r="AD718" s="2">
        <v>46246.926701388889</v>
      </c>
    </row>
    <row r="719" spans="1:30" x14ac:dyDescent="0.35">
      <c r="A719" t="s">
        <v>30</v>
      </c>
      <c r="B719" t="s">
        <v>31</v>
      </c>
      <c r="C719" t="s">
        <v>1504</v>
      </c>
      <c r="D719" t="s">
        <v>33</v>
      </c>
      <c r="E719" t="str">
        <f t="shared" si="108"/>
        <v>400932</v>
      </c>
      <c r="F719" t="s">
        <v>1205</v>
      </c>
      <c r="G719">
        <v>24</v>
      </c>
      <c r="H719">
        <v>0</v>
      </c>
      <c r="I719" t="s">
        <v>1505</v>
      </c>
      <c r="J719" t="str">
        <f>"100008855"</f>
        <v>100008855</v>
      </c>
      <c r="K719" s="1">
        <v>47627</v>
      </c>
      <c r="L719" s="1">
        <v>45803</v>
      </c>
      <c r="M719" s="1">
        <v>45802</v>
      </c>
      <c r="N719" t="str">
        <f t="shared" si="106"/>
        <v>1329002011</v>
      </c>
      <c r="O719">
        <v>24</v>
      </c>
      <c r="P719" s="2">
        <v>46245.61347222222</v>
      </c>
      <c r="Q719" s="2">
        <v>46246.927615740744</v>
      </c>
      <c r="R719" s="2">
        <v>46245.61347222222</v>
      </c>
      <c r="S719">
        <v>0</v>
      </c>
      <c r="T719" t="s">
        <v>67</v>
      </c>
      <c r="U719" t="s">
        <v>67</v>
      </c>
      <c r="W719" t="str">
        <f t="shared" si="109"/>
        <v>400932</v>
      </c>
      <c r="X719" t="s">
        <v>37</v>
      </c>
      <c r="AD719" s="2">
        <v>46246.927615740744</v>
      </c>
    </row>
    <row r="720" spans="1:30" x14ac:dyDescent="0.35">
      <c r="A720" t="s">
        <v>30</v>
      </c>
      <c r="B720" t="s">
        <v>31</v>
      </c>
      <c r="C720" t="s">
        <v>1506</v>
      </c>
      <c r="D720" t="s">
        <v>33</v>
      </c>
      <c r="E720" t="str">
        <f>"400984"</f>
        <v>400984</v>
      </c>
      <c r="F720" t="s">
        <v>1507</v>
      </c>
      <c r="G720">
        <v>74</v>
      </c>
      <c r="H720">
        <v>0</v>
      </c>
      <c r="I720" t="s">
        <v>1508</v>
      </c>
      <c r="J720" t="str">
        <f>"950001462"</f>
        <v>950001462</v>
      </c>
      <c r="K720" s="1">
        <v>48054</v>
      </c>
      <c r="M720" s="1">
        <v>46229</v>
      </c>
      <c r="N720" t="str">
        <f>"1329002020"</f>
        <v>1329002020</v>
      </c>
      <c r="O720">
        <v>74</v>
      </c>
      <c r="P720" s="2">
        <v>46246.644178240742</v>
      </c>
      <c r="Q720" s="2">
        <v>46246.928518518522</v>
      </c>
      <c r="R720" s="2">
        <v>46246.644178240742</v>
      </c>
      <c r="S720">
        <v>0</v>
      </c>
      <c r="T720" t="s">
        <v>67</v>
      </c>
      <c r="U720" t="s">
        <v>67</v>
      </c>
      <c r="W720" t="str">
        <f>"400984"</f>
        <v>400984</v>
      </c>
      <c r="X720" t="s">
        <v>37</v>
      </c>
      <c r="AD720" s="2">
        <v>46246.928518518522</v>
      </c>
    </row>
    <row r="721" spans="1:30" x14ac:dyDescent="0.35">
      <c r="A721" t="s">
        <v>30</v>
      </c>
      <c r="B721" t="s">
        <v>31</v>
      </c>
      <c r="C721" t="s">
        <v>1509</v>
      </c>
      <c r="D721" t="s">
        <v>33</v>
      </c>
      <c r="E721" t="str">
        <f>"400441"</f>
        <v>400441</v>
      </c>
      <c r="F721" t="s">
        <v>65</v>
      </c>
      <c r="G721">
        <v>2</v>
      </c>
      <c r="H721">
        <v>0</v>
      </c>
      <c r="I721" t="s">
        <v>1510</v>
      </c>
      <c r="J721" t="str">
        <f>"153000332"</f>
        <v>153000332</v>
      </c>
      <c r="K721" s="1">
        <v>47986</v>
      </c>
      <c r="M721" s="1">
        <v>46161</v>
      </c>
      <c r="N721" t="str">
        <f>"1329001990"</f>
        <v>1329001990</v>
      </c>
      <c r="O721">
        <v>4</v>
      </c>
      <c r="P721" s="2">
        <v>46229.476620370369</v>
      </c>
      <c r="Q721" s="2">
        <v>46249.400497685187</v>
      </c>
      <c r="R721" s="2">
        <v>46229.476620370369</v>
      </c>
      <c r="S721">
        <v>0</v>
      </c>
      <c r="T721" t="s">
        <v>67</v>
      </c>
      <c r="U721" t="s">
        <v>67</v>
      </c>
      <c r="V721" t="s">
        <v>1511</v>
      </c>
      <c r="W721" t="str">
        <f>"400441"</f>
        <v>400441</v>
      </c>
      <c r="X721" t="s">
        <v>41</v>
      </c>
      <c r="AD721" s="2">
        <v>46229.811469907407</v>
      </c>
    </row>
    <row r="722" spans="1:30" x14ac:dyDescent="0.35">
      <c r="A722" t="s">
        <v>30</v>
      </c>
      <c r="B722" t="s">
        <v>31</v>
      </c>
      <c r="C722" t="s">
        <v>1512</v>
      </c>
      <c r="D722" t="s">
        <v>33</v>
      </c>
      <c r="E722" t="str">
        <f>"400932"</f>
        <v>400932</v>
      </c>
      <c r="F722" t="s">
        <v>1205</v>
      </c>
      <c r="G722">
        <v>11</v>
      </c>
      <c r="H722">
        <v>0</v>
      </c>
      <c r="I722" t="s">
        <v>1439</v>
      </c>
      <c r="J722" t="str">
        <f>"100009226"</f>
        <v>100009226</v>
      </c>
      <c r="K722" s="1">
        <v>47663</v>
      </c>
      <c r="L722" s="1">
        <v>45838</v>
      </c>
      <c r="M722" s="1">
        <v>45838</v>
      </c>
      <c r="N722" t="str">
        <f>"1329002011"</f>
        <v>1329002011</v>
      </c>
      <c r="O722">
        <v>11</v>
      </c>
      <c r="P722" s="2">
        <v>46245.611388888887</v>
      </c>
      <c r="Q722" s="2">
        <v>46250.666909722226</v>
      </c>
      <c r="R722" s="2">
        <v>46245.611388888887</v>
      </c>
      <c r="S722">
        <v>1</v>
      </c>
      <c r="T722" t="s">
        <v>67</v>
      </c>
      <c r="U722" t="s">
        <v>67</v>
      </c>
      <c r="W722" t="str">
        <f>"400932"</f>
        <v>400932</v>
      </c>
      <c r="X722" t="s">
        <v>37</v>
      </c>
      <c r="AD722" s="2">
        <v>46250.666909722226</v>
      </c>
    </row>
    <row r="723" spans="1:30" x14ac:dyDescent="0.35">
      <c r="A723" t="s">
        <v>30</v>
      </c>
      <c r="B723" t="s">
        <v>31</v>
      </c>
      <c r="C723" t="s">
        <v>1513</v>
      </c>
      <c r="D723" t="s">
        <v>33</v>
      </c>
      <c r="E723" t="str">
        <f>"400405"</f>
        <v>400405</v>
      </c>
      <c r="F723" t="s">
        <v>519</v>
      </c>
      <c r="G723">
        <v>20</v>
      </c>
      <c r="H723">
        <v>0</v>
      </c>
      <c r="I723" t="s">
        <v>1514</v>
      </c>
      <c r="J723" t="str">
        <f>"153000440"</f>
        <v>153000440</v>
      </c>
      <c r="K723" s="1">
        <v>48036</v>
      </c>
      <c r="M723" s="1">
        <v>46211</v>
      </c>
      <c r="N723" t="str">
        <f>"1329001952"</f>
        <v>1329001952</v>
      </c>
      <c r="O723">
        <v>52</v>
      </c>
      <c r="P723" s="2">
        <v>46218.39508101852</v>
      </c>
      <c r="Q723" s="2">
        <v>46251.356678240743</v>
      </c>
      <c r="R723" s="2">
        <v>46218.39508101852</v>
      </c>
      <c r="S723">
        <v>0</v>
      </c>
      <c r="T723" t="s">
        <v>67</v>
      </c>
      <c r="U723" t="s">
        <v>67</v>
      </c>
      <c r="W723" t="str">
        <f>"400405"</f>
        <v>400405</v>
      </c>
      <c r="X723" t="s">
        <v>37</v>
      </c>
      <c r="AD723" s="2">
        <v>46218.416377314818</v>
      </c>
    </row>
    <row r="724" spans="1:30" x14ac:dyDescent="0.35">
      <c r="A724" t="s">
        <v>30</v>
      </c>
      <c r="B724" t="s">
        <v>31</v>
      </c>
      <c r="C724" t="s">
        <v>1515</v>
      </c>
      <c r="D724" t="s">
        <v>33</v>
      </c>
      <c r="E724" t="str">
        <f>"400426"</f>
        <v>400426</v>
      </c>
      <c r="F724" t="s">
        <v>34</v>
      </c>
      <c r="G724">
        <v>12</v>
      </c>
      <c r="H724">
        <v>0</v>
      </c>
      <c r="I724" t="s">
        <v>1516</v>
      </c>
      <c r="J724" t="str">
        <f>"153000403"</f>
        <v>153000403</v>
      </c>
      <c r="K724" s="1">
        <v>48016</v>
      </c>
      <c r="M724" s="1">
        <v>46191</v>
      </c>
      <c r="N724" t="str">
        <f>"1329001965"</f>
        <v>1329001965</v>
      </c>
      <c r="O724">
        <v>24</v>
      </c>
      <c r="P724" s="2">
        <v>46222.441030092596</v>
      </c>
      <c r="Q724" s="2">
        <v>46251.985810185186</v>
      </c>
      <c r="R724" s="2">
        <v>46222.441030092596</v>
      </c>
      <c r="S724">
        <v>0</v>
      </c>
      <c r="T724" t="s">
        <v>67</v>
      </c>
      <c r="U724" t="s">
        <v>67</v>
      </c>
      <c r="W724" t="str">
        <f>"400426"</f>
        <v>400426</v>
      </c>
      <c r="X724" t="s">
        <v>37</v>
      </c>
      <c r="AD724" s="2">
        <v>46222.546284722222</v>
      </c>
    </row>
    <row r="725" spans="1:30" x14ac:dyDescent="0.35">
      <c r="A725" t="s">
        <v>30</v>
      </c>
      <c r="B725" t="s">
        <v>31</v>
      </c>
      <c r="C725" t="s">
        <v>1517</v>
      </c>
      <c r="D725" t="s">
        <v>33</v>
      </c>
      <c r="E725" t="str">
        <f>"400483"</f>
        <v>400483</v>
      </c>
      <c r="F725" t="s">
        <v>1518</v>
      </c>
      <c r="G725">
        <v>2</v>
      </c>
      <c r="H725">
        <v>0</v>
      </c>
      <c r="I725" t="s">
        <v>1519</v>
      </c>
      <c r="J725" t="str">
        <f>"153000066"</f>
        <v>153000066</v>
      </c>
      <c r="K725" s="1">
        <v>47875</v>
      </c>
      <c r="M725" s="1">
        <v>46050</v>
      </c>
      <c r="N725" t="s">
        <v>1520</v>
      </c>
      <c r="O725">
        <v>2</v>
      </c>
      <c r="P725" s="2">
        <v>46251.586944444447</v>
      </c>
      <c r="Q725" s="2">
        <v>46252.390625</v>
      </c>
      <c r="R725" s="2">
        <v>46251.586944444447</v>
      </c>
      <c r="S725">
        <v>0</v>
      </c>
      <c r="T725" t="s">
        <v>67</v>
      </c>
      <c r="U725" t="s">
        <v>67</v>
      </c>
      <c r="W725" t="str">
        <f>"400483"</f>
        <v>400483</v>
      </c>
      <c r="X725" t="s">
        <v>41</v>
      </c>
      <c r="AD725" s="2">
        <v>46252.310162037036</v>
      </c>
    </row>
    <row r="726" spans="1:30" x14ac:dyDescent="0.35">
      <c r="A726" t="s">
        <v>30</v>
      </c>
      <c r="B726" t="s">
        <v>31</v>
      </c>
      <c r="C726" t="s">
        <v>1521</v>
      </c>
      <c r="D726" t="s">
        <v>33</v>
      </c>
      <c r="E726" t="str">
        <f>"400503"</f>
        <v>400503</v>
      </c>
      <c r="F726" t="s">
        <v>1295</v>
      </c>
      <c r="G726">
        <v>40</v>
      </c>
      <c r="H726">
        <v>0</v>
      </c>
      <c r="I726" t="s">
        <v>1522</v>
      </c>
      <c r="J726" t="str">
        <f>"100005436"</f>
        <v>100005436</v>
      </c>
      <c r="K726" s="1">
        <v>47262</v>
      </c>
      <c r="M726" s="1">
        <v>45437</v>
      </c>
      <c r="N726" t="str">
        <f>"1329002008"</f>
        <v>1329002008</v>
      </c>
      <c r="O726">
        <v>0</v>
      </c>
      <c r="P726" s="2">
        <v>46242.591331018521</v>
      </c>
      <c r="Q726" s="2">
        <v>46252.531354166669</v>
      </c>
      <c r="S726">
        <v>0</v>
      </c>
      <c r="U726" t="s">
        <v>67</v>
      </c>
      <c r="W726" t="str">
        <f>"400503"</f>
        <v>400503</v>
      </c>
      <c r="X726" t="s">
        <v>37</v>
      </c>
      <c r="AD726" s="2">
        <v>46242.893969907411</v>
      </c>
    </row>
    <row r="727" spans="1:30" x14ac:dyDescent="0.35">
      <c r="A727" t="s">
        <v>2182</v>
      </c>
      <c r="B727" t="s">
        <v>31</v>
      </c>
      <c r="C727" t="s">
        <v>2618</v>
      </c>
      <c r="D727" t="s">
        <v>33</v>
      </c>
      <c r="E727" t="str">
        <f t="shared" ref="E727:E750" si="110">"400514"</f>
        <v>400514</v>
      </c>
      <c r="F727" t="s">
        <v>429</v>
      </c>
      <c r="G727">
        <v>4</v>
      </c>
      <c r="H727">
        <v>0</v>
      </c>
      <c r="I727" t="s">
        <v>2571</v>
      </c>
      <c r="J727" t="str">
        <f t="shared" ref="J727:J750" si="111">"153000381"</f>
        <v>153000381</v>
      </c>
      <c r="K727" s="1">
        <v>48009</v>
      </c>
      <c r="M727" s="1">
        <v>46184</v>
      </c>
      <c r="N727" t="str">
        <f t="shared" ref="N727:N750" si="112">"1329001912"</f>
        <v>1329001912</v>
      </c>
      <c r="O727">
        <v>4</v>
      </c>
      <c r="P727" s="2">
        <v>46208.438090277778</v>
      </c>
      <c r="Q727" s="2">
        <v>46210.393703703703</v>
      </c>
      <c r="R727" s="2">
        <v>46208.438090277778</v>
      </c>
      <c r="S727">
        <v>0</v>
      </c>
      <c r="T727" t="s">
        <v>2079</v>
      </c>
      <c r="U727" t="s">
        <v>2079</v>
      </c>
      <c r="W727" t="str">
        <f t="shared" ref="W727:W750" si="113">"400514"</f>
        <v>400514</v>
      </c>
      <c r="X727" t="s">
        <v>41</v>
      </c>
      <c r="AD727" s="2">
        <v>46210.393703703703</v>
      </c>
    </row>
    <row r="728" spans="1:30" x14ac:dyDescent="0.35">
      <c r="A728" t="s">
        <v>2182</v>
      </c>
      <c r="B728" t="s">
        <v>31</v>
      </c>
      <c r="C728" t="s">
        <v>2619</v>
      </c>
      <c r="D728" t="s">
        <v>33</v>
      </c>
      <c r="E728" t="str">
        <f t="shared" si="110"/>
        <v>400514</v>
      </c>
      <c r="F728" t="s">
        <v>429</v>
      </c>
      <c r="G728">
        <v>4</v>
      </c>
      <c r="H728">
        <v>0</v>
      </c>
      <c r="I728" t="s">
        <v>2571</v>
      </c>
      <c r="J728" t="str">
        <f t="shared" si="111"/>
        <v>153000381</v>
      </c>
      <c r="K728" s="1">
        <v>48009</v>
      </c>
      <c r="M728" s="1">
        <v>46184</v>
      </c>
      <c r="N728" t="str">
        <f t="shared" si="112"/>
        <v>1329001912</v>
      </c>
      <c r="O728">
        <v>4</v>
      </c>
      <c r="P728" s="2">
        <v>46208.43787037037</v>
      </c>
      <c r="Q728" s="2">
        <v>46210.395879629628</v>
      </c>
      <c r="R728" s="2">
        <v>46208.43787037037</v>
      </c>
      <c r="S728">
        <v>0</v>
      </c>
      <c r="T728" t="s">
        <v>2079</v>
      </c>
      <c r="U728" t="s">
        <v>2079</v>
      </c>
      <c r="W728" t="str">
        <f t="shared" si="113"/>
        <v>400514</v>
      </c>
      <c r="X728" t="s">
        <v>41</v>
      </c>
      <c r="AD728" s="2">
        <v>46210.395879629628</v>
      </c>
    </row>
    <row r="729" spans="1:30" x14ac:dyDescent="0.35">
      <c r="A729" t="s">
        <v>2182</v>
      </c>
      <c r="B729" t="s">
        <v>31</v>
      </c>
      <c r="C729" t="s">
        <v>2620</v>
      </c>
      <c r="D729" t="s">
        <v>33</v>
      </c>
      <c r="E729" t="str">
        <f t="shared" si="110"/>
        <v>400514</v>
      </c>
      <c r="F729" t="s">
        <v>429</v>
      </c>
      <c r="G729">
        <v>4</v>
      </c>
      <c r="H729">
        <v>0</v>
      </c>
      <c r="I729" t="s">
        <v>2571</v>
      </c>
      <c r="J729" t="str">
        <f t="shared" si="111"/>
        <v>153000381</v>
      </c>
      <c r="K729" s="1">
        <v>48009</v>
      </c>
      <c r="M729" s="1">
        <v>46184</v>
      </c>
      <c r="N729" t="str">
        <f t="shared" si="112"/>
        <v>1329001912</v>
      </c>
      <c r="O729">
        <v>4</v>
      </c>
      <c r="P729" s="2">
        <v>46208.435150462959</v>
      </c>
      <c r="Q729" s="2">
        <v>46210.398078703707</v>
      </c>
      <c r="R729" s="2">
        <v>46208.435150462959</v>
      </c>
      <c r="S729">
        <v>0</v>
      </c>
      <c r="T729" t="s">
        <v>2079</v>
      </c>
      <c r="U729" t="s">
        <v>2079</v>
      </c>
      <c r="W729" t="str">
        <f t="shared" si="113"/>
        <v>400514</v>
      </c>
      <c r="X729" t="s">
        <v>41</v>
      </c>
      <c r="AD729" s="2">
        <v>46210.398078703707</v>
      </c>
    </row>
    <row r="730" spans="1:30" x14ac:dyDescent="0.35">
      <c r="A730" t="s">
        <v>2182</v>
      </c>
      <c r="B730" t="s">
        <v>31</v>
      </c>
      <c r="C730" t="s">
        <v>2621</v>
      </c>
      <c r="D730" t="s">
        <v>33</v>
      </c>
      <c r="E730" t="str">
        <f t="shared" si="110"/>
        <v>400514</v>
      </c>
      <c r="F730" t="s">
        <v>429</v>
      </c>
      <c r="G730">
        <v>4</v>
      </c>
      <c r="H730">
        <v>0</v>
      </c>
      <c r="I730" t="s">
        <v>2571</v>
      </c>
      <c r="J730" t="str">
        <f t="shared" si="111"/>
        <v>153000381</v>
      </c>
      <c r="K730" s="1">
        <v>48009</v>
      </c>
      <c r="M730" s="1">
        <v>46184</v>
      </c>
      <c r="N730" t="str">
        <f t="shared" si="112"/>
        <v>1329001912</v>
      </c>
      <c r="O730">
        <v>4</v>
      </c>
      <c r="P730" s="2">
        <v>46208.435601851852</v>
      </c>
      <c r="Q730" s="2">
        <v>46210.40047453704</v>
      </c>
      <c r="R730" s="2">
        <v>46208.435601851852</v>
      </c>
      <c r="S730">
        <v>0</v>
      </c>
      <c r="T730" t="s">
        <v>2079</v>
      </c>
      <c r="U730" t="s">
        <v>2079</v>
      </c>
      <c r="W730" t="str">
        <f t="shared" si="113"/>
        <v>400514</v>
      </c>
      <c r="X730" t="s">
        <v>41</v>
      </c>
      <c r="AD730" s="2">
        <v>46210.40047453704</v>
      </c>
    </row>
    <row r="731" spans="1:30" x14ac:dyDescent="0.35">
      <c r="A731" t="s">
        <v>2182</v>
      </c>
      <c r="B731" t="s">
        <v>31</v>
      </c>
      <c r="C731" t="s">
        <v>2622</v>
      </c>
      <c r="D731" t="s">
        <v>33</v>
      </c>
      <c r="E731" t="str">
        <f t="shared" si="110"/>
        <v>400514</v>
      </c>
      <c r="F731" t="s">
        <v>429</v>
      </c>
      <c r="G731">
        <v>4</v>
      </c>
      <c r="H731">
        <v>0</v>
      </c>
      <c r="I731" t="s">
        <v>2571</v>
      </c>
      <c r="J731" t="str">
        <f t="shared" si="111"/>
        <v>153000381</v>
      </c>
      <c r="K731" s="1">
        <v>48009</v>
      </c>
      <c r="M731" s="1">
        <v>46184</v>
      </c>
      <c r="N731" t="str">
        <f t="shared" si="112"/>
        <v>1329001912</v>
      </c>
      <c r="O731">
        <v>4</v>
      </c>
      <c r="P731" s="2">
        <v>46208.434907407405</v>
      </c>
      <c r="Q731" s="2">
        <v>46210.405648148146</v>
      </c>
      <c r="R731" s="2">
        <v>46208.434907407405</v>
      </c>
      <c r="S731">
        <v>0</v>
      </c>
      <c r="T731" t="s">
        <v>2079</v>
      </c>
      <c r="U731" t="s">
        <v>2079</v>
      </c>
      <c r="W731" t="str">
        <f t="shared" si="113"/>
        <v>400514</v>
      </c>
      <c r="X731" t="s">
        <v>41</v>
      </c>
      <c r="AD731" s="2">
        <v>46210.405648148146</v>
      </c>
    </row>
    <row r="732" spans="1:30" x14ac:dyDescent="0.35">
      <c r="A732" t="s">
        <v>2182</v>
      </c>
      <c r="B732" t="s">
        <v>31</v>
      </c>
      <c r="C732" t="s">
        <v>2623</v>
      </c>
      <c r="D732" t="s">
        <v>33</v>
      </c>
      <c r="E732" t="str">
        <f t="shared" si="110"/>
        <v>400514</v>
      </c>
      <c r="F732" t="s">
        <v>429</v>
      </c>
      <c r="G732">
        <v>4</v>
      </c>
      <c r="H732">
        <v>0</v>
      </c>
      <c r="I732" t="s">
        <v>2570</v>
      </c>
      <c r="J732" t="str">
        <f t="shared" si="111"/>
        <v>153000381</v>
      </c>
      <c r="K732" s="1">
        <v>48009</v>
      </c>
      <c r="M732" s="1">
        <v>46184</v>
      </c>
      <c r="N732" t="str">
        <f t="shared" si="112"/>
        <v>1329001912</v>
      </c>
      <c r="O732">
        <v>4</v>
      </c>
      <c r="P732" s="2">
        <v>46208.434641203705</v>
      </c>
      <c r="Q732" s="2">
        <v>46210.419918981483</v>
      </c>
      <c r="R732" s="2">
        <v>46208.434641203705</v>
      </c>
      <c r="S732">
        <v>0</v>
      </c>
      <c r="T732" t="s">
        <v>2079</v>
      </c>
      <c r="U732" t="s">
        <v>2079</v>
      </c>
      <c r="W732" t="str">
        <f t="shared" si="113"/>
        <v>400514</v>
      </c>
      <c r="X732" t="s">
        <v>41</v>
      </c>
      <c r="AD732" s="2">
        <v>46210.419918981483</v>
      </c>
    </row>
    <row r="733" spans="1:30" x14ac:dyDescent="0.35">
      <c r="A733" t="s">
        <v>2182</v>
      </c>
      <c r="B733" t="s">
        <v>31</v>
      </c>
      <c r="C733" t="s">
        <v>2624</v>
      </c>
      <c r="D733" t="s">
        <v>33</v>
      </c>
      <c r="E733" t="str">
        <f t="shared" si="110"/>
        <v>400514</v>
      </c>
      <c r="F733" t="s">
        <v>429</v>
      </c>
      <c r="G733">
        <v>4</v>
      </c>
      <c r="H733">
        <v>0</v>
      </c>
      <c r="I733" t="s">
        <v>2570</v>
      </c>
      <c r="J733" t="str">
        <f t="shared" si="111"/>
        <v>153000381</v>
      </c>
      <c r="K733" s="1">
        <v>48009</v>
      </c>
      <c r="M733" s="1">
        <v>46184</v>
      </c>
      <c r="N733" t="str">
        <f t="shared" si="112"/>
        <v>1329001912</v>
      </c>
      <c r="O733">
        <v>4</v>
      </c>
      <c r="P733" s="2">
        <v>46208.43582175926</v>
      </c>
      <c r="Q733" s="2">
        <v>46210.42260416667</v>
      </c>
      <c r="R733" s="2">
        <v>46208.43582175926</v>
      </c>
      <c r="S733">
        <v>0</v>
      </c>
      <c r="T733" t="s">
        <v>2079</v>
      </c>
      <c r="U733" t="s">
        <v>2079</v>
      </c>
      <c r="W733" t="str">
        <f t="shared" si="113"/>
        <v>400514</v>
      </c>
      <c r="X733" t="s">
        <v>41</v>
      </c>
      <c r="AD733" s="2">
        <v>46210.42260416667</v>
      </c>
    </row>
    <row r="734" spans="1:30" x14ac:dyDescent="0.35">
      <c r="A734" t="s">
        <v>2182</v>
      </c>
      <c r="B734" t="s">
        <v>31</v>
      </c>
      <c r="C734" t="s">
        <v>2625</v>
      </c>
      <c r="D734" t="s">
        <v>33</v>
      </c>
      <c r="E734" t="str">
        <f t="shared" si="110"/>
        <v>400514</v>
      </c>
      <c r="F734" t="s">
        <v>429</v>
      </c>
      <c r="G734">
        <v>4</v>
      </c>
      <c r="H734">
        <v>0</v>
      </c>
      <c r="I734" t="s">
        <v>2570</v>
      </c>
      <c r="J734" t="str">
        <f t="shared" si="111"/>
        <v>153000381</v>
      </c>
      <c r="K734" s="1">
        <v>48009</v>
      </c>
      <c r="M734" s="1">
        <v>46184</v>
      </c>
      <c r="N734" t="str">
        <f t="shared" si="112"/>
        <v>1329001912</v>
      </c>
      <c r="O734">
        <v>4</v>
      </c>
      <c r="P734" s="2">
        <v>46208.438298611109</v>
      </c>
      <c r="Q734" s="2">
        <v>46210.426261574074</v>
      </c>
      <c r="R734" s="2">
        <v>46208.438298611109</v>
      </c>
      <c r="S734">
        <v>0</v>
      </c>
      <c r="T734" t="s">
        <v>2079</v>
      </c>
      <c r="U734" t="s">
        <v>2079</v>
      </c>
      <c r="W734" t="str">
        <f t="shared" si="113"/>
        <v>400514</v>
      </c>
      <c r="X734" t="s">
        <v>41</v>
      </c>
      <c r="AD734" s="2">
        <v>46210.426261574074</v>
      </c>
    </row>
    <row r="735" spans="1:30" x14ac:dyDescent="0.35">
      <c r="A735" t="s">
        <v>2182</v>
      </c>
      <c r="B735" t="s">
        <v>31</v>
      </c>
      <c r="C735" t="s">
        <v>2626</v>
      </c>
      <c r="D735" t="s">
        <v>33</v>
      </c>
      <c r="E735" t="str">
        <f t="shared" si="110"/>
        <v>400514</v>
      </c>
      <c r="F735" t="s">
        <v>429</v>
      </c>
      <c r="G735">
        <v>4</v>
      </c>
      <c r="H735">
        <v>0</v>
      </c>
      <c r="I735" t="s">
        <v>2570</v>
      </c>
      <c r="J735" t="str">
        <f t="shared" si="111"/>
        <v>153000381</v>
      </c>
      <c r="K735" s="1">
        <v>48009</v>
      </c>
      <c r="M735" s="1">
        <v>46184</v>
      </c>
      <c r="N735" t="str">
        <f t="shared" si="112"/>
        <v>1329001912</v>
      </c>
      <c r="O735">
        <v>4</v>
      </c>
      <c r="P735" s="2">
        <v>46208.436342592591</v>
      </c>
      <c r="Q735" s="2">
        <v>46210.428344907406</v>
      </c>
      <c r="R735" s="2">
        <v>46208.436342592591</v>
      </c>
      <c r="S735">
        <v>0</v>
      </c>
      <c r="T735" t="s">
        <v>2079</v>
      </c>
      <c r="U735" t="s">
        <v>2079</v>
      </c>
      <c r="W735" t="str">
        <f t="shared" si="113"/>
        <v>400514</v>
      </c>
      <c r="X735" t="s">
        <v>41</v>
      </c>
      <c r="AD735" s="2">
        <v>46210.428344907406</v>
      </c>
    </row>
    <row r="736" spans="1:30" x14ac:dyDescent="0.35">
      <c r="A736" t="s">
        <v>2182</v>
      </c>
      <c r="B736" t="s">
        <v>31</v>
      </c>
      <c r="C736" t="s">
        <v>2627</v>
      </c>
      <c r="D736" t="s">
        <v>33</v>
      </c>
      <c r="E736" t="str">
        <f t="shared" si="110"/>
        <v>400514</v>
      </c>
      <c r="F736" t="s">
        <v>429</v>
      </c>
      <c r="G736">
        <v>4</v>
      </c>
      <c r="H736">
        <v>0</v>
      </c>
      <c r="I736" t="s">
        <v>2570</v>
      </c>
      <c r="J736" t="str">
        <f t="shared" si="111"/>
        <v>153000381</v>
      </c>
      <c r="K736" s="1">
        <v>48009</v>
      </c>
      <c r="M736" s="1">
        <v>46184</v>
      </c>
      <c r="N736" t="str">
        <f t="shared" si="112"/>
        <v>1329001912</v>
      </c>
      <c r="O736">
        <v>4</v>
      </c>
      <c r="P736" s="2">
        <v>46208.435381944444</v>
      </c>
      <c r="Q736" s="2">
        <v>46210.430798611109</v>
      </c>
      <c r="R736" s="2">
        <v>46208.435381944444</v>
      </c>
      <c r="S736">
        <v>0</v>
      </c>
      <c r="T736" t="s">
        <v>2079</v>
      </c>
      <c r="U736" t="s">
        <v>2079</v>
      </c>
      <c r="W736" t="str">
        <f t="shared" si="113"/>
        <v>400514</v>
      </c>
      <c r="X736" t="s">
        <v>41</v>
      </c>
      <c r="AD736" s="2">
        <v>46210.430798611109</v>
      </c>
    </row>
    <row r="737" spans="1:30" x14ac:dyDescent="0.35">
      <c r="A737" t="s">
        <v>2182</v>
      </c>
      <c r="B737" t="s">
        <v>31</v>
      </c>
      <c r="C737" t="s">
        <v>2628</v>
      </c>
      <c r="D737" t="s">
        <v>33</v>
      </c>
      <c r="E737" t="str">
        <f t="shared" si="110"/>
        <v>400514</v>
      </c>
      <c r="F737" t="s">
        <v>429</v>
      </c>
      <c r="G737">
        <v>4</v>
      </c>
      <c r="H737">
        <v>0</v>
      </c>
      <c r="I737" t="s">
        <v>2544</v>
      </c>
      <c r="J737" t="str">
        <f t="shared" si="111"/>
        <v>153000381</v>
      </c>
      <c r="K737" s="1">
        <v>48009</v>
      </c>
      <c r="M737" s="1">
        <v>46184</v>
      </c>
      <c r="N737" t="str">
        <f t="shared" si="112"/>
        <v>1329001912</v>
      </c>
      <c r="O737">
        <v>4</v>
      </c>
      <c r="P737" s="2">
        <v>46208.436053240737</v>
      </c>
      <c r="Q737" s="2">
        <v>46212.320347222223</v>
      </c>
      <c r="R737" s="2">
        <v>46208.436053240737</v>
      </c>
      <c r="S737">
        <v>0</v>
      </c>
      <c r="T737" t="s">
        <v>2079</v>
      </c>
      <c r="U737" t="s">
        <v>2079</v>
      </c>
      <c r="W737" t="str">
        <f t="shared" si="113"/>
        <v>400514</v>
      </c>
      <c r="X737" t="s">
        <v>41</v>
      </c>
      <c r="AD737" s="2">
        <v>46212.320347222223</v>
      </c>
    </row>
    <row r="738" spans="1:30" x14ac:dyDescent="0.35">
      <c r="A738" t="s">
        <v>2182</v>
      </c>
      <c r="B738" t="s">
        <v>31</v>
      </c>
      <c r="C738" t="s">
        <v>2629</v>
      </c>
      <c r="D738" t="s">
        <v>33</v>
      </c>
      <c r="E738" t="str">
        <f t="shared" si="110"/>
        <v>400514</v>
      </c>
      <c r="F738" t="s">
        <v>429</v>
      </c>
      <c r="G738">
        <v>4</v>
      </c>
      <c r="H738">
        <v>0</v>
      </c>
      <c r="I738" t="s">
        <v>2545</v>
      </c>
      <c r="J738" t="str">
        <f t="shared" si="111"/>
        <v>153000381</v>
      </c>
      <c r="K738" s="1">
        <v>48009</v>
      </c>
      <c r="M738" s="1">
        <v>46184</v>
      </c>
      <c r="N738" t="str">
        <f t="shared" si="112"/>
        <v>1329001912</v>
      </c>
      <c r="O738">
        <v>4</v>
      </c>
      <c r="P738" s="2">
        <v>46208.438761574071</v>
      </c>
      <c r="Q738" s="2">
        <v>46212.322939814818</v>
      </c>
      <c r="R738" s="2">
        <v>46208.438761574071</v>
      </c>
      <c r="S738">
        <v>0</v>
      </c>
      <c r="T738" t="s">
        <v>2079</v>
      </c>
      <c r="U738" t="s">
        <v>2079</v>
      </c>
      <c r="W738" t="str">
        <f t="shared" si="113"/>
        <v>400514</v>
      </c>
      <c r="X738" t="s">
        <v>41</v>
      </c>
      <c r="AD738" s="2">
        <v>46212.322939814818</v>
      </c>
    </row>
    <row r="739" spans="1:30" x14ac:dyDescent="0.35">
      <c r="A739" t="s">
        <v>2182</v>
      </c>
      <c r="B739" t="s">
        <v>31</v>
      </c>
      <c r="C739" t="s">
        <v>2630</v>
      </c>
      <c r="D739" t="s">
        <v>33</v>
      </c>
      <c r="E739" t="str">
        <f t="shared" si="110"/>
        <v>400514</v>
      </c>
      <c r="F739" t="s">
        <v>429</v>
      </c>
      <c r="G739">
        <v>4</v>
      </c>
      <c r="H739">
        <v>0</v>
      </c>
      <c r="I739" t="s">
        <v>2546</v>
      </c>
      <c r="J739" t="str">
        <f t="shared" si="111"/>
        <v>153000381</v>
      </c>
      <c r="K739" s="1">
        <v>48009</v>
      </c>
      <c r="M739" s="1">
        <v>46184</v>
      </c>
      <c r="N739" t="str">
        <f t="shared" si="112"/>
        <v>1329001912</v>
      </c>
      <c r="O739">
        <v>4</v>
      </c>
      <c r="P739" s="2">
        <v>46208.439120370371</v>
      </c>
      <c r="Q739" s="2">
        <v>46212.323969907404</v>
      </c>
      <c r="R739" s="2">
        <v>46208.439120370371</v>
      </c>
      <c r="S739">
        <v>0</v>
      </c>
      <c r="T739" t="s">
        <v>2079</v>
      </c>
      <c r="U739" t="s">
        <v>2079</v>
      </c>
      <c r="W739" t="str">
        <f t="shared" si="113"/>
        <v>400514</v>
      </c>
      <c r="X739" t="s">
        <v>41</v>
      </c>
      <c r="AD739" s="2">
        <v>46212.323969907404</v>
      </c>
    </row>
    <row r="740" spans="1:30" x14ac:dyDescent="0.35">
      <c r="A740" t="s">
        <v>2182</v>
      </c>
      <c r="B740" t="s">
        <v>31</v>
      </c>
      <c r="C740" t="s">
        <v>2631</v>
      </c>
      <c r="D740" t="s">
        <v>33</v>
      </c>
      <c r="E740" t="str">
        <f t="shared" si="110"/>
        <v>400514</v>
      </c>
      <c r="F740" t="s">
        <v>429</v>
      </c>
      <c r="G740">
        <v>4</v>
      </c>
      <c r="H740">
        <v>0</v>
      </c>
      <c r="I740" t="s">
        <v>2547</v>
      </c>
      <c r="J740" t="str">
        <f t="shared" si="111"/>
        <v>153000381</v>
      </c>
      <c r="K740" s="1">
        <v>48009</v>
      </c>
      <c r="M740" s="1">
        <v>46184</v>
      </c>
      <c r="N740" t="str">
        <f t="shared" si="112"/>
        <v>1329001912</v>
      </c>
      <c r="O740">
        <v>4</v>
      </c>
      <c r="P740" s="2">
        <v>46208.436921296299</v>
      </c>
      <c r="Q740" s="2">
        <v>46212.325486111113</v>
      </c>
      <c r="R740" s="2">
        <v>46208.436921296299</v>
      </c>
      <c r="S740">
        <v>0</v>
      </c>
      <c r="T740" t="s">
        <v>2079</v>
      </c>
      <c r="U740" t="s">
        <v>2079</v>
      </c>
      <c r="W740" t="str">
        <f t="shared" si="113"/>
        <v>400514</v>
      </c>
      <c r="X740" t="s">
        <v>41</v>
      </c>
      <c r="AD740" s="2">
        <v>46212.325486111113</v>
      </c>
    </row>
    <row r="741" spans="1:30" x14ac:dyDescent="0.35">
      <c r="A741" t="s">
        <v>2182</v>
      </c>
      <c r="B741" t="s">
        <v>31</v>
      </c>
      <c r="C741" t="s">
        <v>2632</v>
      </c>
      <c r="D741" t="s">
        <v>33</v>
      </c>
      <c r="E741" t="str">
        <f t="shared" si="110"/>
        <v>400514</v>
      </c>
      <c r="F741" t="s">
        <v>429</v>
      </c>
      <c r="G741">
        <v>4</v>
      </c>
      <c r="H741">
        <v>0</v>
      </c>
      <c r="I741" t="s">
        <v>2549</v>
      </c>
      <c r="J741" t="str">
        <f t="shared" si="111"/>
        <v>153000381</v>
      </c>
      <c r="K741" s="1">
        <v>48009</v>
      </c>
      <c r="M741" s="1">
        <v>46184</v>
      </c>
      <c r="N741" t="str">
        <f t="shared" si="112"/>
        <v>1329001912</v>
      </c>
      <c r="O741">
        <v>4</v>
      </c>
      <c r="P741" s="2">
        <v>46208.437175925923</v>
      </c>
      <c r="Q741" s="2">
        <v>46212.327893518515</v>
      </c>
      <c r="R741" s="2">
        <v>46208.437175925923</v>
      </c>
      <c r="S741">
        <v>0</v>
      </c>
      <c r="T741" t="s">
        <v>2079</v>
      </c>
      <c r="U741" t="s">
        <v>2079</v>
      </c>
      <c r="W741" t="str">
        <f t="shared" si="113"/>
        <v>400514</v>
      </c>
      <c r="X741" t="s">
        <v>41</v>
      </c>
      <c r="AD741" s="2">
        <v>46212.327893518515</v>
      </c>
    </row>
    <row r="742" spans="1:30" x14ac:dyDescent="0.35">
      <c r="A742" t="s">
        <v>2182</v>
      </c>
      <c r="B742" t="s">
        <v>31</v>
      </c>
      <c r="C742" t="s">
        <v>2633</v>
      </c>
      <c r="D742" t="s">
        <v>33</v>
      </c>
      <c r="E742" t="str">
        <f t="shared" si="110"/>
        <v>400514</v>
      </c>
      <c r="F742" t="s">
        <v>429</v>
      </c>
      <c r="G742">
        <v>4</v>
      </c>
      <c r="H742">
        <v>0</v>
      </c>
      <c r="I742" t="s">
        <v>2551</v>
      </c>
      <c r="J742" t="str">
        <f t="shared" si="111"/>
        <v>153000381</v>
      </c>
      <c r="K742" s="1">
        <v>48009</v>
      </c>
      <c r="M742" s="1">
        <v>46184</v>
      </c>
      <c r="N742" t="str">
        <f t="shared" si="112"/>
        <v>1329001912</v>
      </c>
      <c r="O742">
        <v>4</v>
      </c>
      <c r="P742" s="2">
        <v>46208.43990740741</v>
      </c>
      <c r="Q742" s="2">
        <v>46212.329548611109</v>
      </c>
      <c r="R742" s="2">
        <v>46208.43990740741</v>
      </c>
      <c r="S742">
        <v>0</v>
      </c>
      <c r="T742" t="s">
        <v>2079</v>
      </c>
      <c r="U742" t="s">
        <v>2079</v>
      </c>
      <c r="W742" t="str">
        <f t="shared" si="113"/>
        <v>400514</v>
      </c>
      <c r="X742" t="s">
        <v>41</v>
      </c>
      <c r="AD742" s="2">
        <v>46212.329548611109</v>
      </c>
    </row>
    <row r="743" spans="1:30" x14ac:dyDescent="0.35">
      <c r="A743" t="s">
        <v>2182</v>
      </c>
      <c r="B743" t="s">
        <v>31</v>
      </c>
      <c r="C743" t="s">
        <v>2634</v>
      </c>
      <c r="D743" t="s">
        <v>33</v>
      </c>
      <c r="E743" t="str">
        <f t="shared" si="110"/>
        <v>400514</v>
      </c>
      <c r="F743" t="s">
        <v>429</v>
      </c>
      <c r="G743">
        <v>4</v>
      </c>
      <c r="H743">
        <v>0</v>
      </c>
      <c r="I743" t="s">
        <v>2543</v>
      </c>
      <c r="J743" t="str">
        <f t="shared" si="111"/>
        <v>153000381</v>
      </c>
      <c r="K743" s="1">
        <v>48009</v>
      </c>
      <c r="M743" s="1">
        <v>46184</v>
      </c>
      <c r="N743" t="str">
        <f t="shared" si="112"/>
        <v>1329001912</v>
      </c>
      <c r="O743">
        <v>4</v>
      </c>
      <c r="P743" s="2">
        <v>46208.440358796295</v>
      </c>
      <c r="Q743" s="2">
        <v>46212.342523148145</v>
      </c>
      <c r="R743" s="2">
        <v>46208.440358796295</v>
      </c>
      <c r="S743">
        <v>0</v>
      </c>
      <c r="T743" t="s">
        <v>2079</v>
      </c>
      <c r="U743" t="s">
        <v>2079</v>
      </c>
      <c r="W743" t="str">
        <f t="shared" si="113"/>
        <v>400514</v>
      </c>
      <c r="X743" t="s">
        <v>41</v>
      </c>
      <c r="AD743" s="2">
        <v>46212.342523148145</v>
      </c>
    </row>
    <row r="744" spans="1:30" x14ac:dyDescent="0.35">
      <c r="A744" t="s">
        <v>2182</v>
      </c>
      <c r="B744" t="s">
        <v>31</v>
      </c>
      <c r="C744" t="s">
        <v>2635</v>
      </c>
      <c r="D744" t="s">
        <v>33</v>
      </c>
      <c r="E744" t="str">
        <f t="shared" si="110"/>
        <v>400514</v>
      </c>
      <c r="F744" t="s">
        <v>429</v>
      </c>
      <c r="G744">
        <v>4</v>
      </c>
      <c r="H744">
        <v>0</v>
      </c>
      <c r="I744" t="s">
        <v>2548</v>
      </c>
      <c r="J744" t="str">
        <f t="shared" si="111"/>
        <v>153000381</v>
      </c>
      <c r="K744" s="1">
        <v>48009</v>
      </c>
      <c r="M744" s="1">
        <v>46184</v>
      </c>
      <c r="N744" t="str">
        <f t="shared" si="112"/>
        <v>1329001912</v>
      </c>
      <c r="O744">
        <v>4</v>
      </c>
      <c r="P744" s="2">
        <v>46208.437418981484</v>
      </c>
      <c r="Q744" s="2">
        <v>46212.34648148148</v>
      </c>
      <c r="R744" s="2">
        <v>46208.437418981484</v>
      </c>
      <c r="S744">
        <v>0</v>
      </c>
      <c r="T744" t="s">
        <v>2079</v>
      </c>
      <c r="U744" t="s">
        <v>2079</v>
      </c>
      <c r="W744" t="str">
        <f t="shared" si="113"/>
        <v>400514</v>
      </c>
      <c r="X744" t="s">
        <v>41</v>
      </c>
      <c r="AD744" s="2">
        <v>46212.34648148148</v>
      </c>
    </row>
    <row r="745" spans="1:30" x14ac:dyDescent="0.35">
      <c r="A745" t="s">
        <v>2182</v>
      </c>
      <c r="B745" t="s">
        <v>31</v>
      </c>
      <c r="C745" t="s">
        <v>2636</v>
      </c>
      <c r="D745" t="s">
        <v>33</v>
      </c>
      <c r="E745" t="str">
        <f t="shared" si="110"/>
        <v>400514</v>
      </c>
      <c r="F745" t="s">
        <v>429</v>
      </c>
      <c r="G745">
        <v>4</v>
      </c>
      <c r="H745">
        <v>0</v>
      </c>
      <c r="I745" t="s">
        <v>2554</v>
      </c>
      <c r="J745" t="str">
        <f t="shared" si="111"/>
        <v>153000381</v>
      </c>
      <c r="K745" s="1">
        <v>48009</v>
      </c>
      <c r="M745" s="1">
        <v>46184</v>
      </c>
      <c r="N745" t="str">
        <f t="shared" si="112"/>
        <v>1329001912</v>
      </c>
      <c r="O745">
        <v>4</v>
      </c>
      <c r="P745" s="2">
        <v>46208.437650462962</v>
      </c>
      <c r="Q745" s="2">
        <v>46212.349386574075</v>
      </c>
      <c r="R745" s="2">
        <v>46208.437650462962</v>
      </c>
      <c r="S745">
        <v>0</v>
      </c>
      <c r="T745" t="s">
        <v>2079</v>
      </c>
      <c r="U745" t="s">
        <v>2079</v>
      </c>
      <c r="W745" t="str">
        <f t="shared" si="113"/>
        <v>400514</v>
      </c>
      <c r="X745" t="s">
        <v>41</v>
      </c>
      <c r="AD745" s="2">
        <v>46212.349386574075</v>
      </c>
    </row>
    <row r="746" spans="1:30" x14ac:dyDescent="0.35">
      <c r="A746" t="s">
        <v>2182</v>
      </c>
      <c r="B746" t="s">
        <v>31</v>
      </c>
      <c r="C746" t="s">
        <v>2637</v>
      </c>
      <c r="D746" t="s">
        <v>33</v>
      </c>
      <c r="E746" t="str">
        <f t="shared" si="110"/>
        <v>400514</v>
      </c>
      <c r="F746" t="s">
        <v>429</v>
      </c>
      <c r="G746">
        <v>4</v>
      </c>
      <c r="H746">
        <v>0</v>
      </c>
      <c r="I746" t="s">
        <v>2540</v>
      </c>
      <c r="J746" t="str">
        <f t="shared" si="111"/>
        <v>153000381</v>
      </c>
      <c r="K746" s="1">
        <v>48009</v>
      </c>
      <c r="M746" s="1">
        <v>46184</v>
      </c>
      <c r="N746" t="str">
        <f t="shared" si="112"/>
        <v>1329001912</v>
      </c>
      <c r="O746">
        <v>4</v>
      </c>
      <c r="P746" s="2">
        <v>46208.439375000002</v>
      </c>
      <c r="Q746" s="2">
        <v>46212.355081018519</v>
      </c>
      <c r="R746" s="2">
        <v>46208.439375000002</v>
      </c>
      <c r="S746">
        <v>0</v>
      </c>
      <c r="T746" t="s">
        <v>2079</v>
      </c>
      <c r="U746" t="s">
        <v>2079</v>
      </c>
      <c r="W746" t="str">
        <f t="shared" si="113"/>
        <v>400514</v>
      </c>
      <c r="X746" t="s">
        <v>41</v>
      </c>
      <c r="AD746" s="2">
        <v>46212.355081018519</v>
      </c>
    </row>
    <row r="747" spans="1:30" x14ac:dyDescent="0.35">
      <c r="A747" t="s">
        <v>2182</v>
      </c>
      <c r="B747" t="s">
        <v>31</v>
      </c>
      <c r="C747" t="s">
        <v>2638</v>
      </c>
      <c r="D747" t="s">
        <v>33</v>
      </c>
      <c r="E747" t="str">
        <f t="shared" si="110"/>
        <v>400514</v>
      </c>
      <c r="F747" t="s">
        <v>429</v>
      </c>
      <c r="G747">
        <v>4</v>
      </c>
      <c r="H747">
        <v>0</v>
      </c>
      <c r="I747" t="s">
        <v>2552</v>
      </c>
      <c r="J747" t="str">
        <f t="shared" si="111"/>
        <v>153000381</v>
      </c>
      <c r="K747" s="1">
        <v>48009</v>
      </c>
      <c r="M747" s="1">
        <v>46184</v>
      </c>
      <c r="N747" t="str">
        <f t="shared" si="112"/>
        <v>1329001912</v>
      </c>
      <c r="O747">
        <v>4</v>
      </c>
      <c r="P747" s="2">
        <v>46208.438530092593</v>
      </c>
      <c r="Q747" s="2">
        <v>46212.356249999997</v>
      </c>
      <c r="R747" s="2">
        <v>46208.438530092593</v>
      </c>
      <c r="S747">
        <v>0</v>
      </c>
      <c r="T747" t="s">
        <v>2079</v>
      </c>
      <c r="U747" t="s">
        <v>2079</v>
      </c>
      <c r="W747" t="str">
        <f t="shared" si="113"/>
        <v>400514</v>
      </c>
      <c r="X747" t="s">
        <v>41</v>
      </c>
      <c r="AD747" s="2">
        <v>46212.356249999997</v>
      </c>
    </row>
    <row r="748" spans="1:30" x14ac:dyDescent="0.35">
      <c r="A748" t="s">
        <v>2182</v>
      </c>
      <c r="B748" t="s">
        <v>31</v>
      </c>
      <c r="C748" t="s">
        <v>2639</v>
      </c>
      <c r="D748" t="s">
        <v>33</v>
      </c>
      <c r="E748" t="str">
        <f t="shared" si="110"/>
        <v>400514</v>
      </c>
      <c r="F748" t="s">
        <v>429</v>
      </c>
      <c r="G748">
        <v>4</v>
      </c>
      <c r="H748">
        <v>0</v>
      </c>
      <c r="I748" t="s">
        <v>2550</v>
      </c>
      <c r="J748" t="str">
        <f t="shared" si="111"/>
        <v>153000381</v>
      </c>
      <c r="K748" s="1">
        <v>48009</v>
      </c>
      <c r="M748" s="1">
        <v>46184</v>
      </c>
      <c r="N748" t="str">
        <f t="shared" si="112"/>
        <v>1329001912</v>
      </c>
      <c r="O748">
        <v>4</v>
      </c>
      <c r="P748" s="2">
        <v>46208.436574074076</v>
      </c>
      <c r="Q748" s="2">
        <v>46212.357638888891</v>
      </c>
      <c r="R748" s="2">
        <v>46208.436574074076</v>
      </c>
      <c r="S748">
        <v>0</v>
      </c>
      <c r="T748" t="s">
        <v>2079</v>
      </c>
      <c r="U748" t="s">
        <v>2079</v>
      </c>
      <c r="W748" t="str">
        <f t="shared" si="113"/>
        <v>400514</v>
      </c>
      <c r="X748" t="s">
        <v>41</v>
      </c>
      <c r="AD748" s="2">
        <v>46212.357638888891</v>
      </c>
    </row>
    <row r="749" spans="1:30" x14ac:dyDescent="0.35">
      <c r="A749" t="s">
        <v>2182</v>
      </c>
      <c r="B749" t="s">
        <v>31</v>
      </c>
      <c r="C749" t="s">
        <v>2640</v>
      </c>
      <c r="D749" t="s">
        <v>33</v>
      </c>
      <c r="E749" t="str">
        <f t="shared" si="110"/>
        <v>400514</v>
      </c>
      <c r="F749" t="s">
        <v>429</v>
      </c>
      <c r="G749">
        <v>4</v>
      </c>
      <c r="H749">
        <v>0</v>
      </c>
      <c r="I749" t="s">
        <v>2541</v>
      </c>
      <c r="J749" t="str">
        <f t="shared" si="111"/>
        <v>153000381</v>
      </c>
      <c r="K749" s="1">
        <v>48009</v>
      </c>
      <c r="M749" s="1">
        <v>46184</v>
      </c>
      <c r="N749" t="str">
        <f t="shared" si="112"/>
        <v>1329001912</v>
      </c>
      <c r="O749">
        <v>4</v>
      </c>
      <c r="P749" s="2">
        <v>46208.439641203702</v>
      </c>
      <c r="Q749" s="2">
        <v>46212.3590625</v>
      </c>
      <c r="R749" s="2">
        <v>46208.439641203702</v>
      </c>
      <c r="S749">
        <v>0</v>
      </c>
      <c r="T749" t="s">
        <v>2079</v>
      </c>
      <c r="U749" t="s">
        <v>2079</v>
      </c>
      <c r="W749" t="str">
        <f t="shared" si="113"/>
        <v>400514</v>
      </c>
      <c r="X749" t="s">
        <v>41</v>
      </c>
      <c r="AD749" s="2">
        <v>46212.3590625</v>
      </c>
    </row>
    <row r="750" spans="1:30" x14ac:dyDescent="0.35">
      <c r="A750" t="s">
        <v>2182</v>
      </c>
      <c r="B750" t="s">
        <v>31</v>
      </c>
      <c r="C750" t="s">
        <v>2641</v>
      </c>
      <c r="D750" t="s">
        <v>33</v>
      </c>
      <c r="E750" t="str">
        <f t="shared" si="110"/>
        <v>400514</v>
      </c>
      <c r="F750" t="s">
        <v>429</v>
      </c>
      <c r="G750">
        <v>4</v>
      </c>
      <c r="H750">
        <v>0</v>
      </c>
      <c r="I750" t="s">
        <v>2542</v>
      </c>
      <c r="J750" t="str">
        <f t="shared" si="111"/>
        <v>153000381</v>
      </c>
      <c r="K750" s="1">
        <v>48009</v>
      </c>
      <c r="M750" s="1">
        <v>46184</v>
      </c>
      <c r="N750" t="str">
        <f t="shared" si="112"/>
        <v>1329001912</v>
      </c>
      <c r="O750">
        <v>4</v>
      </c>
      <c r="P750" s="2">
        <v>46208.440115740741</v>
      </c>
      <c r="Q750" s="2">
        <v>46212.367395833331</v>
      </c>
      <c r="R750" s="2">
        <v>46208.440115740741</v>
      </c>
      <c r="S750">
        <v>0</v>
      </c>
      <c r="T750" t="s">
        <v>2079</v>
      </c>
      <c r="U750" t="s">
        <v>2079</v>
      </c>
      <c r="W750" t="str">
        <f t="shared" si="113"/>
        <v>400514</v>
      </c>
      <c r="X750" t="s">
        <v>41</v>
      </c>
      <c r="AD750" s="2">
        <v>46212.367395833331</v>
      </c>
    </row>
    <row r="751" spans="1:30" x14ac:dyDescent="0.35">
      <c r="A751" t="s">
        <v>2182</v>
      </c>
      <c r="B751" t="s">
        <v>31</v>
      </c>
      <c r="C751" t="s">
        <v>2642</v>
      </c>
      <c r="D751" t="s">
        <v>33</v>
      </c>
      <c r="E751" t="str">
        <f t="shared" ref="E751:E765" si="114">"400417"</f>
        <v>400417</v>
      </c>
      <c r="F751" t="s">
        <v>376</v>
      </c>
      <c r="G751">
        <v>24</v>
      </c>
      <c r="H751">
        <v>0</v>
      </c>
      <c r="I751" t="s">
        <v>2577</v>
      </c>
      <c r="J751" t="str">
        <f t="shared" ref="J751:J765" si="115">"153000398"</f>
        <v>153000398</v>
      </c>
      <c r="K751" s="1">
        <v>48014</v>
      </c>
      <c r="M751" s="1">
        <v>46189</v>
      </c>
      <c r="N751" t="str">
        <f t="shared" ref="N751:N765" si="116">"1329001930"</f>
        <v>1329001930</v>
      </c>
      <c r="O751">
        <v>24</v>
      </c>
      <c r="P751" s="2">
        <v>46215.345416666663</v>
      </c>
      <c r="Q751" s="2">
        <v>46215.383668981478</v>
      </c>
      <c r="R751" s="2">
        <v>46215.345416666663</v>
      </c>
      <c r="S751">
        <v>0</v>
      </c>
      <c r="T751" t="s">
        <v>2079</v>
      </c>
      <c r="U751" t="s">
        <v>2079</v>
      </c>
      <c r="W751" t="str">
        <f t="shared" ref="W751:W765" si="117">"400417"</f>
        <v>400417</v>
      </c>
      <c r="X751" t="s">
        <v>378</v>
      </c>
      <c r="AD751" s="2">
        <v>46215.383668981478</v>
      </c>
    </row>
    <row r="752" spans="1:30" x14ac:dyDescent="0.35">
      <c r="A752" t="s">
        <v>2182</v>
      </c>
      <c r="B752" t="s">
        <v>31</v>
      </c>
      <c r="C752" t="s">
        <v>2643</v>
      </c>
      <c r="D752" t="s">
        <v>33</v>
      </c>
      <c r="E752" t="str">
        <f t="shared" si="114"/>
        <v>400417</v>
      </c>
      <c r="F752" t="s">
        <v>376</v>
      </c>
      <c r="G752">
        <v>24</v>
      </c>
      <c r="H752">
        <v>0</v>
      </c>
      <c r="I752" t="s">
        <v>2558</v>
      </c>
      <c r="J752" t="str">
        <f t="shared" si="115"/>
        <v>153000398</v>
      </c>
      <c r="K752" s="1">
        <v>48014</v>
      </c>
      <c r="M752" s="1">
        <v>46189</v>
      </c>
      <c r="N752" t="str">
        <f t="shared" si="116"/>
        <v>1329001930</v>
      </c>
      <c r="O752">
        <v>24</v>
      </c>
      <c r="P752" s="2">
        <v>46215.346053240741</v>
      </c>
      <c r="Q752" s="2">
        <v>46215.385659722226</v>
      </c>
      <c r="R752" s="2">
        <v>46215.346053240741</v>
      </c>
      <c r="S752">
        <v>0</v>
      </c>
      <c r="T752" t="s">
        <v>2079</v>
      </c>
      <c r="U752" t="s">
        <v>2079</v>
      </c>
      <c r="W752" t="str">
        <f t="shared" si="117"/>
        <v>400417</v>
      </c>
      <c r="X752" t="s">
        <v>378</v>
      </c>
      <c r="AD752" s="2">
        <v>46215.385659722226</v>
      </c>
    </row>
    <row r="753" spans="1:30" x14ac:dyDescent="0.35">
      <c r="A753" t="s">
        <v>2182</v>
      </c>
      <c r="B753" t="s">
        <v>31</v>
      </c>
      <c r="C753" t="s">
        <v>2644</v>
      </c>
      <c r="D753" t="s">
        <v>33</v>
      </c>
      <c r="E753" t="str">
        <f t="shared" si="114"/>
        <v>400417</v>
      </c>
      <c r="F753" t="s">
        <v>376</v>
      </c>
      <c r="G753">
        <v>24</v>
      </c>
      <c r="H753">
        <v>0</v>
      </c>
      <c r="I753" t="s">
        <v>2594</v>
      </c>
      <c r="J753" t="str">
        <f t="shared" si="115"/>
        <v>153000398</v>
      </c>
      <c r="K753" s="1">
        <v>48014</v>
      </c>
      <c r="M753" s="1">
        <v>46189</v>
      </c>
      <c r="N753" t="str">
        <f t="shared" si="116"/>
        <v>1329001930</v>
      </c>
      <c r="O753">
        <v>24</v>
      </c>
      <c r="P753" s="2">
        <v>46215.346388888887</v>
      </c>
      <c r="Q753" s="2">
        <v>46215.387557870374</v>
      </c>
      <c r="R753" s="2">
        <v>46215.346388888887</v>
      </c>
      <c r="S753">
        <v>0</v>
      </c>
      <c r="T753" t="s">
        <v>2079</v>
      </c>
      <c r="U753" t="s">
        <v>2079</v>
      </c>
      <c r="W753" t="str">
        <f t="shared" si="117"/>
        <v>400417</v>
      </c>
      <c r="X753" t="s">
        <v>378</v>
      </c>
      <c r="AD753" s="2">
        <v>46215.387557870374</v>
      </c>
    </row>
    <row r="754" spans="1:30" x14ac:dyDescent="0.35">
      <c r="A754" t="s">
        <v>2182</v>
      </c>
      <c r="B754" t="s">
        <v>31</v>
      </c>
      <c r="C754" t="s">
        <v>2645</v>
      </c>
      <c r="D754" t="s">
        <v>33</v>
      </c>
      <c r="E754" t="str">
        <f t="shared" si="114"/>
        <v>400417</v>
      </c>
      <c r="F754" t="s">
        <v>376</v>
      </c>
      <c r="G754">
        <v>24</v>
      </c>
      <c r="H754">
        <v>0</v>
      </c>
      <c r="I754" t="s">
        <v>2560</v>
      </c>
      <c r="J754" t="str">
        <f t="shared" si="115"/>
        <v>153000398</v>
      </c>
      <c r="K754" s="1">
        <v>48014</v>
      </c>
      <c r="M754" s="1">
        <v>46189</v>
      </c>
      <c r="N754" t="str">
        <f t="shared" si="116"/>
        <v>1329001930</v>
      </c>
      <c r="O754">
        <v>24</v>
      </c>
      <c r="P754" s="2">
        <v>46215.346782407411</v>
      </c>
      <c r="Q754" s="2">
        <v>46215.388460648152</v>
      </c>
      <c r="R754" s="2">
        <v>46215.346782407411</v>
      </c>
      <c r="S754">
        <v>0</v>
      </c>
      <c r="T754" t="s">
        <v>2079</v>
      </c>
      <c r="U754" t="s">
        <v>2079</v>
      </c>
      <c r="W754" t="str">
        <f t="shared" si="117"/>
        <v>400417</v>
      </c>
      <c r="X754" t="s">
        <v>378</v>
      </c>
      <c r="AD754" s="2">
        <v>46215.388460648152</v>
      </c>
    </row>
    <row r="755" spans="1:30" x14ac:dyDescent="0.35">
      <c r="A755" t="s">
        <v>2182</v>
      </c>
      <c r="B755" t="s">
        <v>31</v>
      </c>
      <c r="C755" t="s">
        <v>2646</v>
      </c>
      <c r="D755" t="s">
        <v>33</v>
      </c>
      <c r="E755" t="str">
        <f t="shared" si="114"/>
        <v>400417</v>
      </c>
      <c r="F755" t="s">
        <v>376</v>
      </c>
      <c r="G755">
        <v>24</v>
      </c>
      <c r="H755">
        <v>0</v>
      </c>
      <c r="I755" t="s">
        <v>2563</v>
      </c>
      <c r="J755" t="str">
        <f t="shared" si="115"/>
        <v>153000398</v>
      </c>
      <c r="K755" s="1">
        <v>48014</v>
      </c>
      <c r="M755" s="1">
        <v>46189</v>
      </c>
      <c r="N755" t="str">
        <f t="shared" si="116"/>
        <v>1329001930</v>
      </c>
      <c r="O755">
        <v>24</v>
      </c>
      <c r="P755" s="2">
        <v>46215.347141203703</v>
      </c>
      <c r="Q755" s="2">
        <v>46215.390694444446</v>
      </c>
      <c r="R755" s="2">
        <v>46215.347141203703</v>
      </c>
      <c r="S755">
        <v>0</v>
      </c>
      <c r="T755" t="s">
        <v>2079</v>
      </c>
      <c r="U755" t="s">
        <v>2079</v>
      </c>
      <c r="W755" t="str">
        <f t="shared" si="117"/>
        <v>400417</v>
      </c>
      <c r="X755" t="s">
        <v>378</v>
      </c>
      <c r="AD755" s="2">
        <v>46215.390694444446</v>
      </c>
    </row>
    <row r="756" spans="1:30" x14ac:dyDescent="0.35">
      <c r="A756" t="s">
        <v>2182</v>
      </c>
      <c r="B756" t="s">
        <v>31</v>
      </c>
      <c r="C756" t="s">
        <v>2647</v>
      </c>
      <c r="D756" t="s">
        <v>33</v>
      </c>
      <c r="E756" t="str">
        <f t="shared" si="114"/>
        <v>400417</v>
      </c>
      <c r="F756" t="s">
        <v>376</v>
      </c>
      <c r="G756">
        <v>24</v>
      </c>
      <c r="H756">
        <v>0</v>
      </c>
      <c r="I756" t="s">
        <v>2648</v>
      </c>
      <c r="J756" t="str">
        <f t="shared" si="115"/>
        <v>153000398</v>
      </c>
      <c r="K756" s="1">
        <v>48014</v>
      </c>
      <c r="M756" s="1">
        <v>46189</v>
      </c>
      <c r="N756" t="str">
        <f t="shared" si="116"/>
        <v>1329001930</v>
      </c>
      <c r="O756">
        <v>24</v>
      </c>
      <c r="P756" s="2">
        <v>46215.347511574073</v>
      </c>
      <c r="Q756" s="2">
        <v>46215.392326388886</v>
      </c>
      <c r="R756" s="2">
        <v>46215.347511574073</v>
      </c>
      <c r="S756">
        <v>0</v>
      </c>
      <c r="T756" t="s">
        <v>2079</v>
      </c>
      <c r="U756" t="s">
        <v>2079</v>
      </c>
      <c r="W756" t="str">
        <f t="shared" si="117"/>
        <v>400417</v>
      </c>
      <c r="X756" t="s">
        <v>378</v>
      </c>
      <c r="AD756" s="2">
        <v>46215.392326388886</v>
      </c>
    </row>
    <row r="757" spans="1:30" x14ac:dyDescent="0.35">
      <c r="A757" t="s">
        <v>2182</v>
      </c>
      <c r="B757" t="s">
        <v>31</v>
      </c>
      <c r="C757" t="s">
        <v>2649</v>
      </c>
      <c r="D757" t="s">
        <v>33</v>
      </c>
      <c r="E757" t="str">
        <f t="shared" si="114"/>
        <v>400417</v>
      </c>
      <c r="F757" t="s">
        <v>376</v>
      </c>
      <c r="G757">
        <v>24</v>
      </c>
      <c r="H757">
        <v>0</v>
      </c>
      <c r="I757" t="s">
        <v>2584</v>
      </c>
      <c r="J757" t="str">
        <f t="shared" si="115"/>
        <v>153000398</v>
      </c>
      <c r="K757" s="1">
        <v>48014</v>
      </c>
      <c r="M757" s="1">
        <v>46189</v>
      </c>
      <c r="N757" t="str">
        <f t="shared" si="116"/>
        <v>1329001930</v>
      </c>
      <c r="O757">
        <v>24</v>
      </c>
      <c r="P757" s="2">
        <v>46215.347858796296</v>
      </c>
      <c r="Q757" s="2">
        <v>46215.394594907404</v>
      </c>
      <c r="R757" s="2">
        <v>46215.347858796296</v>
      </c>
      <c r="S757">
        <v>0</v>
      </c>
      <c r="T757" t="s">
        <v>2079</v>
      </c>
      <c r="U757" t="s">
        <v>2079</v>
      </c>
      <c r="W757" t="str">
        <f t="shared" si="117"/>
        <v>400417</v>
      </c>
      <c r="X757" t="s">
        <v>378</v>
      </c>
      <c r="AD757" s="2">
        <v>46215.394594907404</v>
      </c>
    </row>
    <row r="758" spans="1:30" x14ac:dyDescent="0.35">
      <c r="A758" t="s">
        <v>2182</v>
      </c>
      <c r="B758" t="s">
        <v>31</v>
      </c>
      <c r="C758" t="s">
        <v>2650</v>
      </c>
      <c r="D758" t="s">
        <v>33</v>
      </c>
      <c r="E758" t="str">
        <f t="shared" si="114"/>
        <v>400417</v>
      </c>
      <c r="F758" t="s">
        <v>376</v>
      </c>
      <c r="G758">
        <v>24</v>
      </c>
      <c r="H758">
        <v>0</v>
      </c>
      <c r="I758" t="s">
        <v>2651</v>
      </c>
      <c r="J758" t="str">
        <f t="shared" si="115"/>
        <v>153000398</v>
      </c>
      <c r="K758" s="1">
        <v>48014</v>
      </c>
      <c r="M758" s="1">
        <v>46189</v>
      </c>
      <c r="N758" t="str">
        <f t="shared" si="116"/>
        <v>1329001930</v>
      </c>
      <c r="O758">
        <v>24</v>
      </c>
      <c r="P758" s="2">
        <v>46215.348182870373</v>
      </c>
      <c r="Q758" s="2">
        <v>46215.397002314814</v>
      </c>
      <c r="R758" s="2">
        <v>46215.348182870373</v>
      </c>
      <c r="S758">
        <v>0</v>
      </c>
      <c r="T758" t="s">
        <v>2079</v>
      </c>
      <c r="U758" t="s">
        <v>2079</v>
      </c>
      <c r="W758" t="str">
        <f t="shared" si="117"/>
        <v>400417</v>
      </c>
      <c r="X758" t="s">
        <v>378</v>
      </c>
      <c r="AD758" s="2">
        <v>46215.397002314814</v>
      </c>
    </row>
    <row r="759" spans="1:30" x14ac:dyDescent="0.35">
      <c r="A759" t="s">
        <v>2182</v>
      </c>
      <c r="B759" t="s">
        <v>31</v>
      </c>
      <c r="C759" t="s">
        <v>2652</v>
      </c>
      <c r="D759" t="s">
        <v>33</v>
      </c>
      <c r="E759" t="str">
        <f t="shared" si="114"/>
        <v>400417</v>
      </c>
      <c r="F759" t="s">
        <v>376</v>
      </c>
      <c r="G759">
        <v>24</v>
      </c>
      <c r="H759">
        <v>0</v>
      </c>
      <c r="I759" t="s">
        <v>2653</v>
      </c>
      <c r="J759" t="str">
        <f t="shared" si="115"/>
        <v>153000398</v>
      </c>
      <c r="K759" s="1">
        <v>48014</v>
      </c>
      <c r="M759" s="1">
        <v>46189</v>
      </c>
      <c r="N759" t="str">
        <f t="shared" si="116"/>
        <v>1329001930</v>
      </c>
      <c r="O759">
        <v>24</v>
      </c>
      <c r="P759" s="2">
        <v>46215.34851851852</v>
      </c>
      <c r="Q759" s="2">
        <v>46215.399907407409</v>
      </c>
      <c r="R759" s="2">
        <v>46215.34851851852</v>
      </c>
      <c r="S759">
        <v>0</v>
      </c>
      <c r="T759" t="s">
        <v>2079</v>
      </c>
      <c r="U759" t="s">
        <v>2079</v>
      </c>
      <c r="W759" t="str">
        <f t="shared" si="117"/>
        <v>400417</v>
      </c>
      <c r="X759" t="s">
        <v>378</v>
      </c>
      <c r="AD759" s="2">
        <v>46215.399907407409</v>
      </c>
    </row>
    <row r="760" spans="1:30" x14ac:dyDescent="0.35">
      <c r="A760" t="s">
        <v>2182</v>
      </c>
      <c r="B760" t="s">
        <v>31</v>
      </c>
      <c r="C760" t="s">
        <v>2654</v>
      </c>
      <c r="D760" t="s">
        <v>33</v>
      </c>
      <c r="E760" t="str">
        <f t="shared" si="114"/>
        <v>400417</v>
      </c>
      <c r="F760" t="s">
        <v>376</v>
      </c>
      <c r="G760">
        <v>24</v>
      </c>
      <c r="H760">
        <v>0</v>
      </c>
      <c r="I760" t="s">
        <v>2587</v>
      </c>
      <c r="J760" t="str">
        <f t="shared" si="115"/>
        <v>153000398</v>
      </c>
      <c r="K760" s="1">
        <v>48014</v>
      </c>
      <c r="M760" s="1">
        <v>46189</v>
      </c>
      <c r="N760" t="str">
        <f t="shared" si="116"/>
        <v>1329001930</v>
      </c>
      <c r="O760">
        <v>24</v>
      </c>
      <c r="P760" s="2">
        <v>46215.34884259259</v>
      </c>
      <c r="Q760" s="2">
        <v>46215.400694444441</v>
      </c>
      <c r="R760" s="2">
        <v>46215.34884259259</v>
      </c>
      <c r="S760">
        <v>0</v>
      </c>
      <c r="T760" t="s">
        <v>2079</v>
      </c>
      <c r="U760" t="s">
        <v>2079</v>
      </c>
      <c r="W760" t="str">
        <f t="shared" si="117"/>
        <v>400417</v>
      </c>
      <c r="X760" t="s">
        <v>378</v>
      </c>
      <c r="AD760" s="2">
        <v>46215.400694444441</v>
      </c>
    </row>
    <row r="761" spans="1:30" x14ac:dyDescent="0.35">
      <c r="A761" t="s">
        <v>2182</v>
      </c>
      <c r="B761" t="s">
        <v>31</v>
      </c>
      <c r="C761" t="s">
        <v>2655</v>
      </c>
      <c r="D761" t="s">
        <v>33</v>
      </c>
      <c r="E761" t="str">
        <f t="shared" si="114"/>
        <v>400417</v>
      </c>
      <c r="F761" t="s">
        <v>376</v>
      </c>
      <c r="G761">
        <v>24</v>
      </c>
      <c r="H761">
        <v>0</v>
      </c>
      <c r="I761" t="s">
        <v>2656</v>
      </c>
      <c r="J761" t="str">
        <f t="shared" si="115"/>
        <v>153000398</v>
      </c>
      <c r="K761" s="1">
        <v>48014</v>
      </c>
      <c r="M761" s="1">
        <v>46189</v>
      </c>
      <c r="N761" t="str">
        <f t="shared" si="116"/>
        <v>1329001930</v>
      </c>
      <c r="O761">
        <v>24</v>
      </c>
      <c r="P761" s="2">
        <v>46215.349247685182</v>
      </c>
      <c r="Q761" s="2">
        <v>46215.402905092589</v>
      </c>
      <c r="R761" s="2">
        <v>46215.349247685182</v>
      </c>
      <c r="S761">
        <v>0</v>
      </c>
      <c r="T761" t="s">
        <v>2079</v>
      </c>
      <c r="U761" t="s">
        <v>2079</v>
      </c>
      <c r="W761" t="str">
        <f t="shared" si="117"/>
        <v>400417</v>
      </c>
      <c r="X761" t="s">
        <v>378</v>
      </c>
      <c r="AD761" s="2">
        <v>46215.402905092589</v>
      </c>
    </row>
    <row r="762" spans="1:30" x14ac:dyDescent="0.35">
      <c r="A762" t="s">
        <v>2182</v>
      </c>
      <c r="B762" t="s">
        <v>31</v>
      </c>
      <c r="C762" t="s">
        <v>2657</v>
      </c>
      <c r="D762" t="s">
        <v>33</v>
      </c>
      <c r="E762" t="str">
        <f t="shared" si="114"/>
        <v>400417</v>
      </c>
      <c r="F762" t="s">
        <v>376</v>
      </c>
      <c r="G762">
        <v>24</v>
      </c>
      <c r="H762">
        <v>0</v>
      </c>
      <c r="I762" t="s">
        <v>2565</v>
      </c>
      <c r="J762" t="str">
        <f t="shared" si="115"/>
        <v>153000398</v>
      </c>
      <c r="K762" s="1">
        <v>48014</v>
      </c>
      <c r="M762" s="1">
        <v>46189</v>
      </c>
      <c r="N762" t="str">
        <f t="shared" si="116"/>
        <v>1329001930</v>
      </c>
      <c r="O762">
        <v>24</v>
      </c>
      <c r="P762" s="2">
        <v>46215.349594907406</v>
      </c>
      <c r="Q762" s="2">
        <v>46215.403923611113</v>
      </c>
      <c r="R762" s="2">
        <v>46215.349594907406</v>
      </c>
      <c r="S762">
        <v>0</v>
      </c>
      <c r="T762" t="s">
        <v>2079</v>
      </c>
      <c r="U762" t="s">
        <v>2079</v>
      </c>
      <c r="W762" t="str">
        <f t="shared" si="117"/>
        <v>400417</v>
      </c>
      <c r="X762" t="s">
        <v>378</v>
      </c>
      <c r="AD762" s="2">
        <v>46215.403923611113</v>
      </c>
    </row>
    <row r="763" spans="1:30" x14ac:dyDescent="0.35">
      <c r="A763" t="s">
        <v>2182</v>
      </c>
      <c r="B763" t="s">
        <v>31</v>
      </c>
      <c r="C763" t="s">
        <v>2658</v>
      </c>
      <c r="D763" t="s">
        <v>33</v>
      </c>
      <c r="E763" t="str">
        <f t="shared" si="114"/>
        <v>400417</v>
      </c>
      <c r="F763" t="s">
        <v>376</v>
      </c>
      <c r="G763">
        <v>24</v>
      </c>
      <c r="H763">
        <v>0</v>
      </c>
      <c r="I763" t="s">
        <v>2659</v>
      </c>
      <c r="J763" t="str">
        <f t="shared" si="115"/>
        <v>153000398</v>
      </c>
      <c r="K763" s="1">
        <v>48014</v>
      </c>
      <c r="M763" s="1">
        <v>46189</v>
      </c>
      <c r="N763" t="str">
        <f t="shared" si="116"/>
        <v>1329001930</v>
      </c>
      <c r="O763">
        <v>24</v>
      </c>
      <c r="P763" s="2">
        <v>46215.349895833337</v>
      </c>
      <c r="Q763" s="2">
        <v>46215.404537037037</v>
      </c>
      <c r="R763" s="2">
        <v>46215.349895833337</v>
      </c>
      <c r="S763">
        <v>0</v>
      </c>
      <c r="T763" t="s">
        <v>2079</v>
      </c>
      <c r="U763" t="s">
        <v>2079</v>
      </c>
      <c r="W763" t="str">
        <f t="shared" si="117"/>
        <v>400417</v>
      </c>
      <c r="X763" t="s">
        <v>378</v>
      </c>
      <c r="AD763" s="2">
        <v>46215.404537037037</v>
      </c>
    </row>
    <row r="764" spans="1:30" x14ac:dyDescent="0.35">
      <c r="A764" t="s">
        <v>2182</v>
      </c>
      <c r="B764" t="s">
        <v>31</v>
      </c>
      <c r="C764" t="s">
        <v>2660</v>
      </c>
      <c r="D764" t="s">
        <v>33</v>
      </c>
      <c r="E764" t="str">
        <f t="shared" si="114"/>
        <v>400417</v>
      </c>
      <c r="F764" t="s">
        <v>376</v>
      </c>
      <c r="G764">
        <v>24</v>
      </c>
      <c r="H764">
        <v>0</v>
      </c>
      <c r="I764" t="s">
        <v>2562</v>
      </c>
      <c r="J764" t="str">
        <f t="shared" si="115"/>
        <v>153000398</v>
      </c>
      <c r="K764" s="1">
        <v>48014</v>
      </c>
      <c r="M764" s="1">
        <v>46189</v>
      </c>
      <c r="N764" t="str">
        <f t="shared" si="116"/>
        <v>1329001930</v>
      </c>
      <c r="O764">
        <v>24</v>
      </c>
      <c r="P764" s="2">
        <v>46215.350277777776</v>
      </c>
      <c r="Q764" s="2">
        <v>46215.405833333331</v>
      </c>
      <c r="R764" s="2">
        <v>46215.350277777776</v>
      </c>
      <c r="S764">
        <v>0</v>
      </c>
      <c r="T764" t="s">
        <v>2079</v>
      </c>
      <c r="U764" t="s">
        <v>2079</v>
      </c>
      <c r="W764" t="str">
        <f t="shared" si="117"/>
        <v>400417</v>
      </c>
      <c r="X764" t="s">
        <v>378</v>
      </c>
      <c r="AD764" s="2">
        <v>46215.405833333331</v>
      </c>
    </row>
    <row r="765" spans="1:30" x14ac:dyDescent="0.35">
      <c r="A765" t="s">
        <v>2182</v>
      </c>
      <c r="B765" t="s">
        <v>31</v>
      </c>
      <c r="C765" t="s">
        <v>2661</v>
      </c>
      <c r="D765" t="s">
        <v>33</v>
      </c>
      <c r="E765" t="str">
        <f t="shared" si="114"/>
        <v>400417</v>
      </c>
      <c r="F765" t="s">
        <v>376</v>
      </c>
      <c r="G765">
        <v>24</v>
      </c>
      <c r="H765">
        <v>0</v>
      </c>
      <c r="I765" t="s">
        <v>2662</v>
      </c>
      <c r="J765" t="str">
        <f t="shared" si="115"/>
        <v>153000398</v>
      </c>
      <c r="K765" s="1">
        <v>48014</v>
      </c>
      <c r="M765" s="1">
        <v>46189</v>
      </c>
      <c r="N765" t="str">
        <f t="shared" si="116"/>
        <v>1329001930</v>
      </c>
      <c r="O765">
        <v>24</v>
      </c>
      <c r="P765" s="2">
        <v>46215.350613425922</v>
      </c>
      <c r="Q765" s="2">
        <v>46215.408356481479</v>
      </c>
      <c r="R765" s="2">
        <v>46215.350613425922</v>
      </c>
      <c r="S765">
        <v>0</v>
      </c>
      <c r="T765" t="s">
        <v>2079</v>
      </c>
      <c r="U765" t="s">
        <v>2079</v>
      </c>
      <c r="W765" t="str">
        <f t="shared" si="117"/>
        <v>400417</v>
      </c>
      <c r="X765" t="s">
        <v>378</v>
      </c>
      <c r="AD765" s="2">
        <v>46215.408356481479</v>
      </c>
    </row>
    <row r="766" spans="1:30" x14ac:dyDescent="0.35">
      <c r="A766" t="s">
        <v>2182</v>
      </c>
      <c r="B766" t="s">
        <v>31</v>
      </c>
      <c r="C766" t="s">
        <v>2663</v>
      </c>
      <c r="D766" t="s">
        <v>33</v>
      </c>
      <c r="E766" t="str">
        <f t="shared" ref="E766:E772" si="118">"400919"</f>
        <v>400919</v>
      </c>
      <c r="F766" t="s">
        <v>2573</v>
      </c>
      <c r="G766">
        <v>24</v>
      </c>
      <c r="H766">
        <v>0</v>
      </c>
      <c r="I766" t="s">
        <v>2664</v>
      </c>
      <c r="J766" t="str">
        <f t="shared" ref="J766:J772" si="119">"153000353"</f>
        <v>153000353</v>
      </c>
      <c r="K766" s="1">
        <v>48002</v>
      </c>
      <c r="M766" s="1">
        <v>46177</v>
      </c>
      <c r="N766" t="str">
        <f t="shared" ref="N766:N777" si="120">"1329001935"</f>
        <v>1329001935</v>
      </c>
      <c r="O766">
        <v>24</v>
      </c>
      <c r="P766" s="2">
        <v>46217.553368055553</v>
      </c>
      <c r="Q766" s="2">
        <v>46217.595578703702</v>
      </c>
      <c r="R766" s="2">
        <v>46217.553368055553</v>
      </c>
      <c r="S766">
        <v>0</v>
      </c>
      <c r="T766" t="s">
        <v>2079</v>
      </c>
      <c r="U766" t="s">
        <v>2079</v>
      </c>
      <c r="V766" t="s">
        <v>2665</v>
      </c>
      <c r="W766" t="str">
        <f t="shared" ref="W766:W772" si="121">"400919"</f>
        <v>400919</v>
      </c>
      <c r="X766" t="s">
        <v>37</v>
      </c>
      <c r="AD766" s="2">
        <v>46217.595486111109</v>
      </c>
    </row>
    <row r="767" spans="1:30" x14ac:dyDescent="0.35">
      <c r="A767" t="s">
        <v>2182</v>
      </c>
      <c r="B767" t="s">
        <v>31</v>
      </c>
      <c r="C767" t="s">
        <v>2666</v>
      </c>
      <c r="D767" t="s">
        <v>33</v>
      </c>
      <c r="E767" t="str">
        <f t="shared" si="118"/>
        <v>400919</v>
      </c>
      <c r="F767" t="s">
        <v>2573</v>
      </c>
      <c r="G767">
        <v>24</v>
      </c>
      <c r="H767">
        <v>0</v>
      </c>
      <c r="I767" t="s">
        <v>2665</v>
      </c>
      <c r="J767" t="str">
        <f t="shared" si="119"/>
        <v>153000353</v>
      </c>
      <c r="K767" s="1">
        <v>48002</v>
      </c>
      <c r="M767" s="1">
        <v>46177</v>
      </c>
      <c r="N767" t="str">
        <f t="shared" si="120"/>
        <v>1329001935</v>
      </c>
      <c r="O767">
        <v>24</v>
      </c>
      <c r="P767" s="2">
        <v>46217.553831018522</v>
      </c>
      <c r="Q767" s="2">
        <v>46217.597488425927</v>
      </c>
      <c r="R767" s="2">
        <v>46217.553831018522</v>
      </c>
      <c r="S767">
        <v>0</v>
      </c>
      <c r="T767" t="s">
        <v>2079</v>
      </c>
      <c r="U767" t="s">
        <v>2079</v>
      </c>
      <c r="W767" t="str">
        <f t="shared" si="121"/>
        <v>400919</v>
      </c>
      <c r="X767" t="s">
        <v>37</v>
      </c>
      <c r="AD767" s="2">
        <v>46217.597488425927</v>
      </c>
    </row>
    <row r="768" spans="1:30" x14ac:dyDescent="0.35">
      <c r="A768" t="s">
        <v>2182</v>
      </c>
      <c r="B768" t="s">
        <v>31</v>
      </c>
      <c r="C768" t="s">
        <v>2667</v>
      </c>
      <c r="D768" t="s">
        <v>33</v>
      </c>
      <c r="E768" t="str">
        <f t="shared" si="118"/>
        <v>400919</v>
      </c>
      <c r="F768" t="s">
        <v>2573</v>
      </c>
      <c r="G768">
        <v>24</v>
      </c>
      <c r="H768">
        <v>0</v>
      </c>
      <c r="I768" t="s">
        <v>2537</v>
      </c>
      <c r="J768" t="str">
        <f t="shared" si="119"/>
        <v>153000353</v>
      </c>
      <c r="K768" s="1">
        <v>48002</v>
      </c>
      <c r="M768" s="1">
        <v>46177</v>
      </c>
      <c r="N768" t="str">
        <f t="shared" si="120"/>
        <v>1329001935</v>
      </c>
      <c r="O768">
        <v>24</v>
      </c>
      <c r="P768" s="2">
        <v>46217.554189814815</v>
      </c>
      <c r="Q768" s="2">
        <v>46217.599108796298</v>
      </c>
      <c r="R768" s="2">
        <v>46217.554189814815</v>
      </c>
      <c r="S768">
        <v>0</v>
      </c>
      <c r="T768" t="s">
        <v>2079</v>
      </c>
      <c r="U768" t="s">
        <v>2079</v>
      </c>
      <c r="W768" t="str">
        <f t="shared" si="121"/>
        <v>400919</v>
      </c>
      <c r="X768" t="s">
        <v>37</v>
      </c>
      <c r="AD768" s="2">
        <v>46217.599108796298</v>
      </c>
    </row>
    <row r="769" spans="1:30" x14ac:dyDescent="0.35">
      <c r="A769" t="s">
        <v>2182</v>
      </c>
      <c r="B769" t="s">
        <v>31</v>
      </c>
      <c r="C769" t="s">
        <v>2668</v>
      </c>
      <c r="D769" t="s">
        <v>33</v>
      </c>
      <c r="E769" t="str">
        <f t="shared" si="118"/>
        <v>400919</v>
      </c>
      <c r="F769" t="s">
        <v>2573</v>
      </c>
      <c r="G769">
        <v>24</v>
      </c>
      <c r="H769">
        <v>0</v>
      </c>
      <c r="I769" t="s">
        <v>2669</v>
      </c>
      <c r="J769" t="str">
        <f t="shared" si="119"/>
        <v>153000353</v>
      </c>
      <c r="K769" s="1">
        <v>48002</v>
      </c>
      <c r="M769" s="1">
        <v>46177</v>
      </c>
      <c r="N769" t="str">
        <f t="shared" si="120"/>
        <v>1329001935</v>
      </c>
      <c r="O769">
        <v>24</v>
      </c>
      <c r="P769" s="2">
        <v>46217.554606481484</v>
      </c>
      <c r="Q769" s="2">
        <v>46217.601377314815</v>
      </c>
      <c r="R769" s="2">
        <v>46217.554606481484</v>
      </c>
      <c r="S769">
        <v>0</v>
      </c>
      <c r="T769" t="s">
        <v>2079</v>
      </c>
      <c r="U769" t="s">
        <v>2079</v>
      </c>
      <c r="W769" t="str">
        <f t="shared" si="121"/>
        <v>400919</v>
      </c>
      <c r="X769" t="s">
        <v>37</v>
      </c>
      <c r="AD769" s="2">
        <v>46217.601377314815</v>
      </c>
    </row>
    <row r="770" spans="1:30" x14ac:dyDescent="0.35">
      <c r="A770" t="s">
        <v>2182</v>
      </c>
      <c r="B770" t="s">
        <v>31</v>
      </c>
      <c r="C770" t="s">
        <v>2670</v>
      </c>
      <c r="D770" t="s">
        <v>33</v>
      </c>
      <c r="E770" t="str">
        <f t="shared" si="118"/>
        <v>400919</v>
      </c>
      <c r="F770" t="s">
        <v>2573</v>
      </c>
      <c r="G770">
        <v>24</v>
      </c>
      <c r="H770">
        <v>0</v>
      </c>
      <c r="I770" t="s">
        <v>2671</v>
      </c>
      <c r="J770" t="str">
        <f t="shared" si="119"/>
        <v>153000353</v>
      </c>
      <c r="K770" s="1">
        <v>48002</v>
      </c>
      <c r="M770" s="1">
        <v>46177</v>
      </c>
      <c r="N770" t="str">
        <f t="shared" si="120"/>
        <v>1329001935</v>
      </c>
      <c r="O770">
        <v>24</v>
      </c>
      <c r="P770" s="2">
        <v>46217.555</v>
      </c>
      <c r="Q770" s="2">
        <v>46217.602824074071</v>
      </c>
      <c r="R770" s="2">
        <v>46217.555</v>
      </c>
      <c r="S770">
        <v>0</v>
      </c>
      <c r="T770" t="s">
        <v>2079</v>
      </c>
      <c r="U770" t="s">
        <v>2079</v>
      </c>
      <c r="W770" t="str">
        <f t="shared" si="121"/>
        <v>400919</v>
      </c>
      <c r="X770" t="s">
        <v>37</v>
      </c>
      <c r="AD770" s="2">
        <v>46217.602824074071</v>
      </c>
    </row>
    <row r="771" spans="1:30" x14ac:dyDescent="0.35">
      <c r="A771" t="s">
        <v>2182</v>
      </c>
      <c r="B771" t="s">
        <v>31</v>
      </c>
      <c r="C771" t="s">
        <v>2672</v>
      </c>
      <c r="D771" t="s">
        <v>33</v>
      </c>
      <c r="E771" t="str">
        <f t="shared" si="118"/>
        <v>400919</v>
      </c>
      <c r="F771" t="s">
        <v>2573</v>
      </c>
      <c r="G771">
        <v>24</v>
      </c>
      <c r="H771">
        <v>0</v>
      </c>
      <c r="I771" t="s">
        <v>2673</v>
      </c>
      <c r="J771" t="str">
        <f t="shared" si="119"/>
        <v>153000353</v>
      </c>
      <c r="K771" s="1">
        <v>48002</v>
      </c>
      <c r="M771" s="1">
        <v>46177</v>
      </c>
      <c r="N771" t="str">
        <f t="shared" si="120"/>
        <v>1329001935</v>
      </c>
      <c r="O771">
        <v>24</v>
      </c>
      <c r="P771" s="2">
        <v>46217.555462962962</v>
      </c>
      <c r="Q771" s="2">
        <v>46217.604479166665</v>
      </c>
      <c r="R771" s="2">
        <v>46217.555462962962</v>
      </c>
      <c r="S771">
        <v>0</v>
      </c>
      <c r="T771" t="s">
        <v>2079</v>
      </c>
      <c r="U771" t="s">
        <v>2079</v>
      </c>
      <c r="W771" t="str">
        <f t="shared" si="121"/>
        <v>400919</v>
      </c>
      <c r="X771" t="s">
        <v>37</v>
      </c>
      <c r="AD771" s="2">
        <v>46217.604479166665</v>
      </c>
    </row>
    <row r="772" spans="1:30" x14ac:dyDescent="0.35">
      <c r="A772" t="s">
        <v>2182</v>
      </c>
      <c r="B772" t="s">
        <v>31</v>
      </c>
      <c r="C772" t="s">
        <v>2674</v>
      </c>
      <c r="D772" t="s">
        <v>33</v>
      </c>
      <c r="E772" t="str">
        <f t="shared" si="118"/>
        <v>400919</v>
      </c>
      <c r="F772" t="s">
        <v>2573</v>
      </c>
      <c r="G772">
        <v>24</v>
      </c>
      <c r="H772">
        <v>0</v>
      </c>
      <c r="I772" t="s">
        <v>2593</v>
      </c>
      <c r="J772" t="str">
        <f t="shared" si="119"/>
        <v>153000353</v>
      </c>
      <c r="K772" s="1">
        <v>48002</v>
      </c>
      <c r="M772" s="1">
        <v>46177</v>
      </c>
      <c r="N772" t="str">
        <f t="shared" si="120"/>
        <v>1329001935</v>
      </c>
      <c r="O772">
        <v>24</v>
      </c>
      <c r="P772" s="2">
        <v>46217.555775462963</v>
      </c>
      <c r="Q772" s="2">
        <v>46217.610925925925</v>
      </c>
      <c r="R772" s="2">
        <v>46217.555775462963</v>
      </c>
      <c r="S772">
        <v>0</v>
      </c>
      <c r="T772" t="s">
        <v>2079</v>
      </c>
      <c r="U772" t="s">
        <v>2079</v>
      </c>
      <c r="W772" t="str">
        <f t="shared" si="121"/>
        <v>400919</v>
      </c>
      <c r="X772" t="s">
        <v>37</v>
      </c>
      <c r="AD772" s="2">
        <v>46217.610925925925</v>
      </c>
    </row>
    <row r="773" spans="1:30" x14ac:dyDescent="0.35">
      <c r="A773" t="s">
        <v>2182</v>
      </c>
      <c r="B773" t="s">
        <v>31</v>
      </c>
      <c r="C773" t="s">
        <v>2675</v>
      </c>
      <c r="D773" t="s">
        <v>33</v>
      </c>
      <c r="E773" t="str">
        <f>"400445"</f>
        <v>400445</v>
      </c>
      <c r="F773" t="s">
        <v>424</v>
      </c>
      <c r="G773">
        <v>4</v>
      </c>
      <c r="H773">
        <v>0</v>
      </c>
      <c r="I773" t="s">
        <v>2553</v>
      </c>
      <c r="J773" t="str">
        <f>"153000304"</f>
        <v>153000304</v>
      </c>
      <c r="K773" s="1">
        <v>47976</v>
      </c>
      <c r="M773" s="1">
        <v>46151</v>
      </c>
      <c r="N773" t="str">
        <f t="shared" si="120"/>
        <v>1329001935</v>
      </c>
      <c r="O773">
        <v>4</v>
      </c>
      <c r="P773" s="2">
        <v>46217.566562499997</v>
      </c>
      <c r="Q773" s="2">
        <v>46217.621145833335</v>
      </c>
      <c r="R773" s="2">
        <v>46217.566562499997</v>
      </c>
      <c r="S773">
        <v>0</v>
      </c>
      <c r="T773" t="s">
        <v>2079</v>
      </c>
      <c r="U773" t="s">
        <v>2079</v>
      </c>
      <c r="W773" t="str">
        <f>"400445"</f>
        <v>400445</v>
      </c>
      <c r="X773" t="s">
        <v>41</v>
      </c>
      <c r="AD773" s="2">
        <v>46217.621134259258</v>
      </c>
    </row>
    <row r="774" spans="1:30" x14ac:dyDescent="0.35">
      <c r="A774" t="s">
        <v>2182</v>
      </c>
      <c r="B774" t="s">
        <v>31</v>
      </c>
      <c r="C774" t="s">
        <v>2676</v>
      </c>
      <c r="D774" t="s">
        <v>33</v>
      </c>
      <c r="E774" t="str">
        <f>"400445"</f>
        <v>400445</v>
      </c>
      <c r="F774" t="s">
        <v>424</v>
      </c>
      <c r="G774">
        <v>4</v>
      </c>
      <c r="H774">
        <v>0</v>
      </c>
      <c r="I774" t="s">
        <v>2553</v>
      </c>
      <c r="J774" t="str">
        <f>"153000304"</f>
        <v>153000304</v>
      </c>
      <c r="K774" s="1">
        <v>47976</v>
      </c>
      <c r="M774" s="1">
        <v>46151</v>
      </c>
      <c r="N774" t="str">
        <f t="shared" si="120"/>
        <v>1329001935</v>
      </c>
      <c r="O774">
        <v>4</v>
      </c>
      <c r="P774" s="2">
        <v>46217.566099537034</v>
      </c>
      <c r="Q774" s="2">
        <v>46217.631388888891</v>
      </c>
      <c r="R774" s="2">
        <v>46217.566099537034</v>
      </c>
      <c r="S774">
        <v>0</v>
      </c>
      <c r="T774" t="s">
        <v>2079</v>
      </c>
      <c r="U774" t="s">
        <v>2079</v>
      </c>
      <c r="W774" t="str">
        <f>"400445"</f>
        <v>400445</v>
      </c>
      <c r="X774" t="s">
        <v>41</v>
      </c>
      <c r="AD774" s="2">
        <v>46217.631388888891</v>
      </c>
    </row>
    <row r="775" spans="1:30" x14ac:dyDescent="0.35">
      <c r="A775" t="s">
        <v>2182</v>
      </c>
      <c r="B775" t="s">
        <v>31</v>
      </c>
      <c r="C775" t="s">
        <v>2677</v>
      </c>
      <c r="D775" t="s">
        <v>33</v>
      </c>
      <c r="E775" t="str">
        <f>"400445"</f>
        <v>400445</v>
      </c>
      <c r="F775" t="s">
        <v>424</v>
      </c>
      <c r="G775">
        <v>4</v>
      </c>
      <c r="H775">
        <v>0</v>
      </c>
      <c r="I775" t="s">
        <v>2553</v>
      </c>
      <c r="J775" t="str">
        <f>"153000304"</f>
        <v>153000304</v>
      </c>
      <c r="K775" s="1">
        <v>47976</v>
      </c>
      <c r="M775" s="1">
        <v>46151</v>
      </c>
      <c r="N775" t="str">
        <f t="shared" si="120"/>
        <v>1329001935</v>
      </c>
      <c r="O775">
        <v>4</v>
      </c>
      <c r="P775" s="2">
        <v>46217.565486111111</v>
      </c>
      <c r="Q775" s="2">
        <v>46217.632349537038</v>
      </c>
      <c r="R775" s="2">
        <v>46217.565486111111</v>
      </c>
      <c r="S775">
        <v>0</v>
      </c>
      <c r="T775" t="s">
        <v>2079</v>
      </c>
      <c r="U775" t="s">
        <v>2079</v>
      </c>
      <c r="W775" t="str">
        <f>"400445"</f>
        <v>400445</v>
      </c>
      <c r="X775" t="s">
        <v>41</v>
      </c>
      <c r="AD775" s="2">
        <v>46217.632349537038</v>
      </c>
    </row>
    <row r="776" spans="1:30" x14ac:dyDescent="0.35">
      <c r="A776" t="s">
        <v>2182</v>
      </c>
      <c r="B776" t="s">
        <v>31</v>
      </c>
      <c r="C776" t="s">
        <v>2678</v>
      </c>
      <c r="D776" t="s">
        <v>33</v>
      </c>
      <c r="E776" t="str">
        <f>"400445"</f>
        <v>400445</v>
      </c>
      <c r="F776" t="s">
        <v>424</v>
      </c>
      <c r="G776">
        <v>4</v>
      </c>
      <c r="H776">
        <v>0</v>
      </c>
      <c r="I776" t="s">
        <v>2553</v>
      </c>
      <c r="J776" t="str">
        <f>"153000304"</f>
        <v>153000304</v>
      </c>
      <c r="K776" s="1">
        <v>47976</v>
      </c>
      <c r="M776" s="1">
        <v>46151</v>
      </c>
      <c r="N776" t="str">
        <f t="shared" si="120"/>
        <v>1329001935</v>
      </c>
      <c r="O776">
        <v>4</v>
      </c>
      <c r="P776" s="2">
        <v>46217.564305555556</v>
      </c>
      <c r="Q776" s="2">
        <v>46217.63621527778</v>
      </c>
      <c r="R776" s="2">
        <v>46217.564305555556</v>
      </c>
      <c r="S776">
        <v>0</v>
      </c>
      <c r="T776" t="s">
        <v>2079</v>
      </c>
      <c r="U776" t="s">
        <v>2079</v>
      </c>
      <c r="W776" t="str">
        <f>"400445"</f>
        <v>400445</v>
      </c>
      <c r="X776" t="s">
        <v>41</v>
      </c>
      <c r="AD776" s="2">
        <v>46217.63621527778</v>
      </c>
    </row>
    <row r="777" spans="1:30" x14ac:dyDescent="0.35">
      <c r="A777" t="s">
        <v>2182</v>
      </c>
      <c r="B777" t="s">
        <v>31</v>
      </c>
      <c r="C777" t="s">
        <v>2679</v>
      </c>
      <c r="D777" t="s">
        <v>33</v>
      </c>
      <c r="E777" t="str">
        <f>"400445"</f>
        <v>400445</v>
      </c>
      <c r="F777" t="s">
        <v>424</v>
      </c>
      <c r="G777">
        <v>4</v>
      </c>
      <c r="H777">
        <v>0</v>
      </c>
      <c r="I777" t="s">
        <v>2553</v>
      </c>
      <c r="J777" t="str">
        <f>"153000304"</f>
        <v>153000304</v>
      </c>
      <c r="K777" s="1">
        <v>47976</v>
      </c>
      <c r="M777" s="1">
        <v>46151</v>
      </c>
      <c r="N777" t="str">
        <f t="shared" si="120"/>
        <v>1329001935</v>
      </c>
      <c r="O777">
        <v>4</v>
      </c>
      <c r="P777" s="2">
        <v>46217.565057870372</v>
      </c>
      <c r="Q777" s="2">
        <v>46217.639178240737</v>
      </c>
      <c r="R777" s="2">
        <v>46217.565057870372</v>
      </c>
      <c r="S777">
        <v>0</v>
      </c>
      <c r="T777" t="s">
        <v>2079</v>
      </c>
      <c r="U777" t="s">
        <v>2079</v>
      </c>
      <c r="W777" t="str">
        <f>"400445"</f>
        <v>400445</v>
      </c>
      <c r="X777" t="s">
        <v>41</v>
      </c>
      <c r="AD777" s="2">
        <v>46217.639178240737</v>
      </c>
    </row>
    <row r="778" spans="1:30" x14ac:dyDescent="0.35">
      <c r="A778" t="s">
        <v>2182</v>
      </c>
      <c r="B778" t="s">
        <v>31</v>
      </c>
      <c r="C778" t="s">
        <v>2680</v>
      </c>
      <c r="D778" t="s">
        <v>33</v>
      </c>
      <c r="E778" t="str">
        <f>"400426"</f>
        <v>400426</v>
      </c>
      <c r="F778" t="s">
        <v>34</v>
      </c>
      <c r="G778">
        <v>24</v>
      </c>
      <c r="H778">
        <v>0</v>
      </c>
      <c r="I778" t="s">
        <v>2681</v>
      </c>
      <c r="J778" t="str">
        <f>"153000403"</f>
        <v>153000403</v>
      </c>
      <c r="K778" s="1">
        <v>48018</v>
      </c>
      <c r="M778" s="1">
        <v>46193</v>
      </c>
      <c r="N778" t="str">
        <f>"1329001946"</f>
        <v>1329001946</v>
      </c>
      <c r="O778">
        <v>24</v>
      </c>
      <c r="P778" s="2">
        <v>46218.389513888891</v>
      </c>
      <c r="Q778" s="2">
        <v>46218.421168981484</v>
      </c>
      <c r="R778" s="2">
        <v>46218.389513888891</v>
      </c>
      <c r="S778">
        <v>0</v>
      </c>
      <c r="T778" t="s">
        <v>2079</v>
      </c>
      <c r="U778" t="s">
        <v>2079</v>
      </c>
      <c r="W778" t="str">
        <f>"400426"</f>
        <v>400426</v>
      </c>
      <c r="X778" t="s">
        <v>37</v>
      </c>
      <c r="AD778" s="2">
        <v>46218.421168981484</v>
      </c>
    </row>
    <row r="779" spans="1:30" x14ac:dyDescent="0.35">
      <c r="A779" t="s">
        <v>2182</v>
      </c>
      <c r="B779" t="s">
        <v>31</v>
      </c>
      <c r="C779" t="s">
        <v>2682</v>
      </c>
      <c r="D779" t="s">
        <v>33</v>
      </c>
      <c r="E779" t="str">
        <f t="shared" ref="E779:E788" si="122">"400405"</f>
        <v>400405</v>
      </c>
      <c r="F779" t="s">
        <v>519</v>
      </c>
      <c r="G779">
        <v>52</v>
      </c>
      <c r="H779">
        <v>0</v>
      </c>
      <c r="I779" t="s">
        <v>2683</v>
      </c>
      <c r="J779" t="str">
        <f t="shared" ref="J779:J786" si="123">"153000440"</f>
        <v>153000440</v>
      </c>
      <c r="K779" s="1">
        <v>48036</v>
      </c>
      <c r="M779" s="1">
        <v>46211</v>
      </c>
      <c r="N779" t="str">
        <f t="shared" ref="N779:N799" si="124">"1329001951"</f>
        <v>1329001951</v>
      </c>
      <c r="O779">
        <v>52</v>
      </c>
      <c r="P779" s="2">
        <v>46218.564502314817</v>
      </c>
      <c r="Q779" s="2">
        <v>46218.591099537036</v>
      </c>
      <c r="R779" s="2">
        <v>46218.564502314817</v>
      </c>
      <c r="S779">
        <v>0</v>
      </c>
      <c r="T779" t="s">
        <v>2079</v>
      </c>
      <c r="U779" t="s">
        <v>2079</v>
      </c>
      <c r="W779" t="str">
        <f t="shared" ref="W779:W788" si="125">"400405"</f>
        <v>400405</v>
      </c>
      <c r="X779" t="s">
        <v>37</v>
      </c>
      <c r="AD779" s="2">
        <v>46218.591099537036</v>
      </c>
    </row>
    <row r="780" spans="1:30" x14ac:dyDescent="0.35">
      <c r="A780" t="s">
        <v>2182</v>
      </c>
      <c r="B780" t="s">
        <v>31</v>
      </c>
      <c r="C780" t="s">
        <v>2684</v>
      </c>
      <c r="D780" t="s">
        <v>33</v>
      </c>
      <c r="E780" t="str">
        <f t="shared" si="122"/>
        <v>400405</v>
      </c>
      <c r="F780" t="s">
        <v>519</v>
      </c>
      <c r="G780">
        <v>52</v>
      </c>
      <c r="H780">
        <v>0</v>
      </c>
      <c r="I780" t="s">
        <v>2597</v>
      </c>
      <c r="J780" t="str">
        <f t="shared" si="123"/>
        <v>153000440</v>
      </c>
      <c r="K780" s="1">
        <v>48036</v>
      </c>
      <c r="M780" s="1">
        <v>46211</v>
      </c>
      <c r="N780" t="str">
        <f t="shared" si="124"/>
        <v>1329001951</v>
      </c>
      <c r="O780">
        <v>52</v>
      </c>
      <c r="P780" s="2">
        <v>46218.565127314818</v>
      </c>
      <c r="Q780" s="2">
        <v>46218.592731481483</v>
      </c>
      <c r="R780" s="2">
        <v>46218.565127314818</v>
      </c>
      <c r="S780">
        <v>0</v>
      </c>
      <c r="T780" t="s">
        <v>2079</v>
      </c>
      <c r="U780" t="s">
        <v>2079</v>
      </c>
      <c r="W780" t="str">
        <f t="shared" si="125"/>
        <v>400405</v>
      </c>
      <c r="X780" t="s">
        <v>37</v>
      </c>
      <c r="AD780" s="2">
        <v>46218.592731481483</v>
      </c>
    </row>
    <row r="781" spans="1:30" x14ac:dyDescent="0.35">
      <c r="A781" t="s">
        <v>2182</v>
      </c>
      <c r="B781" t="s">
        <v>31</v>
      </c>
      <c r="C781" t="s">
        <v>2685</v>
      </c>
      <c r="D781" t="s">
        <v>33</v>
      </c>
      <c r="E781" t="str">
        <f t="shared" si="122"/>
        <v>400405</v>
      </c>
      <c r="F781" t="s">
        <v>519</v>
      </c>
      <c r="G781">
        <v>52</v>
      </c>
      <c r="H781">
        <v>0</v>
      </c>
      <c r="I781" t="s">
        <v>2596</v>
      </c>
      <c r="J781" t="str">
        <f t="shared" si="123"/>
        <v>153000440</v>
      </c>
      <c r="K781" s="1">
        <v>48036</v>
      </c>
      <c r="M781" s="1">
        <v>46211</v>
      </c>
      <c r="N781" t="str">
        <f t="shared" si="124"/>
        <v>1329001951</v>
      </c>
      <c r="O781">
        <v>52</v>
      </c>
      <c r="P781" s="2">
        <v>46218.565729166665</v>
      </c>
      <c r="Q781" s="2">
        <v>46218.594444444447</v>
      </c>
      <c r="R781" s="2">
        <v>46218.565729166665</v>
      </c>
      <c r="S781">
        <v>0</v>
      </c>
      <c r="T781" t="s">
        <v>2079</v>
      </c>
      <c r="U781" t="s">
        <v>2079</v>
      </c>
      <c r="W781" t="str">
        <f t="shared" si="125"/>
        <v>400405</v>
      </c>
      <c r="X781" t="s">
        <v>37</v>
      </c>
      <c r="AD781" s="2">
        <v>46218.594444444447</v>
      </c>
    </row>
    <row r="782" spans="1:30" x14ac:dyDescent="0.35">
      <c r="A782" t="s">
        <v>2182</v>
      </c>
      <c r="B782" t="s">
        <v>31</v>
      </c>
      <c r="C782" t="s">
        <v>2686</v>
      </c>
      <c r="D782" t="s">
        <v>33</v>
      </c>
      <c r="E782" t="str">
        <f t="shared" si="122"/>
        <v>400405</v>
      </c>
      <c r="F782" t="s">
        <v>519</v>
      </c>
      <c r="G782">
        <v>52</v>
      </c>
      <c r="H782">
        <v>0</v>
      </c>
      <c r="I782" t="s">
        <v>2687</v>
      </c>
      <c r="J782" t="str">
        <f t="shared" si="123"/>
        <v>153000440</v>
      </c>
      <c r="K782" s="1">
        <v>48036</v>
      </c>
      <c r="M782" s="1">
        <v>46211</v>
      </c>
      <c r="N782" t="str">
        <f t="shared" si="124"/>
        <v>1329001951</v>
      </c>
      <c r="O782">
        <v>52</v>
      </c>
      <c r="P782" s="2">
        <v>46218.566238425927</v>
      </c>
      <c r="Q782" s="2">
        <v>46218.596006944441</v>
      </c>
      <c r="R782" s="2">
        <v>46218.566238425927</v>
      </c>
      <c r="S782">
        <v>0</v>
      </c>
      <c r="T782" t="s">
        <v>2079</v>
      </c>
      <c r="U782" t="s">
        <v>2079</v>
      </c>
      <c r="W782" t="str">
        <f t="shared" si="125"/>
        <v>400405</v>
      </c>
      <c r="X782" t="s">
        <v>37</v>
      </c>
      <c r="AD782" s="2">
        <v>46218.596006944441</v>
      </c>
    </row>
    <row r="783" spans="1:30" x14ac:dyDescent="0.35">
      <c r="A783" t="s">
        <v>2182</v>
      </c>
      <c r="B783" t="s">
        <v>31</v>
      </c>
      <c r="C783" t="s">
        <v>2688</v>
      </c>
      <c r="D783" t="s">
        <v>33</v>
      </c>
      <c r="E783" t="str">
        <f t="shared" si="122"/>
        <v>400405</v>
      </c>
      <c r="F783" t="s">
        <v>519</v>
      </c>
      <c r="G783">
        <v>52</v>
      </c>
      <c r="H783">
        <v>0</v>
      </c>
      <c r="I783" t="s">
        <v>2689</v>
      </c>
      <c r="J783" t="str">
        <f t="shared" si="123"/>
        <v>153000440</v>
      </c>
      <c r="K783" s="1">
        <v>48036</v>
      </c>
      <c r="M783" s="1">
        <v>46211</v>
      </c>
      <c r="N783" t="str">
        <f t="shared" si="124"/>
        <v>1329001951</v>
      </c>
      <c r="O783">
        <v>52</v>
      </c>
      <c r="P783" s="2">
        <v>46218.567280092589</v>
      </c>
      <c r="Q783" s="2">
        <v>46218.600162037037</v>
      </c>
      <c r="R783" s="2">
        <v>46218.567280092589</v>
      </c>
      <c r="S783">
        <v>0</v>
      </c>
      <c r="T783" t="s">
        <v>2079</v>
      </c>
      <c r="U783" t="s">
        <v>2079</v>
      </c>
      <c r="W783" t="str">
        <f t="shared" si="125"/>
        <v>400405</v>
      </c>
      <c r="X783" t="s">
        <v>37</v>
      </c>
      <c r="AD783" s="2">
        <v>46218.600162037037</v>
      </c>
    </row>
    <row r="784" spans="1:30" x14ac:dyDescent="0.35">
      <c r="A784" t="s">
        <v>2182</v>
      </c>
      <c r="B784" t="s">
        <v>31</v>
      </c>
      <c r="C784" t="s">
        <v>2690</v>
      </c>
      <c r="D784" t="s">
        <v>33</v>
      </c>
      <c r="E784" t="str">
        <f t="shared" si="122"/>
        <v>400405</v>
      </c>
      <c r="F784" t="s">
        <v>519</v>
      </c>
      <c r="G784">
        <v>52</v>
      </c>
      <c r="H784">
        <v>0</v>
      </c>
      <c r="I784" t="s">
        <v>2691</v>
      </c>
      <c r="J784" t="str">
        <f t="shared" si="123"/>
        <v>153000440</v>
      </c>
      <c r="K784" s="1">
        <v>48036</v>
      </c>
      <c r="M784" s="1">
        <v>46211</v>
      </c>
      <c r="N784" t="str">
        <f t="shared" si="124"/>
        <v>1329001951</v>
      </c>
      <c r="O784">
        <v>52</v>
      </c>
      <c r="P784" s="2">
        <v>46218.567731481482</v>
      </c>
      <c r="Q784" s="2">
        <v>46218.601574074077</v>
      </c>
      <c r="R784" s="2">
        <v>46218.567731481482</v>
      </c>
      <c r="S784">
        <v>0</v>
      </c>
      <c r="T784" t="s">
        <v>2079</v>
      </c>
      <c r="U784" t="s">
        <v>2079</v>
      </c>
      <c r="W784" t="str">
        <f t="shared" si="125"/>
        <v>400405</v>
      </c>
      <c r="X784" t="s">
        <v>37</v>
      </c>
      <c r="AD784" s="2">
        <v>46218.601574074077</v>
      </c>
    </row>
    <row r="785" spans="1:30" x14ac:dyDescent="0.35">
      <c r="A785" t="s">
        <v>2182</v>
      </c>
      <c r="B785" t="s">
        <v>31</v>
      </c>
      <c r="C785" t="s">
        <v>2692</v>
      </c>
      <c r="D785" t="s">
        <v>33</v>
      </c>
      <c r="E785" t="str">
        <f t="shared" si="122"/>
        <v>400405</v>
      </c>
      <c r="F785" t="s">
        <v>519</v>
      </c>
      <c r="G785">
        <v>52</v>
      </c>
      <c r="H785">
        <v>0</v>
      </c>
      <c r="I785" t="s">
        <v>2693</v>
      </c>
      <c r="J785" t="str">
        <f t="shared" si="123"/>
        <v>153000440</v>
      </c>
      <c r="K785" s="1">
        <v>48036</v>
      </c>
      <c r="M785" s="1">
        <v>46211</v>
      </c>
      <c r="N785" t="str">
        <f t="shared" si="124"/>
        <v>1329001951</v>
      </c>
      <c r="O785">
        <v>52</v>
      </c>
      <c r="P785" s="2">
        <v>46218.568194444444</v>
      </c>
      <c r="Q785" s="2">
        <v>46218.603101851855</v>
      </c>
      <c r="R785" s="2">
        <v>46218.568194444444</v>
      </c>
      <c r="S785">
        <v>0</v>
      </c>
      <c r="T785" t="s">
        <v>2079</v>
      </c>
      <c r="U785" t="s">
        <v>2079</v>
      </c>
      <c r="W785" t="str">
        <f t="shared" si="125"/>
        <v>400405</v>
      </c>
      <c r="X785" t="s">
        <v>37</v>
      </c>
      <c r="AD785" s="2">
        <v>46218.603101851855</v>
      </c>
    </row>
    <row r="786" spans="1:30" x14ac:dyDescent="0.35">
      <c r="A786" t="s">
        <v>2182</v>
      </c>
      <c r="B786" t="s">
        <v>31</v>
      </c>
      <c r="C786" t="s">
        <v>2694</v>
      </c>
      <c r="D786" t="s">
        <v>33</v>
      </c>
      <c r="E786" t="str">
        <f t="shared" si="122"/>
        <v>400405</v>
      </c>
      <c r="F786" t="s">
        <v>519</v>
      </c>
      <c r="G786">
        <v>52</v>
      </c>
      <c r="H786">
        <v>0</v>
      </c>
      <c r="I786" t="s">
        <v>2605</v>
      </c>
      <c r="J786" t="str">
        <f t="shared" si="123"/>
        <v>153000440</v>
      </c>
      <c r="K786" s="1">
        <v>48036</v>
      </c>
      <c r="M786" s="1">
        <v>46211</v>
      </c>
      <c r="N786" t="str">
        <f t="shared" si="124"/>
        <v>1329001951</v>
      </c>
      <c r="O786">
        <v>52</v>
      </c>
      <c r="P786" s="2">
        <v>46218.568611111114</v>
      </c>
      <c r="Q786" s="2">
        <v>46218.604733796295</v>
      </c>
      <c r="R786" s="2">
        <v>46218.568611111114</v>
      </c>
      <c r="S786">
        <v>0</v>
      </c>
      <c r="T786" t="s">
        <v>2079</v>
      </c>
      <c r="U786" t="s">
        <v>2079</v>
      </c>
      <c r="W786" t="str">
        <f t="shared" si="125"/>
        <v>400405</v>
      </c>
      <c r="X786" t="s">
        <v>37</v>
      </c>
      <c r="AD786" s="2">
        <v>46218.604733796295</v>
      </c>
    </row>
    <row r="787" spans="1:30" x14ac:dyDescent="0.35">
      <c r="A787" t="s">
        <v>2182</v>
      </c>
      <c r="B787" t="s">
        <v>31</v>
      </c>
      <c r="C787" t="s">
        <v>2695</v>
      </c>
      <c r="D787" t="s">
        <v>33</v>
      </c>
      <c r="E787" t="str">
        <f t="shared" si="122"/>
        <v>400405</v>
      </c>
      <c r="F787" t="s">
        <v>519</v>
      </c>
      <c r="G787">
        <v>52</v>
      </c>
      <c r="H787">
        <v>0</v>
      </c>
      <c r="I787" t="s">
        <v>2696</v>
      </c>
      <c r="J787" t="str">
        <f>"153000446"</f>
        <v>153000446</v>
      </c>
      <c r="K787" s="1">
        <v>48039</v>
      </c>
      <c r="M787" s="1">
        <v>46214</v>
      </c>
      <c r="N787" t="str">
        <f t="shared" si="124"/>
        <v>1329001951</v>
      </c>
      <c r="O787">
        <v>52</v>
      </c>
      <c r="P787" s="2">
        <v>46218.569814814815</v>
      </c>
      <c r="Q787" s="2">
        <v>46218.606620370374</v>
      </c>
      <c r="R787" s="2">
        <v>46218.569814814815</v>
      </c>
      <c r="S787">
        <v>0</v>
      </c>
      <c r="T787" t="s">
        <v>2079</v>
      </c>
      <c r="U787" t="s">
        <v>2079</v>
      </c>
      <c r="V787" t="s">
        <v>2697</v>
      </c>
      <c r="W787" t="str">
        <f t="shared" si="125"/>
        <v>400405</v>
      </c>
      <c r="X787" t="s">
        <v>37</v>
      </c>
      <c r="AD787" s="2">
        <v>46218.606539351851</v>
      </c>
    </row>
    <row r="788" spans="1:30" x14ac:dyDescent="0.35">
      <c r="A788" t="s">
        <v>2182</v>
      </c>
      <c r="B788" t="s">
        <v>31</v>
      </c>
      <c r="C788" t="s">
        <v>2698</v>
      </c>
      <c r="D788" t="s">
        <v>33</v>
      </c>
      <c r="E788" t="str">
        <f t="shared" si="122"/>
        <v>400405</v>
      </c>
      <c r="F788" t="s">
        <v>519</v>
      </c>
      <c r="G788">
        <v>52</v>
      </c>
      <c r="H788">
        <v>0</v>
      </c>
      <c r="I788" t="s">
        <v>2607</v>
      </c>
      <c r="J788" t="str">
        <f>"153000440"</f>
        <v>153000440</v>
      </c>
      <c r="K788" s="1">
        <v>48036</v>
      </c>
      <c r="M788" s="1">
        <v>46211</v>
      </c>
      <c r="N788" t="str">
        <f t="shared" si="124"/>
        <v>1329001951</v>
      </c>
      <c r="O788">
        <v>52</v>
      </c>
      <c r="P788" s="2">
        <v>46218.57099537037</v>
      </c>
      <c r="Q788" s="2">
        <v>46218.611215277779</v>
      </c>
      <c r="R788" s="2">
        <v>46218.57099537037</v>
      </c>
      <c r="S788">
        <v>0</v>
      </c>
      <c r="T788" t="s">
        <v>2079</v>
      </c>
      <c r="U788" t="s">
        <v>2079</v>
      </c>
      <c r="W788" t="str">
        <f t="shared" si="125"/>
        <v>400405</v>
      </c>
      <c r="X788" t="s">
        <v>37</v>
      </c>
      <c r="AD788" s="2">
        <v>46218.611215277779</v>
      </c>
    </row>
    <row r="789" spans="1:30" x14ac:dyDescent="0.35">
      <c r="A789" t="s">
        <v>2182</v>
      </c>
      <c r="B789" t="s">
        <v>31</v>
      </c>
      <c r="C789" t="s">
        <v>2699</v>
      </c>
      <c r="D789" t="s">
        <v>33</v>
      </c>
      <c r="E789" t="str">
        <f>"400474"</f>
        <v>400474</v>
      </c>
      <c r="F789" t="s">
        <v>1689</v>
      </c>
      <c r="G789">
        <v>52</v>
      </c>
      <c r="H789">
        <v>0</v>
      </c>
      <c r="I789" t="s">
        <v>2566</v>
      </c>
      <c r="J789" t="str">
        <f>"153000419"</f>
        <v>153000419</v>
      </c>
      <c r="K789" s="1">
        <v>48025</v>
      </c>
      <c r="M789" s="1">
        <v>46200</v>
      </c>
      <c r="N789" t="str">
        <f t="shared" si="124"/>
        <v>1329001951</v>
      </c>
      <c r="O789">
        <v>52</v>
      </c>
      <c r="P789" s="2">
        <v>46218.571793981479</v>
      </c>
      <c r="Q789" s="2">
        <v>46218.612222222226</v>
      </c>
      <c r="R789" s="2">
        <v>46218.571793981479</v>
      </c>
      <c r="S789">
        <v>0</v>
      </c>
      <c r="T789" t="s">
        <v>2079</v>
      </c>
      <c r="U789" t="s">
        <v>2079</v>
      </c>
      <c r="W789" t="str">
        <f>"400474"</f>
        <v>400474</v>
      </c>
      <c r="X789" t="s">
        <v>37</v>
      </c>
      <c r="AD789" s="2">
        <v>46218.612222222226</v>
      </c>
    </row>
    <row r="790" spans="1:30" x14ac:dyDescent="0.35">
      <c r="A790" t="s">
        <v>2182</v>
      </c>
      <c r="B790" t="s">
        <v>31</v>
      </c>
      <c r="C790" t="s">
        <v>2700</v>
      </c>
      <c r="D790" t="s">
        <v>33</v>
      </c>
      <c r="E790" t="str">
        <f>"400474"</f>
        <v>400474</v>
      </c>
      <c r="F790" t="s">
        <v>1689</v>
      </c>
      <c r="G790">
        <v>52</v>
      </c>
      <c r="H790">
        <v>0</v>
      </c>
      <c r="I790" t="s">
        <v>2588</v>
      </c>
      <c r="J790" t="str">
        <f>"153000419"</f>
        <v>153000419</v>
      </c>
      <c r="K790" s="1">
        <v>48025</v>
      </c>
      <c r="M790" s="1">
        <v>46200</v>
      </c>
      <c r="N790" t="str">
        <f t="shared" si="124"/>
        <v>1329001951</v>
      </c>
      <c r="O790">
        <v>52</v>
      </c>
      <c r="P790" s="2">
        <v>46218.572245370371</v>
      </c>
      <c r="Q790" s="2">
        <v>46218.613703703704</v>
      </c>
      <c r="R790" s="2">
        <v>46218.572245370371</v>
      </c>
      <c r="S790">
        <v>0</v>
      </c>
      <c r="T790" t="s">
        <v>2079</v>
      </c>
      <c r="U790" t="s">
        <v>2079</v>
      </c>
      <c r="W790" t="str">
        <f>"400474"</f>
        <v>400474</v>
      </c>
      <c r="X790" t="s">
        <v>37</v>
      </c>
      <c r="AD790" s="2">
        <v>46218.613703703704</v>
      </c>
    </row>
    <row r="791" spans="1:30" x14ac:dyDescent="0.35">
      <c r="A791" t="s">
        <v>2182</v>
      </c>
      <c r="B791" t="s">
        <v>31</v>
      </c>
      <c r="C791" t="s">
        <v>2701</v>
      </c>
      <c r="D791" t="s">
        <v>33</v>
      </c>
      <c r="E791" t="str">
        <f>"400474"</f>
        <v>400474</v>
      </c>
      <c r="F791" t="s">
        <v>1689</v>
      </c>
      <c r="G791">
        <v>52</v>
      </c>
      <c r="H791">
        <v>0</v>
      </c>
      <c r="I791" t="s">
        <v>2611</v>
      </c>
      <c r="J791" t="str">
        <f>"153000419"</f>
        <v>153000419</v>
      </c>
      <c r="K791" s="1">
        <v>48025</v>
      </c>
      <c r="M791" s="1">
        <v>46200</v>
      </c>
      <c r="N791" t="str">
        <f t="shared" si="124"/>
        <v>1329001951</v>
      </c>
      <c r="O791">
        <v>52</v>
      </c>
      <c r="P791" s="2">
        <v>46218.572662037041</v>
      </c>
      <c r="Q791" s="2">
        <v>46218.616087962961</v>
      </c>
      <c r="R791" s="2">
        <v>46218.572662037041</v>
      </c>
      <c r="S791">
        <v>0</v>
      </c>
      <c r="T791" t="s">
        <v>2079</v>
      </c>
      <c r="U791" t="s">
        <v>2079</v>
      </c>
      <c r="W791" t="str">
        <f>"400474"</f>
        <v>400474</v>
      </c>
      <c r="X791" t="s">
        <v>37</v>
      </c>
      <c r="AD791" s="2">
        <v>46218.616087962961</v>
      </c>
    </row>
    <row r="792" spans="1:30" x14ac:dyDescent="0.35">
      <c r="A792" t="s">
        <v>2182</v>
      </c>
      <c r="B792" t="s">
        <v>31</v>
      </c>
      <c r="C792" t="s">
        <v>2702</v>
      </c>
      <c r="D792" t="s">
        <v>33</v>
      </c>
      <c r="E792" t="str">
        <f>"400474"</f>
        <v>400474</v>
      </c>
      <c r="F792" t="s">
        <v>1689</v>
      </c>
      <c r="G792">
        <v>52</v>
      </c>
      <c r="H792">
        <v>0</v>
      </c>
      <c r="I792" t="s">
        <v>2590</v>
      </c>
      <c r="J792" t="str">
        <f>"153000419"</f>
        <v>153000419</v>
      </c>
      <c r="K792" s="1">
        <v>48025</v>
      </c>
      <c r="M792" s="1">
        <v>46200</v>
      </c>
      <c r="N792" t="str">
        <f t="shared" si="124"/>
        <v>1329001951</v>
      </c>
      <c r="O792">
        <v>52</v>
      </c>
      <c r="P792" s="2">
        <v>46218.57304398148</v>
      </c>
      <c r="Q792" s="2">
        <v>46218.617083333331</v>
      </c>
      <c r="R792" s="2">
        <v>46218.57304398148</v>
      </c>
      <c r="S792">
        <v>0</v>
      </c>
      <c r="T792" t="s">
        <v>2079</v>
      </c>
      <c r="U792" t="s">
        <v>2079</v>
      </c>
      <c r="W792" t="str">
        <f>"400474"</f>
        <v>400474</v>
      </c>
      <c r="X792" t="s">
        <v>37</v>
      </c>
      <c r="AD792" s="2">
        <v>46218.617083333331</v>
      </c>
    </row>
    <row r="793" spans="1:30" x14ac:dyDescent="0.35">
      <c r="A793" t="s">
        <v>2182</v>
      </c>
      <c r="B793" t="s">
        <v>31</v>
      </c>
      <c r="C793" t="s">
        <v>2703</v>
      </c>
      <c r="D793" t="s">
        <v>33</v>
      </c>
      <c r="E793" t="str">
        <f>"400474"</f>
        <v>400474</v>
      </c>
      <c r="F793" t="s">
        <v>1689</v>
      </c>
      <c r="G793">
        <v>52</v>
      </c>
      <c r="H793">
        <v>0</v>
      </c>
      <c r="I793" t="s">
        <v>2609</v>
      </c>
      <c r="J793" t="str">
        <f>"153000419"</f>
        <v>153000419</v>
      </c>
      <c r="K793" s="1">
        <v>48025</v>
      </c>
      <c r="M793" s="1">
        <v>46200</v>
      </c>
      <c r="N793" t="str">
        <f t="shared" si="124"/>
        <v>1329001951</v>
      </c>
      <c r="O793">
        <v>52</v>
      </c>
      <c r="P793" s="2">
        <v>46218.573425925926</v>
      </c>
      <c r="Q793" s="2">
        <v>46218.618703703702</v>
      </c>
      <c r="R793" s="2">
        <v>46218.573425925926</v>
      </c>
      <c r="S793">
        <v>0</v>
      </c>
      <c r="T793" t="s">
        <v>2079</v>
      </c>
      <c r="U793" t="s">
        <v>2079</v>
      </c>
      <c r="W793" t="str">
        <f>"400474"</f>
        <v>400474</v>
      </c>
      <c r="X793" t="s">
        <v>37</v>
      </c>
      <c r="AD793" s="2">
        <v>46218.618703703702</v>
      </c>
    </row>
    <row r="794" spans="1:30" x14ac:dyDescent="0.35">
      <c r="A794" t="s">
        <v>2182</v>
      </c>
      <c r="B794" t="s">
        <v>31</v>
      </c>
      <c r="C794" t="s">
        <v>2704</v>
      </c>
      <c r="D794" t="s">
        <v>33</v>
      </c>
      <c r="E794" t="str">
        <f t="shared" ref="E794:E799" si="126">"400508"</f>
        <v>400508</v>
      </c>
      <c r="F794" t="s">
        <v>586</v>
      </c>
      <c r="G794">
        <v>4</v>
      </c>
      <c r="H794">
        <v>0</v>
      </c>
      <c r="I794" t="s">
        <v>2520</v>
      </c>
      <c r="J794" t="str">
        <f t="shared" ref="J794:J799" si="127">"153000431"</f>
        <v>153000431</v>
      </c>
      <c r="K794" s="1">
        <v>48032</v>
      </c>
      <c r="M794" s="1">
        <v>46207</v>
      </c>
      <c r="N794" t="str">
        <f t="shared" si="124"/>
        <v>1329001951</v>
      </c>
      <c r="O794">
        <v>4</v>
      </c>
      <c r="P794" s="2">
        <v>46218.560162037036</v>
      </c>
      <c r="Q794" s="2">
        <v>46218.636342592596</v>
      </c>
      <c r="R794" s="2">
        <v>46218.560162037036</v>
      </c>
      <c r="S794">
        <v>0</v>
      </c>
      <c r="T794" t="s">
        <v>2079</v>
      </c>
      <c r="U794" t="s">
        <v>2079</v>
      </c>
      <c r="W794" t="str">
        <f t="shared" ref="W794:W799" si="128">"400508"</f>
        <v>400508</v>
      </c>
      <c r="X794" t="s">
        <v>41</v>
      </c>
      <c r="AD794" s="2">
        <v>46218.636342592596</v>
      </c>
    </row>
    <row r="795" spans="1:30" x14ac:dyDescent="0.35">
      <c r="A795" t="s">
        <v>2182</v>
      </c>
      <c r="B795" t="s">
        <v>31</v>
      </c>
      <c r="C795" t="s">
        <v>2705</v>
      </c>
      <c r="D795" t="s">
        <v>33</v>
      </c>
      <c r="E795" t="str">
        <f t="shared" si="126"/>
        <v>400508</v>
      </c>
      <c r="F795" t="s">
        <v>586</v>
      </c>
      <c r="G795">
        <v>4</v>
      </c>
      <c r="H795">
        <v>0</v>
      </c>
      <c r="I795" t="s">
        <v>2522</v>
      </c>
      <c r="J795" t="str">
        <f t="shared" si="127"/>
        <v>153000431</v>
      </c>
      <c r="K795" s="1">
        <v>48032</v>
      </c>
      <c r="M795" s="1">
        <v>46207</v>
      </c>
      <c r="N795" t="str">
        <f t="shared" si="124"/>
        <v>1329001951</v>
      </c>
      <c r="O795">
        <v>4</v>
      </c>
      <c r="P795" s="2">
        <v>46218.560648148145</v>
      </c>
      <c r="Q795" s="2">
        <v>46218.638495370367</v>
      </c>
      <c r="R795" s="2">
        <v>46218.560648148145</v>
      </c>
      <c r="S795">
        <v>0</v>
      </c>
      <c r="T795" t="s">
        <v>2079</v>
      </c>
      <c r="U795" t="s">
        <v>2079</v>
      </c>
      <c r="W795" t="str">
        <f t="shared" si="128"/>
        <v>400508</v>
      </c>
      <c r="X795" t="s">
        <v>41</v>
      </c>
      <c r="AD795" s="2">
        <v>46218.638495370367</v>
      </c>
    </row>
    <row r="796" spans="1:30" x14ac:dyDescent="0.35">
      <c r="A796" t="s">
        <v>2182</v>
      </c>
      <c r="B796" t="s">
        <v>31</v>
      </c>
      <c r="C796" t="s">
        <v>2706</v>
      </c>
      <c r="D796" t="s">
        <v>33</v>
      </c>
      <c r="E796" t="str">
        <f t="shared" si="126"/>
        <v>400508</v>
      </c>
      <c r="F796" t="s">
        <v>586</v>
      </c>
      <c r="G796">
        <v>4</v>
      </c>
      <c r="H796">
        <v>0</v>
      </c>
      <c r="I796" t="s">
        <v>2707</v>
      </c>
      <c r="J796" t="str">
        <f t="shared" si="127"/>
        <v>153000431</v>
      </c>
      <c r="K796" s="1">
        <v>48032</v>
      </c>
      <c r="M796" s="1">
        <v>46207</v>
      </c>
      <c r="N796" t="str">
        <f t="shared" si="124"/>
        <v>1329001951</v>
      </c>
      <c r="O796">
        <v>4</v>
      </c>
      <c r="P796" s="2">
        <v>46218.561099537037</v>
      </c>
      <c r="Q796" s="2">
        <v>46218.644166666665</v>
      </c>
      <c r="R796" s="2">
        <v>46218.561099537037</v>
      </c>
      <c r="S796">
        <v>0</v>
      </c>
      <c r="T796" t="s">
        <v>2079</v>
      </c>
      <c r="U796" t="s">
        <v>2079</v>
      </c>
      <c r="W796" t="str">
        <f t="shared" si="128"/>
        <v>400508</v>
      </c>
      <c r="X796" t="s">
        <v>41</v>
      </c>
      <c r="AD796" s="2">
        <v>46218.644166666665</v>
      </c>
    </row>
    <row r="797" spans="1:30" x14ac:dyDescent="0.35">
      <c r="A797" t="s">
        <v>2182</v>
      </c>
      <c r="B797" t="s">
        <v>31</v>
      </c>
      <c r="C797" t="s">
        <v>2708</v>
      </c>
      <c r="D797" t="s">
        <v>33</v>
      </c>
      <c r="E797" t="str">
        <f t="shared" si="126"/>
        <v>400508</v>
      </c>
      <c r="F797" t="s">
        <v>586</v>
      </c>
      <c r="G797">
        <v>4</v>
      </c>
      <c r="H797">
        <v>0</v>
      </c>
      <c r="I797" t="s">
        <v>2709</v>
      </c>
      <c r="J797" t="str">
        <f t="shared" si="127"/>
        <v>153000431</v>
      </c>
      <c r="K797" s="1">
        <v>48032</v>
      </c>
      <c r="M797" s="1">
        <v>46207</v>
      </c>
      <c r="N797" t="str">
        <f t="shared" si="124"/>
        <v>1329001951</v>
      </c>
      <c r="O797">
        <v>4</v>
      </c>
      <c r="P797" s="2">
        <v>46218.561597222222</v>
      </c>
      <c r="Q797" s="2">
        <v>46218.645150462966</v>
      </c>
      <c r="R797" s="2">
        <v>46218.561597222222</v>
      </c>
      <c r="S797">
        <v>0</v>
      </c>
      <c r="T797" t="s">
        <v>2079</v>
      </c>
      <c r="U797" t="s">
        <v>2079</v>
      </c>
      <c r="W797" t="str">
        <f t="shared" si="128"/>
        <v>400508</v>
      </c>
      <c r="X797" t="s">
        <v>41</v>
      </c>
      <c r="AD797" s="2">
        <v>46218.645150462966</v>
      </c>
    </row>
    <row r="798" spans="1:30" x14ac:dyDescent="0.35">
      <c r="A798" t="s">
        <v>2182</v>
      </c>
      <c r="B798" t="s">
        <v>31</v>
      </c>
      <c r="C798" t="s">
        <v>2710</v>
      </c>
      <c r="D798" t="s">
        <v>33</v>
      </c>
      <c r="E798" t="str">
        <f t="shared" si="126"/>
        <v>400508</v>
      </c>
      <c r="F798" t="s">
        <v>586</v>
      </c>
      <c r="G798">
        <v>4</v>
      </c>
      <c r="H798">
        <v>0</v>
      </c>
      <c r="I798" t="s">
        <v>2711</v>
      </c>
      <c r="J798" t="str">
        <f t="shared" si="127"/>
        <v>153000431</v>
      </c>
      <c r="K798" s="1">
        <v>48032</v>
      </c>
      <c r="M798" s="1">
        <v>46207</v>
      </c>
      <c r="N798" t="str">
        <f t="shared" si="124"/>
        <v>1329001951</v>
      </c>
      <c r="O798">
        <v>4</v>
      </c>
      <c r="P798" s="2">
        <v>46218.561956018515</v>
      </c>
      <c r="Q798" s="2">
        <v>46218.65079861111</v>
      </c>
      <c r="R798" s="2">
        <v>46218.561956018515</v>
      </c>
      <c r="S798">
        <v>0</v>
      </c>
      <c r="T798" t="s">
        <v>2079</v>
      </c>
      <c r="U798" t="s">
        <v>2079</v>
      </c>
      <c r="W798" t="str">
        <f t="shared" si="128"/>
        <v>400508</v>
      </c>
      <c r="X798" t="s">
        <v>41</v>
      </c>
      <c r="AD798" s="2">
        <v>46218.65079861111</v>
      </c>
    </row>
    <row r="799" spans="1:30" x14ac:dyDescent="0.35">
      <c r="A799" t="s">
        <v>2182</v>
      </c>
      <c r="B799" t="s">
        <v>31</v>
      </c>
      <c r="C799" t="s">
        <v>2712</v>
      </c>
      <c r="D799" t="s">
        <v>33</v>
      </c>
      <c r="E799" t="str">
        <f t="shared" si="126"/>
        <v>400508</v>
      </c>
      <c r="F799" t="s">
        <v>586</v>
      </c>
      <c r="G799">
        <v>4</v>
      </c>
      <c r="H799">
        <v>0</v>
      </c>
      <c r="I799" t="s">
        <v>2518</v>
      </c>
      <c r="J799" t="str">
        <f t="shared" si="127"/>
        <v>153000431</v>
      </c>
      <c r="K799" s="1">
        <v>48032</v>
      </c>
      <c r="M799" s="1">
        <v>46207</v>
      </c>
      <c r="N799" t="str">
        <f t="shared" si="124"/>
        <v>1329001951</v>
      </c>
      <c r="O799">
        <v>4</v>
      </c>
      <c r="P799" s="2">
        <v>46218.562349537038</v>
      </c>
      <c r="Q799" s="2">
        <v>46219.383946759262</v>
      </c>
      <c r="R799" s="2">
        <v>46218.562349537038</v>
      </c>
      <c r="S799">
        <v>0</v>
      </c>
      <c r="T799" t="s">
        <v>2079</v>
      </c>
      <c r="U799" t="s">
        <v>2079</v>
      </c>
      <c r="W799" t="str">
        <f t="shared" si="128"/>
        <v>400508</v>
      </c>
      <c r="X799" t="s">
        <v>41</v>
      </c>
      <c r="AD799" s="2">
        <v>46219.383946759262</v>
      </c>
    </row>
    <row r="800" spans="1:30" x14ac:dyDescent="0.35">
      <c r="A800" t="s">
        <v>2182</v>
      </c>
      <c r="B800" t="s">
        <v>31</v>
      </c>
      <c r="C800" t="s">
        <v>2713</v>
      </c>
      <c r="D800" t="s">
        <v>33</v>
      </c>
      <c r="E800" t="str">
        <f t="shared" ref="E800:E805" si="129">"400426"</f>
        <v>400426</v>
      </c>
      <c r="F800" t="s">
        <v>34</v>
      </c>
      <c r="G800">
        <v>1</v>
      </c>
      <c r="H800">
        <v>0</v>
      </c>
      <c r="I800" t="s">
        <v>2714</v>
      </c>
      <c r="J800" t="str">
        <f t="shared" ref="J800:J805" si="130">"153000404"</f>
        <v>153000404</v>
      </c>
      <c r="K800" s="1">
        <v>48018</v>
      </c>
      <c r="M800" s="1">
        <v>46193</v>
      </c>
      <c r="N800" t="str">
        <f t="shared" ref="N800:N808" si="131">"1329001953"</f>
        <v>1329001953</v>
      </c>
      <c r="O800">
        <v>1</v>
      </c>
      <c r="P800" s="2">
        <v>46219.55195601852</v>
      </c>
      <c r="Q800" s="2">
        <v>46219.598368055558</v>
      </c>
      <c r="R800" s="2">
        <v>46219.55195601852</v>
      </c>
      <c r="S800">
        <v>1</v>
      </c>
      <c r="T800" t="s">
        <v>2079</v>
      </c>
      <c r="U800" t="s">
        <v>2079</v>
      </c>
      <c r="W800" t="str">
        <f t="shared" ref="W800:W805" si="132">"400426"</f>
        <v>400426</v>
      </c>
      <c r="X800" t="s">
        <v>37</v>
      </c>
      <c r="AD800" s="2">
        <v>46219.598368055558</v>
      </c>
    </row>
    <row r="801" spans="1:30" x14ac:dyDescent="0.35">
      <c r="A801" t="s">
        <v>2182</v>
      </c>
      <c r="B801" t="s">
        <v>31</v>
      </c>
      <c r="C801" t="s">
        <v>2715</v>
      </c>
      <c r="D801" t="s">
        <v>33</v>
      </c>
      <c r="E801" t="str">
        <f t="shared" si="129"/>
        <v>400426</v>
      </c>
      <c r="F801" t="s">
        <v>34</v>
      </c>
      <c r="G801">
        <v>24</v>
      </c>
      <c r="H801">
        <v>0</v>
      </c>
      <c r="I801" t="s">
        <v>2716</v>
      </c>
      <c r="J801" t="str">
        <f t="shared" si="130"/>
        <v>153000404</v>
      </c>
      <c r="K801" s="1">
        <v>48018</v>
      </c>
      <c r="M801" s="1">
        <v>46193</v>
      </c>
      <c r="N801" t="str">
        <f t="shared" si="131"/>
        <v>1329001953</v>
      </c>
      <c r="O801">
        <v>24</v>
      </c>
      <c r="P801" s="2">
        <v>46219.482129629629</v>
      </c>
      <c r="Q801" s="2">
        <v>46219.6016087963</v>
      </c>
      <c r="R801" s="2">
        <v>46219.482129629629</v>
      </c>
      <c r="S801">
        <v>0</v>
      </c>
      <c r="T801" t="s">
        <v>2079</v>
      </c>
      <c r="U801" t="s">
        <v>2079</v>
      </c>
      <c r="W801" t="str">
        <f t="shared" si="132"/>
        <v>400426</v>
      </c>
      <c r="X801" t="s">
        <v>37</v>
      </c>
      <c r="AD801" s="2">
        <v>46219.6016087963</v>
      </c>
    </row>
    <row r="802" spans="1:30" x14ac:dyDescent="0.35">
      <c r="A802" t="s">
        <v>2182</v>
      </c>
      <c r="B802" t="s">
        <v>31</v>
      </c>
      <c r="C802" t="s">
        <v>2717</v>
      </c>
      <c r="D802" t="s">
        <v>33</v>
      </c>
      <c r="E802" t="str">
        <f t="shared" si="129"/>
        <v>400426</v>
      </c>
      <c r="F802" t="s">
        <v>34</v>
      </c>
      <c r="G802">
        <v>24</v>
      </c>
      <c r="H802">
        <v>0</v>
      </c>
      <c r="I802" t="s">
        <v>2575</v>
      </c>
      <c r="J802" t="str">
        <f t="shared" si="130"/>
        <v>153000404</v>
      </c>
      <c r="K802" s="1">
        <v>48018</v>
      </c>
      <c r="M802" s="1">
        <v>46193</v>
      </c>
      <c r="N802" t="str">
        <f t="shared" si="131"/>
        <v>1329001953</v>
      </c>
      <c r="O802">
        <v>24</v>
      </c>
      <c r="P802" s="2">
        <v>46219.482557870368</v>
      </c>
      <c r="Q802" s="2">
        <v>46219.602581018517</v>
      </c>
      <c r="R802" s="2">
        <v>46219.482557870368</v>
      </c>
      <c r="S802">
        <v>0</v>
      </c>
      <c r="T802" t="s">
        <v>2079</v>
      </c>
      <c r="U802" t="s">
        <v>2079</v>
      </c>
      <c r="W802" t="str">
        <f t="shared" si="132"/>
        <v>400426</v>
      </c>
      <c r="X802" t="s">
        <v>37</v>
      </c>
      <c r="AD802" s="2">
        <v>46219.602581018517</v>
      </c>
    </row>
    <row r="803" spans="1:30" x14ac:dyDescent="0.35">
      <c r="A803" t="s">
        <v>2182</v>
      </c>
      <c r="B803" t="s">
        <v>31</v>
      </c>
      <c r="C803" t="s">
        <v>2718</v>
      </c>
      <c r="D803" t="s">
        <v>33</v>
      </c>
      <c r="E803" t="str">
        <f t="shared" si="129"/>
        <v>400426</v>
      </c>
      <c r="F803" t="s">
        <v>34</v>
      </c>
      <c r="G803">
        <v>24</v>
      </c>
      <c r="H803">
        <v>0</v>
      </c>
      <c r="I803" t="s">
        <v>2719</v>
      </c>
      <c r="J803" t="str">
        <f t="shared" si="130"/>
        <v>153000404</v>
      </c>
      <c r="K803" s="1">
        <v>48018</v>
      </c>
      <c r="M803" s="1">
        <v>46193</v>
      </c>
      <c r="N803" t="str">
        <f t="shared" si="131"/>
        <v>1329001953</v>
      </c>
      <c r="O803">
        <v>24</v>
      </c>
      <c r="P803" s="2">
        <v>46219.483749999999</v>
      </c>
      <c r="Q803" s="2">
        <v>46219.61078703704</v>
      </c>
      <c r="R803" s="2">
        <v>46219.483749999999</v>
      </c>
      <c r="S803">
        <v>0</v>
      </c>
      <c r="T803" t="s">
        <v>2079</v>
      </c>
      <c r="U803" t="s">
        <v>2079</v>
      </c>
      <c r="W803" t="str">
        <f t="shared" si="132"/>
        <v>400426</v>
      </c>
      <c r="X803" t="s">
        <v>37</v>
      </c>
      <c r="AD803" s="2">
        <v>46219.61078703704</v>
      </c>
    </row>
    <row r="804" spans="1:30" x14ac:dyDescent="0.35">
      <c r="A804" t="s">
        <v>2182</v>
      </c>
      <c r="B804" t="s">
        <v>31</v>
      </c>
      <c r="C804" t="s">
        <v>2720</v>
      </c>
      <c r="D804" t="s">
        <v>33</v>
      </c>
      <c r="E804" t="str">
        <f t="shared" si="129"/>
        <v>400426</v>
      </c>
      <c r="F804" t="s">
        <v>34</v>
      </c>
      <c r="G804">
        <v>23</v>
      </c>
      <c r="H804">
        <v>0</v>
      </c>
      <c r="I804" t="s">
        <v>2613</v>
      </c>
      <c r="J804" t="str">
        <f t="shared" si="130"/>
        <v>153000404</v>
      </c>
      <c r="K804" s="1">
        <v>48018</v>
      </c>
      <c r="M804" s="1">
        <v>46193</v>
      </c>
      <c r="N804" t="str">
        <f t="shared" si="131"/>
        <v>1329001953</v>
      </c>
      <c r="O804">
        <v>23</v>
      </c>
      <c r="P804" s="2">
        <v>46219.484976851854</v>
      </c>
      <c r="Q804" s="2">
        <v>46219.614675925928</v>
      </c>
      <c r="R804" s="2">
        <v>46219.484976851854</v>
      </c>
      <c r="S804">
        <v>0</v>
      </c>
      <c r="T804" t="s">
        <v>2079</v>
      </c>
      <c r="U804" t="s">
        <v>2079</v>
      </c>
      <c r="W804" t="str">
        <f t="shared" si="132"/>
        <v>400426</v>
      </c>
      <c r="X804" t="s">
        <v>37</v>
      </c>
      <c r="AD804" s="2">
        <v>46219.614675925928</v>
      </c>
    </row>
    <row r="805" spans="1:30" x14ac:dyDescent="0.35">
      <c r="A805" t="s">
        <v>2182</v>
      </c>
      <c r="B805" t="s">
        <v>31</v>
      </c>
      <c r="C805" t="s">
        <v>2721</v>
      </c>
      <c r="D805" t="s">
        <v>33</v>
      </c>
      <c r="E805" t="str">
        <f t="shared" si="129"/>
        <v>400426</v>
      </c>
      <c r="F805" t="s">
        <v>34</v>
      </c>
      <c r="G805">
        <v>24</v>
      </c>
      <c r="H805">
        <v>0</v>
      </c>
      <c r="I805" t="s">
        <v>2589</v>
      </c>
      <c r="J805" t="str">
        <f t="shared" si="130"/>
        <v>153000404</v>
      </c>
      <c r="K805" s="1">
        <v>48018</v>
      </c>
      <c r="M805" s="1">
        <v>46193</v>
      </c>
      <c r="N805" t="str">
        <f t="shared" si="131"/>
        <v>1329001953</v>
      </c>
      <c r="O805">
        <v>24</v>
      </c>
      <c r="P805" s="2">
        <v>46219.485798611109</v>
      </c>
      <c r="Q805" s="2">
        <v>46219.617731481485</v>
      </c>
      <c r="R805" s="2">
        <v>46219.485798611109</v>
      </c>
      <c r="S805">
        <v>0</v>
      </c>
      <c r="T805" t="s">
        <v>2079</v>
      </c>
      <c r="U805" t="s">
        <v>2079</v>
      </c>
      <c r="W805" t="str">
        <f t="shared" si="132"/>
        <v>400426</v>
      </c>
      <c r="X805" t="s">
        <v>37</v>
      </c>
      <c r="AD805" s="2">
        <v>46219.617731481485</v>
      </c>
    </row>
    <row r="806" spans="1:30" x14ac:dyDescent="0.35">
      <c r="A806" t="s">
        <v>2182</v>
      </c>
      <c r="B806" t="s">
        <v>31</v>
      </c>
      <c r="C806" t="s">
        <v>2722</v>
      </c>
      <c r="D806" t="s">
        <v>33</v>
      </c>
      <c r="E806" t="str">
        <f>"400405"</f>
        <v>400405</v>
      </c>
      <c r="F806" t="s">
        <v>519</v>
      </c>
      <c r="G806">
        <v>52</v>
      </c>
      <c r="H806">
        <v>0</v>
      </c>
      <c r="I806" t="s">
        <v>2586</v>
      </c>
      <c r="J806" t="str">
        <f>"153000440"</f>
        <v>153000440</v>
      </c>
      <c r="K806" s="1">
        <v>48036</v>
      </c>
      <c r="M806" s="1">
        <v>46211</v>
      </c>
      <c r="N806" t="str">
        <f t="shared" si="131"/>
        <v>1329001953</v>
      </c>
      <c r="O806">
        <v>52</v>
      </c>
      <c r="P806" s="2">
        <v>46219.487337962964</v>
      </c>
      <c r="Q806" s="2">
        <v>46219.621967592589</v>
      </c>
      <c r="R806" s="2">
        <v>46219.487337962964</v>
      </c>
      <c r="S806">
        <v>0</v>
      </c>
      <c r="T806" t="s">
        <v>2079</v>
      </c>
      <c r="U806" t="s">
        <v>2079</v>
      </c>
      <c r="W806" t="str">
        <f>"400405"</f>
        <v>400405</v>
      </c>
      <c r="X806" t="s">
        <v>37</v>
      </c>
      <c r="AD806" s="2">
        <v>46219.621967592589</v>
      </c>
    </row>
    <row r="807" spans="1:30" x14ac:dyDescent="0.35">
      <c r="A807" t="s">
        <v>2182</v>
      </c>
      <c r="B807" t="s">
        <v>31</v>
      </c>
      <c r="C807" t="s">
        <v>2723</v>
      </c>
      <c r="D807" t="s">
        <v>33</v>
      </c>
      <c r="E807" t="str">
        <f>"400405"</f>
        <v>400405</v>
      </c>
      <c r="F807" t="s">
        <v>519</v>
      </c>
      <c r="G807">
        <v>52</v>
      </c>
      <c r="H807">
        <v>0</v>
      </c>
      <c r="I807" t="s">
        <v>2585</v>
      </c>
      <c r="J807" t="str">
        <f>"153000440"</f>
        <v>153000440</v>
      </c>
      <c r="K807" s="1">
        <v>48036</v>
      </c>
      <c r="M807" s="1">
        <v>46211</v>
      </c>
      <c r="N807" t="str">
        <f t="shared" si="131"/>
        <v>1329001953</v>
      </c>
      <c r="O807">
        <v>52</v>
      </c>
      <c r="P807" s="2">
        <v>46219.488217592596</v>
      </c>
      <c r="Q807" s="2">
        <v>46219.62462962963</v>
      </c>
      <c r="R807" s="2">
        <v>46219.488217592596</v>
      </c>
      <c r="S807">
        <v>0</v>
      </c>
      <c r="T807" t="s">
        <v>2079</v>
      </c>
      <c r="U807" t="s">
        <v>2079</v>
      </c>
      <c r="W807" t="str">
        <f>"400405"</f>
        <v>400405</v>
      </c>
      <c r="X807" t="s">
        <v>37</v>
      </c>
      <c r="AD807" s="2">
        <v>46219.62462962963</v>
      </c>
    </row>
    <row r="808" spans="1:30" x14ac:dyDescent="0.35">
      <c r="A808" t="s">
        <v>2182</v>
      </c>
      <c r="B808" t="s">
        <v>31</v>
      </c>
      <c r="C808" t="s">
        <v>2724</v>
      </c>
      <c r="D808" t="s">
        <v>33</v>
      </c>
      <c r="E808" t="str">
        <f>"400405"</f>
        <v>400405</v>
      </c>
      <c r="F808" t="s">
        <v>519</v>
      </c>
      <c r="G808">
        <v>52</v>
      </c>
      <c r="H808">
        <v>0</v>
      </c>
      <c r="I808" t="s">
        <v>2725</v>
      </c>
      <c r="J808" t="str">
        <f>"153000440"</f>
        <v>153000440</v>
      </c>
      <c r="K808" s="1">
        <v>48036</v>
      </c>
      <c r="M808" s="1">
        <v>46211</v>
      </c>
      <c r="N808" t="str">
        <f t="shared" si="131"/>
        <v>1329001953</v>
      </c>
      <c r="O808">
        <v>52</v>
      </c>
      <c r="P808" s="2">
        <v>46219.490902777776</v>
      </c>
      <c r="Q808" s="2">
        <v>46219.629432870373</v>
      </c>
      <c r="R808" s="2">
        <v>46219.490902777776</v>
      </c>
      <c r="S808">
        <v>0</v>
      </c>
      <c r="T808" t="s">
        <v>2079</v>
      </c>
      <c r="U808" t="s">
        <v>2079</v>
      </c>
      <c r="W808" t="str">
        <f>"400405"</f>
        <v>400405</v>
      </c>
      <c r="X808" t="s">
        <v>37</v>
      </c>
      <c r="AD808" s="2">
        <v>46219.629432870373</v>
      </c>
    </row>
    <row r="809" spans="1:30" x14ac:dyDescent="0.35">
      <c r="A809" t="s">
        <v>2182</v>
      </c>
      <c r="B809" t="s">
        <v>31</v>
      </c>
      <c r="C809" t="s">
        <v>2726</v>
      </c>
      <c r="D809" t="s">
        <v>33</v>
      </c>
      <c r="E809" t="str">
        <f t="shared" ref="E809:E822" si="133">"400441"</f>
        <v>400441</v>
      </c>
      <c r="F809" t="s">
        <v>65</v>
      </c>
      <c r="G809">
        <v>4</v>
      </c>
      <c r="H809">
        <v>0</v>
      </c>
      <c r="I809" t="s">
        <v>2211</v>
      </c>
      <c r="J809" t="str">
        <f t="shared" ref="J809:J822" si="134">"153000397"</f>
        <v>153000397</v>
      </c>
      <c r="K809" s="1">
        <v>48015</v>
      </c>
      <c r="M809" s="1">
        <v>46190</v>
      </c>
      <c r="N809" t="str">
        <f t="shared" ref="N809:N822" si="135">"1329001936"</f>
        <v>1329001936</v>
      </c>
      <c r="O809">
        <v>4</v>
      </c>
      <c r="P809" s="2">
        <v>46217.384814814817</v>
      </c>
      <c r="Q809" s="2">
        <v>46221.582673611112</v>
      </c>
      <c r="R809" s="2">
        <v>46217.384814814817</v>
      </c>
      <c r="S809">
        <v>0</v>
      </c>
      <c r="T809" t="s">
        <v>2079</v>
      </c>
      <c r="U809" t="s">
        <v>2079</v>
      </c>
      <c r="W809" t="str">
        <f t="shared" ref="W809:W822" si="136">"400441"</f>
        <v>400441</v>
      </c>
      <c r="X809" t="s">
        <v>41</v>
      </c>
      <c r="AD809" s="2">
        <v>46221.582673611112</v>
      </c>
    </row>
    <row r="810" spans="1:30" x14ac:dyDescent="0.35">
      <c r="A810" t="s">
        <v>2182</v>
      </c>
      <c r="B810" t="s">
        <v>31</v>
      </c>
      <c r="C810" t="s">
        <v>2727</v>
      </c>
      <c r="D810" t="s">
        <v>33</v>
      </c>
      <c r="E810" t="str">
        <f t="shared" si="133"/>
        <v>400441</v>
      </c>
      <c r="F810" t="s">
        <v>65</v>
      </c>
      <c r="G810">
        <v>4</v>
      </c>
      <c r="H810">
        <v>0</v>
      </c>
      <c r="I810" t="s">
        <v>2211</v>
      </c>
      <c r="J810" t="str">
        <f t="shared" si="134"/>
        <v>153000397</v>
      </c>
      <c r="K810" s="1">
        <v>48015</v>
      </c>
      <c r="M810" s="1">
        <v>46190</v>
      </c>
      <c r="N810" t="str">
        <f t="shared" si="135"/>
        <v>1329001936</v>
      </c>
      <c r="O810">
        <v>4</v>
      </c>
      <c r="P810" s="2">
        <v>46217.3830787037</v>
      </c>
      <c r="Q810" s="2">
        <v>46221.592083333337</v>
      </c>
      <c r="R810" s="2">
        <v>46217.3830787037</v>
      </c>
      <c r="S810">
        <v>0</v>
      </c>
      <c r="T810" t="s">
        <v>2079</v>
      </c>
      <c r="U810" t="s">
        <v>2079</v>
      </c>
      <c r="W810" t="str">
        <f t="shared" si="136"/>
        <v>400441</v>
      </c>
      <c r="X810" t="s">
        <v>41</v>
      </c>
      <c r="AD810" s="2">
        <v>46221.592083333337</v>
      </c>
    </row>
    <row r="811" spans="1:30" x14ac:dyDescent="0.35">
      <c r="A811" t="s">
        <v>2182</v>
      </c>
      <c r="B811" t="s">
        <v>31</v>
      </c>
      <c r="C811" t="s">
        <v>2728</v>
      </c>
      <c r="D811" t="s">
        <v>33</v>
      </c>
      <c r="E811" t="str">
        <f t="shared" si="133"/>
        <v>400441</v>
      </c>
      <c r="F811" t="s">
        <v>65</v>
      </c>
      <c r="G811">
        <v>4</v>
      </c>
      <c r="H811">
        <v>0</v>
      </c>
      <c r="I811" t="s">
        <v>2729</v>
      </c>
      <c r="J811" t="str">
        <f t="shared" si="134"/>
        <v>153000397</v>
      </c>
      <c r="K811" s="1">
        <v>48015</v>
      </c>
      <c r="M811" s="1">
        <v>46190</v>
      </c>
      <c r="N811" t="str">
        <f t="shared" si="135"/>
        <v>1329001936</v>
      </c>
      <c r="O811">
        <v>4</v>
      </c>
      <c r="P811" s="2">
        <v>46217.383935185186</v>
      </c>
      <c r="Q811" s="2">
        <v>46221.595289351855</v>
      </c>
      <c r="R811" s="2">
        <v>46217.383935185186</v>
      </c>
      <c r="S811">
        <v>0</v>
      </c>
      <c r="T811" t="s">
        <v>2079</v>
      </c>
      <c r="U811" t="s">
        <v>2079</v>
      </c>
      <c r="W811" t="str">
        <f t="shared" si="136"/>
        <v>400441</v>
      </c>
      <c r="X811" t="s">
        <v>41</v>
      </c>
      <c r="AD811" s="2">
        <v>46221.595289351855</v>
      </c>
    </row>
    <row r="812" spans="1:30" x14ac:dyDescent="0.35">
      <c r="A812" t="s">
        <v>2182</v>
      </c>
      <c r="B812" t="s">
        <v>31</v>
      </c>
      <c r="C812" t="s">
        <v>2730</v>
      </c>
      <c r="D812" t="s">
        <v>33</v>
      </c>
      <c r="E812" t="str">
        <f t="shared" si="133"/>
        <v>400441</v>
      </c>
      <c r="F812" t="s">
        <v>65</v>
      </c>
      <c r="G812">
        <v>4</v>
      </c>
      <c r="H812">
        <v>0</v>
      </c>
      <c r="I812" t="s">
        <v>2729</v>
      </c>
      <c r="J812" t="str">
        <f t="shared" si="134"/>
        <v>153000397</v>
      </c>
      <c r="K812" s="1">
        <v>48015</v>
      </c>
      <c r="M812" s="1">
        <v>46190</v>
      </c>
      <c r="N812" t="str">
        <f t="shared" si="135"/>
        <v>1329001936</v>
      </c>
      <c r="O812">
        <v>4</v>
      </c>
      <c r="P812" s="2">
        <v>46217.385868055557</v>
      </c>
      <c r="Q812" s="2">
        <v>46221.596643518518</v>
      </c>
      <c r="R812" s="2">
        <v>46217.385868055557</v>
      </c>
      <c r="S812">
        <v>0</v>
      </c>
      <c r="T812" t="s">
        <v>2079</v>
      </c>
      <c r="U812" t="s">
        <v>2079</v>
      </c>
      <c r="W812" t="str">
        <f t="shared" si="136"/>
        <v>400441</v>
      </c>
      <c r="X812" t="s">
        <v>41</v>
      </c>
      <c r="AD812" s="2">
        <v>46221.596643518518</v>
      </c>
    </row>
    <row r="813" spans="1:30" x14ac:dyDescent="0.35">
      <c r="A813" t="s">
        <v>2182</v>
      </c>
      <c r="B813" t="s">
        <v>31</v>
      </c>
      <c r="C813" t="s">
        <v>2731</v>
      </c>
      <c r="D813" t="s">
        <v>33</v>
      </c>
      <c r="E813" t="str">
        <f t="shared" si="133"/>
        <v>400441</v>
      </c>
      <c r="F813" t="s">
        <v>65</v>
      </c>
      <c r="G813">
        <v>4</v>
      </c>
      <c r="H813">
        <v>0</v>
      </c>
      <c r="I813" t="s">
        <v>2729</v>
      </c>
      <c r="J813" t="str">
        <f t="shared" si="134"/>
        <v>153000397</v>
      </c>
      <c r="K813" s="1">
        <v>48015</v>
      </c>
      <c r="M813" s="1">
        <v>46190</v>
      </c>
      <c r="N813" t="str">
        <f t="shared" si="135"/>
        <v>1329001936</v>
      </c>
      <c r="O813">
        <v>4</v>
      </c>
      <c r="P813" s="2">
        <v>46217.386655092596</v>
      </c>
      <c r="Q813" s="2">
        <v>46221.599097222221</v>
      </c>
      <c r="R813" s="2">
        <v>46217.386655092596</v>
      </c>
      <c r="S813">
        <v>0</v>
      </c>
      <c r="T813" t="s">
        <v>2079</v>
      </c>
      <c r="U813" t="s">
        <v>2079</v>
      </c>
      <c r="W813" t="str">
        <f t="shared" si="136"/>
        <v>400441</v>
      </c>
      <c r="X813" t="s">
        <v>41</v>
      </c>
      <c r="AD813" s="2">
        <v>46221.599097222221</v>
      </c>
    </row>
    <row r="814" spans="1:30" x14ac:dyDescent="0.35">
      <c r="A814" t="s">
        <v>2182</v>
      </c>
      <c r="B814" t="s">
        <v>31</v>
      </c>
      <c r="C814" t="s">
        <v>2732</v>
      </c>
      <c r="D814" t="s">
        <v>33</v>
      </c>
      <c r="E814" t="str">
        <f t="shared" si="133"/>
        <v>400441</v>
      </c>
      <c r="F814" t="s">
        <v>65</v>
      </c>
      <c r="G814">
        <v>4</v>
      </c>
      <c r="H814">
        <v>0</v>
      </c>
      <c r="I814" t="s">
        <v>2729</v>
      </c>
      <c r="J814" t="str">
        <f t="shared" si="134"/>
        <v>153000397</v>
      </c>
      <c r="K814" s="1">
        <v>48015</v>
      </c>
      <c r="M814" s="1">
        <v>46190</v>
      </c>
      <c r="N814" t="str">
        <f t="shared" si="135"/>
        <v>1329001936</v>
      </c>
      <c r="O814">
        <v>4</v>
      </c>
      <c r="P814" s="2">
        <v>46217.38753472222</v>
      </c>
      <c r="Q814" s="2">
        <v>46221.603842592594</v>
      </c>
      <c r="R814" s="2">
        <v>46217.38753472222</v>
      </c>
      <c r="S814">
        <v>0</v>
      </c>
      <c r="T814" t="s">
        <v>2079</v>
      </c>
      <c r="U814" t="s">
        <v>2079</v>
      </c>
      <c r="W814" t="str">
        <f t="shared" si="136"/>
        <v>400441</v>
      </c>
      <c r="X814" t="s">
        <v>41</v>
      </c>
      <c r="AD814" s="2">
        <v>46221.603842592594</v>
      </c>
    </row>
    <row r="815" spans="1:30" x14ac:dyDescent="0.35">
      <c r="A815" t="s">
        <v>2182</v>
      </c>
      <c r="B815" t="s">
        <v>31</v>
      </c>
      <c r="C815" t="s">
        <v>2733</v>
      </c>
      <c r="D815" t="s">
        <v>33</v>
      </c>
      <c r="E815" t="str">
        <f t="shared" si="133"/>
        <v>400441</v>
      </c>
      <c r="F815" t="s">
        <v>65</v>
      </c>
      <c r="G815">
        <v>4</v>
      </c>
      <c r="H815">
        <v>0</v>
      </c>
      <c r="I815" t="s">
        <v>2734</v>
      </c>
      <c r="J815" t="str">
        <f t="shared" si="134"/>
        <v>153000397</v>
      </c>
      <c r="K815" s="1">
        <v>48015</v>
      </c>
      <c r="M815" s="1">
        <v>46190</v>
      </c>
      <c r="N815" t="str">
        <f t="shared" si="135"/>
        <v>1329001936</v>
      </c>
      <c r="O815">
        <v>4</v>
      </c>
      <c r="P815" s="2">
        <v>46217.380532407406</v>
      </c>
      <c r="Q815" s="2">
        <v>46221.64508101852</v>
      </c>
      <c r="R815" s="2">
        <v>46217.380532407406</v>
      </c>
      <c r="S815">
        <v>0</v>
      </c>
      <c r="T815" t="s">
        <v>2079</v>
      </c>
      <c r="U815" t="s">
        <v>2079</v>
      </c>
      <c r="W815" t="str">
        <f t="shared" si="136"/>
        <v>400441</v>
      </c>
      <c r="X815" t="s">
        <v>41</v>
      </c>
      <c r="AD815" s="2">
        <v>46221.64508101852</v>
      </c>
    </row>
    <row r="816" spans="1:30" x14ac:dyDescent="0.35">
      <c r="A816" t="s">
        <v>2182</v>
      </c>
      <c r="B816" t="s">
        <v>31</v>
      </c>
      <c r="C816" t="s">
        <v>2735</v>
      </c>
      <c r="D816" t="s">
        <v>33</v>
      </c>
      <c r="E816" t="str">
        <f t="shared" si="133"/>
        <v>400441</v>
      </c>
      <c r="F816" t="s">
        <v>65</v>
      </c>
      <c r="G816">
        <v>4</v>
      </c>
      <c r="H816">
        <v>0</v>
      </c>
      <c r="I816" t="s">
        <v>2734</v>
      </c>
      <c r="J816" t="str">
        <f t="shared" si="134"/>
        <v>153000397</v>
      </c>
      <c r="K816" s="1">
        <v>48015</v>
      </c>
      <c r="M816" s="1">
        <v>46190</v>
      </c>
      <c r="N816" t="str">
        <f t="shared" si="135"/>
        <v>1329001936</v>
      </c>
      <c r="O816">
        <v>4</v>
      </c>
      <c r="P816" s="2">
        <v>46217.381886574076</v>
      </c>
      <c r="Q816" s="2">
        <v>46221.649525462963</v>
      </c>
      <c r="R816" s="2">
        <v>46217.381886574076</v>
      </c>
      <c r="S816">
        <v>0</v>
      </c>
      <c r="T816" t="s">
        <v>2079</v>
      </c>
      <c r="U816" t="s">
        <v>2079</v>
      </c>
      <c r="W816" t="str">
        <f t="shared" si="136"/>
        <v>400441</v>
      </c>
      <c r="X816" t="s">
        <v>41</v>
      </c>
      <c r="AD816" s="2">
        <v>46221.649525462963</v>
      </c>
    </row>
    <row r="817" spans="1:30" x14ac:dyDescent="0.35">
      <c r="A817" t="s">
        <v>2182</v>
      </c>
      <c r="B817" t="s">
        <v>31</v>
      </c>
      <c r="C817" t="s">
        <v>2736</v>
      </c>
      <c r="D817" t="s">
        <v>33</v>
      </c>
      <c r="E817" t="str">
        <f t="shared" si="133"/>
        <v>400441</v>
      </c>
      <c r="F817" t="s">
        <v>65</v>
      </c>
      <c r="G817">
        <v>4</v>
      </c>
      <c r="H817">
        <v>0</v>
      </c>
      <c r="I817" t="s">
        <v>2734</v>
      </c>
      <c r="J817" t="str">
        <f t="shared" si="134"/>
        <v>153000397</v>
      </c>
      <c r="K817" s="1">
        <v>48015</v>
      </c>
      <c r="M817" s="1">
        <v>46190</v>
      </c>
      <c r="N817" t="str">
        <f t="shared" si="135"/>
        <v>1329001936</v>
      </c>
      <c r="O817">
        <v>4</v>
      </c>
      <c r="P817" s="2">
        <v>46217.382719907408</v>
      </c>
      <c r="Q817" s="2">
        <v>46221.653726851851</v>
      </c>
      <c r="R817" s="2">
        <v>46217.382719907408</v>
      </c>
      <c r="S817">
        <v>0</v>
      </c>
      <c r="T817" t="s">
        <v>2079</v>
      </c>
      <c r="U817" t="s">
        <v>2079</v>
      </c>
      <c r="W817" t="str">
        <f t="shared" si="136"/>
        <v>400441</v>
      </c>
      <c r="X817" t="s">
        <v>41</v>
      </c>
      <c r="AD817" s="2">
        <v>46221.653726851851</v>
      </c>
    </row>
    <row r="818" spans="1:30" x14ac:dyDescent="0.35">
      <c r="A818" t="s">
        <v>2182</v>
      </c>
      <c r="B818" t="s">
        <v>31</v>
      </c>
      <c r="C818" t="s">
        <v>2737</v>
      </c>
      <c r="D818" t="s">
        <v>33</v>
      </c>
      <c r="E818" t="str">
        <f t="shared" si="133"/>
        <v>400441</v>
      </c>
      <c r="F818" t="s">
        <v>65</v>
      </c>
      <c r="G818">
        <v>4</v>
      </c>
      <c r="H818">
        <v>0</v>
      </c>
      <c r="I818" t="s">
        <v>2734</v>
      </c>
      <c r="J818" t="str">
        <f t="shared" si="134"/>
        <v>153000397</v>
      </c>
      <c r="K818" s="1">
        <v>48015</v>
      </c>
      <c r="M818" s="1">
        <v>46190</v>
      </c>
      <c r="N818" t="str">
        <f t="shared" si="135"/>
        <v>1329001936</v>
      </c>
      <c r="O818">
        <v>4</v>
      </c>
      <c r="P818" s="2">
        <v>46217.383576388886</v>
      </c>
      <c r="Q818" s="2">
        <v>46221.659571759257</v>
      </c>
      <c r="R818" s="2">
        <v>46217.383576388886</v>
      </c>
      <c r="S818">
        <v>0</v>
      </c>
      <c r="T818" t="s">
        <v>2079</v>
      </c>
      <c r="U818" t="s">
        <v>2079</v>
      </c>
      <c r="W818" t="str">
        <f t="shared" si="136"/>
        <v>400441</v>
      </c>
      <c r="X818" t="s">
        <v>41</v>
      </c>
      <c r="AD818" s="2">
        <v>46221.659571759257</v>
      </c>
    </row>
    <row r="819" spans="1:30" x14ac:dyDescent="0.35">
      <c r="A819" t="s">
        <v>2182</v>
      </c>
      <c r="B819" t="s">
        <v>31</v>
      </c>
      <c r="C819" t="s">
        <v>2738</v>
      </c>
      <c r="D819" t="s">
        <v>33</v>
      </c>
      <c r="E819" t="str">
        <f t="shared" si="133"/>
        <v>400441</v>
      </c>
      <c r="F819" t="s">
        <v>65</v>
      </c>
      <c r="G819">
        <v>4</v>
      </c>
      <c r="H819">
        <v>0</v>
      </c>
      <c r="I819" t="s">
        <v>2739</v>
      </c>
      <c r="J819" t="str">
        <f t="shared" si="134"/>
        <v>153000397</v>
      </c>
      <c r="K819" s="1">
        <v>48015</v>
      </c>
      <c r="M819" s="1">
        <v>46190</v>
      </c>
      <c r="N819" t="str">
        <f t="shared" si="135"/>
        <v>1329001936</v>
      </c>
      <c r="O819">
        <v>4</v>
      </c>
      <c r="P819" s="2">
        <v>46217.384363425925</v>
      </c>
      <c r="Q819" s="2">
        <v>46222.311620370368</v>
      </c>
      <c r="R819" s="2">
        <v>46217.384363425925</v>
      </c>
      <c r="S819">
        <v>0</v>
      </c>
      <c r="T819" t="s">
        <v>2079</v>
      </c>
      <c r="U819" t="s">
        <v>2079</v>
      </c>
      <c r="W819" t="str">
        <f t="shared" si="136"/>
        <v>400441</v>
      </c>
      <c r="X819" t="s">
        <v>41</v>
      </c>
      <c r="AD819" s="2">
        <v>46222.311620370368</v>
      </c>
    </row>
    <row r="820" spans="1:30" x14ac:dyDescent="0.35">
      <c r="A820" t="s">
        <v>2182</v>
      </c>
      <c r="B820" t="s">
        <v>31</v>
      </c>
      <c r="C820" t="s">
        <v>2740</v>
      </c>
      <c r="D820" t="s">
        <v>33</v>
      </c>
      <c r="E820" t="str">
        <f t="shared" si="133"/>
        <v>400441</v>
      </c>
      <c r="F820" t="s">
        <v>65</v>
      </c>
      <c r="G820">
        <v>4</v>
      </c>
      <c r="H820">
        <v>0</v>
      </c>
      <c r="I820" t="s">
        <v>2739</v>
      </c>
      <c r="J820" t="str">
        <f t="shared" si="134"/>
        <v>153000397</v>
      </c>
      <c r="K820" s="1">
        <v>48015</v>
      </c>
      <c r="M820" s="1">
        <v>46190</v>
      </c>
      <c r="N820" t="str">
        <f t="shared" si="135"/>
        <v>1329001936</v>
      </c>
      <c r="O820">
        <v>4</v>
      </c>
      <c r="P820" s="2">
        <v>46217.385335648149</v>
      </c>
      <c r="Q820" s="2">
        <v>46222.317326388889</v>
      </c>
      <c r="R820" s="2">
        <v>46217.385335648149</v>
      </c>
      <c r="S820">
        <v>0</v>
      </c>
      <c r="T820" t="s">
        <v>2079</v>
      </c>
      <c r="U820" t="s">
        <v>2079</v>
      </c>
      <c r="W820" t="str">
        <f t="shared" si="136"/>
        <v>400441</v>
      </c>
      <c r="X820" t="s">
        <v>41</v>
      </c>
      <c r="AD820" s="2">
        <v>46222.317326388889</v>
      </c>
    </row>
    <row r="821" spans="1:30" x14ac:dyDescent="0.35">
      <c r="A821" t="s">
        <v>2182</v>
      </c>
      <c r="B821" t="s">
        <v>31</v>
      </c>
      <c r="C821" t="s">
        <v>2741</v>
      </c>
      <c r="D821" t="s">
        <v>33</v>
      </c>
      <c r="E821" t="str">
        <f t="shared" si="133"/>
        <v>400441</v>
      </c>
      <c r="F821" t="s">
        <v>65</v>
      </c>
      <c r="G821">
        <v>4</v>
      </c>
      <c r="H821">
        <v>0</v>
      </c>
      <c r="I821" t="s">
        <v>2739</v>
      </c>
      <c r="J821" t="str">
        <f t="shared" si="134"/>
        <v>153000397</v>
      </c>
      <c r="K821" s="1">
        <v>48015</v>
      </c>
      <c r="M821" s="1">
        <v>46190</v>
      </c>
      <c r="N821" t="str">
        <f t="shared" si="135"/>
        <v>1329001936</v>
      </c>
      <c r="O821">
        <v>4</v>
      </c>
      <c r="P821" s="2">
        <v>46217.386319444442</v>
      </c>
      <c r="Q821" s="2">
        <v>46222.319837962961</v>
      </c>
      <c r="R821" s="2">
        <v>46217.386319444442</v>
      </c>
      <c r="S821">
        <v>0</v>
      </c>
      <c r="T821" t="s">
        <v>2079</v>
      </c>
      <c r="U821" t="s">
        <v>2079</v>
      </c>
      <c r="W821" t="str">
        <f t="shared" si="136"/>
        <v>400441</v>
      </c>
      <c r="X821" t="s">
        <v>41</v>
      </c>
      <c r="AD821" s="2">
        <v>46222.319837962961</v>
      </c>
    </row>
    <row r="822" spans="1:30" x14ac:dyDescent="0.35">
      <c r="A822" t="s">
        <v>2182</v>
      </c>
      <c r="B822" t="s">
        <v>31</v>
      </c>
      <c r="C822" t="s">
        <v>2742</v>
      </c>
      <c r="D822" t="s">
        <v>33</v>
      </c>
      <c r="E822" t="str">
        <f t="shared" si="133"/>
        <v>400441</v>
      </c>
      <c r="F822" t="s">
        <v>65</v>
      </c>
      <c r="G822">
        <v>4</v>
      </c>
      <c r="H822">
        <v>0</v>
      </c>
      <c r="I822" t="s">
        <v>2739</v>
      </c>
      <c r="J822" t="str">
        <f t="shared" si="134"/>
        <v>153000397</v>
      </c>
      <c r="K822" s="1">
        <v>48015</v>
      </c>
      <c r="M822" s="1">
        <v>46190</v>
      </c>
      <c r="N822" t="str">
        <f t="shared" si="135"/>
        <v>1329001936</v>
      </c>
      <c r="O822">
        <v>4</v>
      </c>
      <c r="P822" s="2">
        <v>46217.387060185189</v>
      </c>
      <c r="Q822" s="2">
        <v>46222.325231481482</v>
      </c>
      <c r="R822" s="2">
        <v>46217.387060185189</v>
      </c>
      <c r="S822">
        <v>0</v>
      </c>
      <c r="T822" t="s">
        <v>2079</v>
      </c>
      <c r="U822" t="s">
        <v>2079</v>
      </c>
      <c r="W822" t="str">
        <f t="shared" si="136"/>
        <v>400441</v>
      </c>
      <c r="X822" t="s">
        <v>41</v>
      </c>
      <c r="AD822" s="2">
        <v>46222.325231481482</v>
      </c>
    </row>
    <row r="823" spans="1:30" x14ac:dyDescent="0.35">
      <c r="A823" t="s">
        <v>2182</v>
      </c>
      <c r="B823" t="s">
        <v>31</v>
      </c>
      <c r="C823" t="s">
        <v>2743</v>
      </c>
      <c r="D823" t="s">
        <v>33</v>
      </c>
      <c r="E823" t="str">
        <f>"400445"</f>
        <v>400445</v>
      </c>
      <c r="F823" t="s">
        <v>424</v>
      </c>
      <c r="G823">
        <v>4</v>
      </c>
      <c r="H823">
        <v>0</v>
      </c>
      <c r="I823" t="s">
        <v>2744</v>
      </c>
      <c r="J823" t="str">
        <f>"153000304"</f>
        <v>153000304</v>
      </c>
      <c r="K823" s="1">
        <v>47976</v>
      </c>
      <c r="M823" s="1">
        <v>46151</v>
      </c>
      <c r="N823" t="str">
        <f>"1329001935"</f>
        <v>1329001935</v>
      </c>
      <c r="O823">
        <v>4</v>
      </c>
      <c r="P823" s="2">
        <v>46217.562835648147</v>
      </c>
      <c r="Q823" s="2">
        <v>46222.344363425924</v>
      </c>
      <c r="R823" s="2">
        <v>46217.562835648147</v>
      </c>
      <c r="S823">
        <v>0</v>
      </c>
      <c r="T823" t="s">
        <v>2079</v>
      </c>
      <c r="U823" t="s">
        <v>2079</v>
      </c>
      <c r="W823" t="str">
        <f>"400445"</f>
        <v>400445</v>
      </c>
      <c r="X823" t="s">
        <v>41</v>
      </c>
      <c r="AD823" s="2">
        <v>46222.344363425924</v>
      </c>
    </row>
    <row r="824" spans="1:30" x14ac:dyDescent="0.35">
      <c r="A824" t="s">
        <v>2182</v>
      </c>
      <c r="B824" t="s">
        <v>31</v>
      </c>
      <c r="C824" t="s">
        <v>2745</v>
      </c>
      <c r="D824" t="s">
        <v>33</v>
      </c>
      <c r="E824" t="str">
        <f>"400445"</f>
        <v>400445</v>
      </c>
      <c r="F824" t="s">
        <v>424</v>
      </c>
      <c r="G824">
        <v>4</v>
      </c>
      <c r="H824">
        <v>0</v>
      </c>
      <c r="I824" t="s">
        <v>2746</v>
      </c>
      <c r="J824" t="str">
        <f>"153000304"</f>
        <v>153000304</v>
      </c>
      <c r="K824" s="1">
        <v>47976</v>
      </c>
      <c r="M824" s="1">
        <v>46151</v>
      </c>
      <c r="N824" t="str">
        <f>"1329001935"</f>
        <v>1329001935</v>
      </c>
      <c r="O824">
        <v>4</v>
      </c>
      <c r="P824" s="2">
        <v>46217.55976851852</v>
      </c>
      <c r="Q824" s="2">
        <v>46222.346226851849</v>
      </c>
      <c r="R824" s="2">
        <v>46217.55976851852</v>
      </c>
      <c r="S824">
        <v>0</v>
      </c>
      <c r="T824" t="s">
        <v>2079</v>
      </c>
      <c r="U824" t="s">
        <v>2079</v>
      </c>
      <c r="W824" t="str">
        <f>"400445"</f>
        <v>400445</v>
      </c>
      <c r="X824" t="s">
        <v>41</v>
      </c>
      <c r="AD824" s="2">
        <v>46222.346226851849</v>
      </c>
    </row>
    <row r="825" spans="1:30" x14ac:dyDescent="0.35">
      <c r="A825" t="s">
        <v>2182</v>
      </c>
      <c r="B825" t="s">
        <v>31</v>
      </c>
      <c r="C825" t="s">
        <v>2747</v>
      </c>
      <c r="D825" t="s">
        <v>33</v>
      </c>
      <c r="E825" t="str">
        <f t="shared" ref="E825:E848" si="137">"400432"</f>
        <v>400432</v>
      </c>
      <c r="F825" t="s">
        <v>889</v>
      </c>
      <c r="G825">
        <v>4</v>
      </c>
      <c r="H825">
        <v>0</v>
      </c>
      <c r="I825" t="s">
        <v>2748</v>
      </c>
      <c r="J825" t="str">
        <f>"153000371"</f>
        <v>153000371</v>
      </c>
      <c r="K825" s="1">
        <v>48007</v>
      </c>
      <c r="M825" s="1">
        <v>46182</v>
      </c>
      <c r="N825" t="str">
        <f t="shared" ref="N825:N848" si="138">"1329001961"</f>
        <v>1329001961</v>
      </c>
      <c r="O825">
        <v>4</v>
      </c>
      <c r="P825" s="2">
        <v>46222.411006944443</v>
      </c>
      <c r="Q825" s="2">
        <v>46222.593854166669</v>
      </c>
      <c r="R825" s="2">
        <v>46222.411006944443</v>
      </c>
      <c r="S825">
        <v>0</v>
      </c>
      <c r="T825" t="s">
        <v>2079</v>
      </c>
      <c r="U825" t="s">
        <v>2079</v>
      </c>
      <c r="W825" t="str">
        <f t="shared" ref="W825:W848" si="139">"400432"</f>
        <v>400432</v>
      </c>
      <c r="X825" t="s">
        <v>41</v>
      </c>
      <c r="AD825" s="2">
        <v>46222.593854166669</v>
      </c>
    </row>
    <row r="826" spans="1:30" x14ac:dyDescent="0.35">
      <c r="A826" t="s">
        <v>2182</v>
      </c>
      <c r="B826" t="s">
        <v>31</v>
      </c>
      <c r="C826" t="s">
        <v>2749</v>
      </c>
      <c r="D826" t="s">
        <v>33</v>
      </c>
      <c r="E826" t="str">
        <f t="shared" si="137"/>
        <v>400432</v>
      </c>
      <c r="F826" t="s">
        <v>889</v>
      </c>
      <c r="G826">
        <v>4</v>
      </c>
      <c r="H826">
        <v>0</v>
      </c>
      <c r="I826" t="s">
        <v>2748</v>
      </c>
      <c r="J826" t="str">
        <f>"153000371"</f>
        <v>153000371</v>
      </c>
      <c r="K826" s="1">
        <v>48007</v>
      </c>
      <c r="M826" s="1">
        <v>46182</v>
      </c>
      <c r="N826" t="str">
        <f t="shared" si="138"/>
        <v>1329001961</v>
      </c>
      <c r="O826">
        <v>4</v>
      </c>
      <c r="P826" s="2">
        <v>46222.410578703704</v>
      </c>
      <c r="Q826" s="2">
        <v>46222.596863425926</v>
      </c>
      <c r="R826" s="2">
        <v>46222.410578703704</v>
      </c>
      <c r="S826">
        <v>0</v>
      </c>
      <c r="T826" t="s">
        <v>2079</v>
      </c>
      <c r="U826" t="s">
        <v>2079</v>
      </c>
      <c r="W826" t="str">
        <f t="shared" si="139"/>
        <v>400432</v>
      </c>
      <c r="X826" t="s">
        <v>41</v>
      </c>
      <c r="AD826" s="2">
        <v>46222.596863425926</v>
      </c>
    </row>
    <row r="827" spans="1:30" x14ac:dyDescent="0.35">
      <c r="A827" t="s">
        <v>2182</v>
      </c>
      <c r="B827" t="s">
        <v>31</v>
      </c>
      <c r="C827" t="s">
        <v>2750</v>
      </c>
      <c r="D827" t="s">
        <v>33</v>
      </c>
      <c r="E827" t="str">
        <f t="shared" si="137"/>
        <v>400432</v>
      </c>
      <c r="F827" t="s">
        <v>889</v>
      </c>
      <c r="G827">
        <v>4</v>
      </c>
      <c r="H827">
        <v>0</v>
      </c>
      <c r="I827" t="s">
        <v>2748</v>
      </c>
      <c r="J827" t="str">
        <f>"153000421"</f>
        <v>153000421</v>
      </c>
      <c r="K827" s="1">
        <v>48026</v>
      </c>
      <c r="M827" s="1">
        <v>46201</v>
      </c>
      <c r="N827" t="str">
        <f t="shared" si="138"/>
        <v>1329001961</v>
      </c>
      <c r="O827">
        <v>4</v>
      </c>
      <c r="P827" s="2">
        <v>46222.409814814811</v>
      </c>
      <c r="Q827" s="2">
        <v>46222.599594907406</v>
      </c>
      <c r="R827" s="2">
        <v>46222.409814814811</v>
      </c>
      <c r="S827">
        <v>0</v>
      </c>
      <c r="T827" t="s">
        <v>2079</v>
      </c>
      <c r="U827" t="s">
        <v>2079</v>
      </c>
      <c r="W827" t="str">
        <f t="shared" si="139"/>
        <v>400432</v>
      </c>
      <c r="X827" t="s">
        <v>41</v>
      </c>
      <c r="AD827" s="2">
        <v>46222.599594907406</v>
      </c>
    </row>
    <row r="828" spans="1:30" x14ac:dyDescent="0.35">
      <c r="A828" t="s">
        <v>2182</v>
      </c>
      <c r="B828" t="s">
        <v>31</v>
      </c>
      <c r="C828" t="s">
        <v>2751</v>
      </c>
      <c r="D828" t="s">
        <v>33</v>
      </c>
      <c r="E828" t="str">
        <f t="shared" si="137"/>
        <v>400432</v>
      </c>
      <c r="F828" t="s">
        <v>889</v>
      </c>
      <c r="G828">
        <v>4</v>
      </c>
      <c r="H828">
        <v>0</v>
      </c>
      <c r="I828" t="s">
        <v>2748</v>
      </c>
      <c r="J828" t="str">
        <f>"153000371"</f>
        <v>153000371</v>
      </c>
      <c r="K828" s="1">
        <v>48007</v>
      </c>
      <c r="M828" s="1">
        <v>46182</v>
      </c>
      <c r="N828" t="str">
        <f t="shared" si="138"/>
        <v>1329001961</v>
      </c>
      <c r="O828">
        <v>4</v>
      </c>
      <c r="P828" s="2">
        <v>46222.409467592595</v>
      </c>
      <c r="Q828" s="2">
        <v>46222.605462962965</v>
      </c>
      <c r="R828" s="2">
        <v>46222.409467592595</v>
      </c>
      <c r="S828">
        <v>0</v>
      </c>
      <c r="T828" t="s">
        <v>2079</v>
      </c>
      <c r="U828" t="s">
        <v>2079</v>
      </c>
      <c r="W828" t="str">
        <f t="shared" si="139"/>
        <v>400432</v>
      </c>
      <c r="X828" t="s">
        <v>41</v>
      </c>
      <c r="AD828" s="2">
        <v>46222.605462962965</v>
      </c>
    </row>
    <row r="829" spans="1:30" x14ac:dyDescent="0.35">
      <c r="A829" t="s">
        <v>2182</v>
      </c>
      <c r="B829" t="s">
        <v>31</v>
      </c>
      <c r="C829" t="s">
        <v>2752</v>
      </c>
      <c r="D829" t="s">
        <v>33</v>
      </c>
      <c r="E829" t="str">
        <f t="shared" si="137"/>
        <v>400432</v>
      </c>
      <c r="F829" t="s">
        <v>889</v>
      </c>
      <c r="G829">
        <v>4</v>
      </c>
      <c r="H829">
        <v>0</v>
      </c>
      <c r="I829" t="s">
        <v>2753</v>
      </c>
      <c r="J829" t="str">
        <f>"153000421"</f>
        <v>153000421</v>
      </c>
      <c r="K829" s="1">
        <v>48026</v>
      </c>
      <c r="M829" s="1">
        <v>46201</v>
      </c>
      <c r="N829" t="str">
        <f t="shared" si="138"/>
        <v>1329001961</v>
      </c>
      <c r="O829">
        <v>4</v>
      </c>
      <c r="P829" s="2">
        <v>46222.40865740741</v>
      </c>
      <c r="Q829" s="2">
        <v>46222.640902777777</v>
      </c>
      <c r="R829" s="2">
        <v>46222.40865740741</v>
      </c>
      <c r="S829">
        <v>0</v>
      </c>
      <c r="T829" t="s">
        <v>2079</v>
      </c>
      <c r="U829" t="s">
        <v>2079</v>
      </c>
      <c r="W829" t="str">
        <f t="shared" si="139"/>
        <v>400432</v>
      </c>
      <c r="X829" t="s">
        <v>41</v>
      </c>
      <c r="AD829" s="2">
        <v>46222.640902777777</v>
      </c>
    </row>
    <row r="830" spans="1:30" x14ac:dyDescent="0.35">
      <c r="A830" t="s">
        <v>2182</v>
      </c>
      <c r="B830" t="s">
        <v>31</v>
      </c>
      <c r="C830" t="s">
        <v>2754</v>
      </c>
      <c r="D830" t="s">
        <v>33</v>
      </c>
      <c r="E830" t="str">
        <f t="shared" si="137"/>
        <v>400432</v>
      </c>
      <c r="F830" t="s">
        <v>889</v>
      </c>
      <c r="G830">
        <v>4</v>
      </c>
      <c r="H830">
        <v>0</v>
      </c>
      <c r="I830" t="s">
        <v>2753</v>
      </c>
      <c r="J830" t="str">
        <f>"153000371"</f>
        <v>153000371</v>
      </c>
      <c r="K830" s="1">
        <v>48007</v>
      </c>
      <c r="M830" s="1">
        <v>46182</v>
      </c>
      <c r="N830" t="str">
        <f t="shared" si="138"/>
        <v>1329001961</v>
      </c>
      <c r="O830">
        <v>4</v>
      </c>
      <c r="P830" s="2">
        <v>46222.408229166664</v>
      </c>
      <c r="Q830" s="2">
        <v>46222.64234953704</v>
      </c>
      <c r="R830" s="2">
        <v>46222.408229166664</v>
      </c>
      <c r="S830">
        <v>0</v>
      </c>
      <c r="T830" t="s">
        <v>2079</v>
      </c>
      <c r="U830" t="s">
        <v>2079</v>
      </c>
      <c r="W830" t="str">
        <f t="shared" si="139"/>
        <v>400432</v>
      </c>
      <c r="X830" t="s">
        <v>41</v>
      </c>
      <c r="AD830" s="2">
        <v>46222.64234953704</v>
      </c>
    </row>
    <row r="831" spans="1:30" x14ac:dyDescent="0.35">
      <c r="A831" t="s">
        <v>2182</v>
      </c>
      <c r="B831" t="s">
        <v>31</v>
      </c>
      <c r="C831" t="s">
        <v>2755</v>
      </c>
      <c r="D831" t="s">
        <v>33</v>
      </c>
      <c r="E831" t="str">
        <f t="shared" si="137"/>
        <v>400432</v>
      </c>
      <c r="F831" t="s">
        <v>889</v>
      </c>
      <c r="G831">
        <v>4</v>
      </c>
      <c r="H831">
        <v>0</v>
      </c>
      <c r="I831" t="s">
        <v>2753</v>
      </c>
      <c r="J831" t="str">
        <f>"153000371"</f>
        <v>153000371</v>
      </c>
      <c r="K831" s="1">
        <v>48007</v>
      </c>
      <c r="M831" s="1">
        <v>46182</v>
      </c>
      <c r="N831" t="str">
        <f t="shared" si="138"/>
        <v>1329001961</v>
      </c>
      <c r="O831">
        <v>4</v>
      </c>
      <c r="P831" s="2">
        <v>46222.407777777778</v>
      </c>
      <c r="Q831" s="2">
        <v>46222.643645833334</v>
      </c>
      <c r="R831" s="2">
        <v>46222.407777777778</v>
      </c>
      <c r="S831">
        <v>0</v>
      </c>
      <c r="T831" t="s">
        <v>2079</v>
      </c>
      <c r="U831" t="s">
        <v>2079</v>
      </c>
      <c r="W831" t="str">
        <f t="shared" si="139"/>
        <v>400432</v>
      </c>
      <c r="X831" t="s">
        <v>41</v>
      </c>
      <c r="AD831" s="2">
        <v>46222.643645833334</v>
      </c>
    </row>
    <row r="832" spans="1:30" x14ac:dyDescent="0.35">
      <c r="A832" t="s">
        <v>2182</v>
      </c>
      <c r="B832" t="s">
        <v>31</v>
      </c>
      <c r="C832" t="s">
        <v>2756</v>
      </c>
      <c r="D832" t="s">
        <v>33</v>
      </c>
      <c r="E832" t="str">
        <f t="shared" si="137"/>
        <v>400432</v>
      </c>
      <c r="F832" t="s">
        <v>889</v>
      </c>
      <c r="G832">
        <v>4</v>
      </c>
      <c r="H832">
        <v>0</v>
      </c>
      <c r="I832" t="s">
        <v>2753</v>
      </c>
      <c r="J832" t="str">
        <f>"153000421"</f>
        <v>153000421</v>
      </c>
      <c r="K832" s="1">
        <v>48026</v>
      </c>
      <c r="M832" s="1">
        <v>46201</v>
      </c>
      <c r="N832" t="str">
        <f t="shared" si="138"/>
        <v>1329001961</v>
      </c>
      <c r="O832">
        <v>4</v>
      </c>
      <c r="P832" s="2">
        <v>46222.40724537037</v>
      </c>
      <c r="Q832" s="2">
        <v>46222.646157407406</v>
      </c>
      <c r="R832" s="2">
        <v>46222.40724537037</v>
      </c>
      <c r="S832">
        <v>0</v>
      </c>
      <c r="T832" t="s">
        <v>2079</v>
      </c>
      <c r="U832" t="s">
        <v>2079</v>
      </c>
      <c r="W832" t="str">
        <f t="shared" si="139"/>
        <v>400432</v>
      </c>
      <c r="X832" t="s">
        <v>41</v>
      </c>
      <c r="AD832" s="2">
        <v>46222.646157407406</v>
      </c>
    </row>
    <row r="833" spans="1:30" x14ac:dyDescent="0.35">
      <c r="A833" t="s">
        <v>2182</v>
      </c>
      <c r="B833" t="s">
        <v>31</v>
      </c>
      <c r="C833" t="s">
        <v>2757</v>
      </c>
      <c r="D833" t="s">
        <v>33</v>
      </c>
      <c r="E833" t="str">
        <f t="shared" si="137"/>
        <v>400432</v>
      </c>
      <c r="F833" t="s">
        <v>889</v>
      </c>
      <c r="G833">
        <v>4</v>
      </c>
      <c r="H833">
        <v>0</v>
      </c>
      <c r="I833" t="s">
        <v>2758</v>
      </c>
      <c r="J833" t="str">
        <f>"153000371"</f>
        <v>153000371</v>
      </c>
      <c r="K833" s="1">
        <v>48007</v>
      </c>
      <c r="M833" s="1">
        <v>46182</v>
      </c>
      <c r="N833" t="str">
        <f t="shared" si="138"/>
        <v>1329001961</v>
      </c>
      <c r="O833">
        <v>4</v>
      </c>
      <c r="P833" s="2">
        <v>46222.406736111108</v>
      </c>
      <c r="Q833" s="2">
        <v>46222.647083333337</v>
      </c>
      <c r="R833" s="2">
        <v>46222.406736111108</v>
      </c>
      <c r="S833">
        <v>0</v>
      </c>
      <c r="T833" t="s">
        <v>2079</v>
      </c>
      <c r="U833" t="s">
        <v>2079</v>
      </c>
      <c r="W833" t="str">
        <f t="shared" si="139"/>
        <v>400432</v>
      </c>
      <c r="X833" t="s">
        <v>41</v>
      </c>
      <c r="AD833" s="2">
        <v>46222.647083333337</v>
      </c>
    </row>
    <row r="834" spans="1:30" x14ac:dyDescent="0.35">
      <c r="A834" t="s">
        <v>2182</v>
      </c>
      <c r="B834" t="s">
        <v>31</v>
      </c>
      <c r="C834" t="s">
        <v>2759</v>
      </c>
      <c r="D834" t="s">
        <v>33</v>
      </c>
      <c r="E834" t="str">
        <f t="shared" si="137"/>
        <v>400432</v>
      </c>
      <c r="F834" t="s">
        <v>889</v>
      </c>
      <c r="G834">
        <v>4</v>
      </c>
      <c r="H834">
        <v>0</v>
      </c>
      <c r="I834" t="s">
        <v>2758</v>
      </c>
      <c r="J834" t="str">
        <f>"153000421"</f>
        <v>153000421</v>
      </c>
      <c r="K834" s="1">
        <v>48026</v>
      </c>
      <c r="M834" s="1">
        <v>46201</v>
      </c>
      <c r="N834" t="str">
        <f t="shared" si="138"/>
        <v>1329001961</v>
      </c>
      <c r="O834">
        <v>4</v>
      </c>
      <c r="P834" s="2">
        <v>46222.406400462962</v>
      </c>
      <c r="Q834" s="2">
        <v>46222.649131944447</v>
      </c>
      <c r="R834" s="2">
        <v>46222.406400462962</v>
      </c>
      <c r="S834">
        <v>0</v>
      </c>
      <c r="T834" t="s">
        <v>2079</v>
      </c>
      <c r="U834" t="s">
        <v>2079</v>
      </c>
      <c r="W834" t="str">
        <f t="shared" si="139"/>
        <v>400432</v>
      </c>
      <c r="X834" t="s">
        <v>41</v>
      </c>
      <c r="AD834" s="2">
        <v>46222.649131944447</v>
      </c>
    </row>
    <row r="835" spans="1:30" x14ac:dyDescent="0.35">
      <c r="A835" t="s">
        <v>2182</v>
      </c>
      <c r="B835" t="s">
        <v>31</v>
      </c>
      <c r="C835" t="s">
        <v>2760</v>
      </c>
      <c r="D835" t="s">
        <v>33</v>
      </c>
      <c r="E835" t="str">
        <f t="shared" si="137"/>
        <v>400432</v>
      </c>
      <c r="F835" t="s">
        <v>889</v>
      </c>
      <c r="G835">
        <v>4</v>
      </c>
      <c r="H835">
        <v>0</v>
      </c>
      <c r="I835" t="s">
        <v>2758</v>
      </c>
      <c r="J835" t="str">
        <f>"153000421"</f>
        <v>153000421</v>
      </c>
      <c r="K835" s="1">
        <v>48026</v>
      </c>
      <c r="M835" s="1">
        <v>46201</v>
      </c>
      <c r="N835" t="str">
        <f t="shared" si="138"/>
        <v>1329001961</v>
      </c>
      <c r="O835">
        <v>4</v>
      </c>
      <c r="P835" s="2">
        <v>46222.405972222223</v>
      </c>
      <c r="Q835" s="2">
        <v>46222.650937500002</v>
      </c>
      <c r="R835" s="2">
        <v>46222.405972222223</v>
      </c>
      <c r="S835">
        <v>0</v>
      </c>
      <c r="T835" t="s">
        <v>2079</v>
      </c>
      <c r="U835" t="s">
        <v>2079</v>
      </c>
      <c r="W835" t="str">
        <f t="shared" si="139"/>
        <v>400432</v>
      </c>
      <c r="X835" t="s">
        <v>41</v>
      </c>
      <c r="AD835" s="2">
        <v>46222.650937500002</v>
      </c>
    </row>
    <row r="836" spans="1:30" x14ac:dyDescent="0.35">
      <c r="A836" t="s">
        <v>2182</v>
      </c>
      <c r="B836" t="s">
        <v>31</v>
      </c>
      <c r="C836" t="s">
        <v>2761</v>
      </c>
      <c r="D836" t="s">
        <v>33</v>
      </c>
      <c r="E836" t="str">
        <f t="shared" si="137"/>
        <v>400432</v>
      </c>
      <c r="F836" t="s">
        <v>889</v>
      </c>
      <c r="G836">
        <v>4</v>
      </c>
      <c r="H836">
        <v>0</v>
      </c>
      <c r="I836" t="s">
        <v>2758</v>
      </c>
      <c r="J836" t="str">
        <f>"153000371"</f>
        <v>153000371</v>
      </c>
      <c r="K836" s="1">
        <v>48007</v>
      </c>
      <c r="M836" s="1">
        <v>46182</v>
      </c>
      <c r="N836" t="str">
        <f t="shared" si="138"/>
        <v>1329001961</v>
      </c>
      <c r="O836">
        <v>4</v>
      </c>
      <c r="P836" s="2">
        <v>46222.405555555553</v>
      </c>
      <c r="Q836" s="2">
        <v>46222.653749999998</v>
      </c>
      <c r="R836" s="2">
        <v>46222.405555555553</v>
      </c>
      <c r="S836">
        <v>0</v>
      </c>
      <c r="T836" t="s">
        <v>2079</v>
      </c>
      <c r="U836" t="s">
        <v>2079</v>
      </c>
      <c r="W836" t="str">
        <f t="shared" si="139"/>
        <v>400432</v>
      </c>
      <c r="X836" t="s">
        <v>41</v>
      </c>
      <c r="AD836" s="2">
        <v>46222.653749999998</v>
      </c>
    </row>
    <row r="837" spans="1:30" x14ac:dyDescent="0.35">
      <c r="A837" t="s">
        <v>2182</v>
      </c>
      <c r="B837" t="s">
        <v>31</v>
      </c>
      <c r="C837" t="s">
        <v>2762</v>
      </c>
      <c r="D837" t="s">
        <v>33</v>
      </c>
      <c r="E837" t="str">
        <f t="shared" si="137"/>
        <v>400432</v>
      </c>
      <c r="F837" t="s">
        <v>889</v>
      </c>
      <c r="G837">
        <v>4</v>
      </c>
      <c r="H837">
        <v>0</v>
      </c>
      <c r="I837" t="s">
        <v>2763</v>
      </c>
      <c r="J837" t="str">
        <f>"153000421"</f>
        <v>153000421</v>
      </c>
      <c r="K837" s="1">
        <v>48026</v>
      </c>
      <c r="M837" s="1">
        <v>46201</v>
      </c>
      <c r="N837" t="str">
        <f t="shared" si="138"/>
        <v>1329001961</v>
      </c>
      <c r="O837">
        <v>4</v>
      </c>
      <c r="P837" s="2">
        <v>46222.405069444445</v>
      </c>
      <c r="Q837" s="2">
        <v>46222.655891203707</v>
      </c>
      <c r="R837" s="2">
        <v>46222.405069444445</v>
      </c>
      <c r="S837">
        <v>0</v>
      </c>
      <c r="T837" t="s">
        <v>2079</v>
      </c>
      <c r="U837" t="s">
        <v>2079</v>
      </c>
      <c r="W837" t="str">
        <f t="shared" si="139"/>
        <v>400432</v>
      </c>
      <c r="X837" t="s">
        <v>41</v>
      </c>
      <c r="AD837" s="2">
        <v>46222.655891203707</v>
      </c>
    </row>
    <row r="838" spans="1:30" x14ac:dyDescent="0.35">
      <c r="A838" t="s">
        <v>2182</v>
      </c>
      <c r="B838" t="s">
        <v>31</v>
      </c>
      <c r="C838" t="s">
        <v>2764</v>
      </c>
      <c r="D838" t="s">
        <v>33</v>
      </c>
      <c r="E838" t="str">
        <f t="shared" si="137"/>
        <v>400432</v>
      </c>
      <c r="F838" t="s">
        <v>889</v>
      </c>
      <c r="G838">
        <v>4</v>
      </c>
      <c r="H838">
        <v>0</v>
      </c>
      <c r="I838" t="s">
        <v>2763</v>
      </c>
      <c r="J838" t="str">
        <f>"153000371"</f>
        <v>153000371</v>
      </c>
      <c r="K838" s="1">
        <v>48007</v>
      </c>
      <c r="M838" s="1">
        <v>46182</v>
      </c>
      <c r="N838" t="str">
        <f t="shared" si="138"/>
        <v>1329001961</v>
      </c>
      <c r="O838">
        <v>4</v>
      </c>
      <c r="P838" s="2">
        <v>46222.404502314814</v>
      </c>
      <c r="Q838" s="2">
        <v>46222.65730324074</v>
      </c>
      <c r="R838" s="2">
        <v>46222.404502314814</v>
      </c>
      <c r="S838">
        <v>0</v>
      </c>
      <c r="T838" t="s">
        <v>2079</v>
      </c>
      <c r="U838" t="s">
        <v>2079</v>
      </c>
      <c r="W838" t="str">
        <f t="shared" si="139"/>
        <v>400432</v>
      </c>
      <c r="X838" t="s">
        <v>41</v>
      </c>
      <c r="AD838" s="2">
        <v>46222.65730324074</v>
      </c>
    </row>
    <row r="839" spans="1:30" x14ac:dyDescent="0.35">
      <c r="A839" t="s">
        <v>2182</v>
      </c>
      <c r="B839" t="s">
        <v>31</v>
      </c>
      <c r="C839" t="s">
        <v>2765</v>
      </c>
      <c r="D839" t="s">
        <v>33</v>
      </c>
      <c r="E839" t="str">
        <f t="shared" si="137"/>
        <v>400432</v>
      </c>
      <c r="F839" t="s">
        <v>889</v>
      </c>
      <c r="G839">
        <v>4</v>
      </c>
      <c r="H839">
        <v>0</v>
      </c>
      <c r="I839" t="s">
        <v>2763</v>
      </c>
      <c r="J839" t="str">
        <f>"153000421"</f>
        <v>153000421</v>
      </c>
      <c r="K839" s="1">
        <v>48026</v>
      </c>
      <c r="M839" s="1">
        <v>46201</v>
      </c>
      <c r="N839" t="str">
        <f t="shared" si="138"/>
        <v>1329001961</v>
      </c>
      <c r="O839">
        <v>4</v>
      </c>
      <c r="P839" s="2">
        <v>46222.403912037036</v>
      </c>
      <c r="Q839" s="2">
        <v>46222.659108796295</v>
      </c>
      <c r="R839" s="2">
        <v>46222.403912037036</v>
      </c>
      <c r="S839">
        <v>0</v>
      </c>
      <c r="T839" t="s">
        <v>2079</v>
      </c>
      <c r="U839" t="s">
        <v>2079</v>
      </c>
      <c r="W839" t="str">
        <f t="shared" si="139"/>
        <v>400432</v>
      </c>
      <c r="X839" t="s">
        <v>41</v>
      </c>
      <c r="AD839" s="2">
        <v>46222.659108796295</v>
      </c>
    </row>
    <row r="840" spans="1:30" x14ac:dyDescent="0.35">
      <c r="A840" t="s">
        <v>2182</v>
      </c>
      <c r="B840" t="s">
        <v>31</v>
      </c>
      <c r="C840" t="s">
        <v>2766</v>
      </c>
      <c r="D840" t="s">
        <v>33</v>
      </c>
      <c r="E840" t="str">
        <f t="shared" si="137"/>
        <v>400432</v>
      </c>
      <c r="F840" t="s">
        <v>889</v>
      </c>
      <c r="G840">
        <v>4</v>
      </c>
      <c r="H840">
        <v>0</v>
      </c>
      <c r="I840" t="s">
        <v>2763</v>
      </c>
      <c r="J840" t="str">
        <f>"153000371"</f>
        <v>153000371</v>
      </c>
      <c r="K840" s="1">
        <v>48007</v>
      </c>
      <c r="M840" s="1">
        <v>46182</v>
      </c>
      <c r="N840" t="str">
        <f t="shared" si="138"/>
        <v>1329001961</v>
      </c>
      <c r="O840">
        <v>4</v>
      </c>
      <c r="P840" s="2">
        <v>46222.403402777774</v>
      </c>
      <c r="Q840" s="2">
        <v>46223.314606481479</v>
      </c>
      <c r="R840" s="2">
        <v>46222.403402777774</v>
      </c>
      <c r="S840">
        <v>0</v>
      </c>
      <c r="T840" t="s">
        <v>2079</v>
      </c>
      <c r="U840" t="s">
        <v>2079</v>
      </c>
      <c r="W840" t="str">
        <f t="shared" si="139"/>
        <v>400432</v>
      </c>
      <c r="X840" t="s">
        <v>41</v>
      </c>
      <c r="AD840" s="2">
        <v>46223.314606481479</v>
      </c>
    </row>
    <row r="841" spans="1:30" x14ac:dyDescent="0.35">
      <c r="A841" t="s">
        <v>2182</v>
      </c>
      <c r="B841" t="s">
        <v>31</v>
      </c>
      <c r="C841" t="s">
        <v>2767</v>
      </c>
      <c r="D841" t="s">
        <v>33</v>
      </c>
      <c r="E841" t="str">
        <f t="shared" si="137"/>
        <v>400432</v>
      </c>
      <c r="F841" t="s">
        <v>889</v>
      </c>
      <c r="G841">
        <v>4</v>
      </c>
      <c r="H841">
        <v>0</v>
      </c>
      <c r="I841" t="s">
        <v>2768</v>
      </c>
      <c r="J841" t="str">
        <f>"153000421"</f>
        <v>153000421</v>
      </c>
      <c r="K841" s="1">
        <v>48026</v>
      </c>
      <c r="M841" s="1">
        <v>46201</v>
      </c>
      <c r="N841" t="str">
        <f t="shared" si="138"/>
        <v>1329001961</v>
      </c>
      <c r="O841">
        <v>4</v>
      </c>
      <c r="P841" s="2">
        <v>46222.402824074074</v>
      </c>
      <c r="Q841" s="2">
        <v>46223.318831018521</v>
      </c>
      <c r="R841" s="2">
        <v>46222.402824074074</v>
      </c>
      <c r="S841">
        <v>0</v>
      </c>
      <c r="T841" t="s">
        <v>2079</v>
      </c>
      <c r="U841" t="s">
        <v>2079</v>
      </c>
      <c r="W841" t="str">
        <f t="shared" si="139"/>
        <v>400432</v>
      </c>
      <c r="X841" t="s">
        <v>41</v>
      </c>
      <c r="AD841" s="2">
        <v>46223.318831018521</v>
      </c>
    </row>
    <row r="842" spans="1:30" x14ac:dyDescent="0.35">
      <c r="A842" t="s">
        <v>2182</v>
      </c>
      <c r="B842" t="s">
        <v>31</v>
      </c>
      <c r="C842" t="s">
        <v>2769</v>
      </c>
      <c r="D842" t="s">
        <v>33</v>
      </c>
      <c r="E842" t="str">
        <f t="shared" si="137"/>
        <v>400432</v>
      </c>
      <c r="F842" t="s">
        <v>889</v>
      </c>
      <c r="G842">
        <v>4</v>
      </c>
      <c r="H842">
        <v>0</v>
      </c>
      <c r="I842" t="s">
        <v>2768</v>
      </c>
      <c r="J842" t="str">
        <f>"153000371"</f>
        <v>153000371</v>
      </c>
      <c r="K842" s="1">
        <v>48007</v>
      </c>
      <c r="M842" s="1">
        <v>46182</v>
      </c>
      <c r="N842" t="str">
        <f t="shared" si="138"/>
        <v>1329001961</v>
      </c>
      <c r="O842">
        <v>4</v>
      </c>
      <c r="P842" s="2">
        <v>46222.402407407404</v>
      </c>
      <c r="Q842" s="2">
        <v>46223.321215277778</v>
      </c>
      <c r="R842" s="2">
        <v>46222.402407407404</v>
      </c>
      <c r="S842">
        <v>0</v>
      </c>
      <c r="T842" t="s">
        <v>2079</v>
      </c>
      <c r="U842" t="s">
        <v>2079</v>
      </c>
      <c r="W842" t="str">
        <f t="shared" si="139"/>
        <v>400432</v>
      </c>
      <c r="X842" t="s">
        <v>41</v>
      </c>
      <c r="AD842" s="2">
        <v>46223.321215277778</v>
      </c>
    </row>
    <row r="843" spans="1:30" x14ac:dyDescent="0.35">
      <c r="A843" t="s">
        <v>2182</v>
      </c>
      <c r="B843" t="s">
        <v>31</v>
      </c>
      <c r="C843" t="s">
        <v>2770</v>
      </c>
      <c r="D843" t="s">
        <v>33</v>
      </c>
      <c r="E843" t="str">
        <f t="shared" si="137"/>
        <v>400432</v>
      </c>
      <c r="F843" t="s">
        <v>889</v>
      </c>
      <c r="G843">
        <v>4</v>
      </c>
      <c r="H843">
        <v>0</v>
      </c>
      <c r="I843" t="s">
        <v>2768</v>
      </c>
      <c r="J843" t="str">
        <f>"153000421"</f>
        <v>153000421</v>
      </c>
      <c r="K843" s="1">
        <v>48026</v>
      </c>
      <c r="M843" s="1">
        <v>46201</v>
      </c>
      <c r="N843" t="str">
        <f t="shared" si="138"/>
        <v>1329001961</v>
      </c>
      <c r="O843">
        <v>4</v>
      </c>
      <c r="P843" s="2">
        <v>46222.40152777778</v>
      </c>
      <c r="Q843" s="2">
        <v>46223.327002314814</v>
      </c>
      <c r="R843" s="2">
        <v>46222.40152777778</v>
      </c>
      <c r="S843">
        <v>0</v>
      </c>
      <c r="T843" t="s">
        <v>2079</v>
      </c>
      <c r="U843" t="s">
        <v>2079</v>
      </c>
      <c r="W843" t="str">
        <f t="shared" si="139"/>
        <v>400432</v>
      </c>
      <c r="X843" t="s">
        <v>41</v>
      </c>
      <c r="AD843" s="2">
        <v>46223.327002314814</v>
      </c>
    </row>
    <row r="844" spans="1:30" x14ac:dyDescent="0.35">
      <c r="A844" t="s">
        <v>2182</v>
      </c>
      <c r="B844" t="s">
        <v>31</v>
      </c>
      <c r="C844" t="s">
        <v>2771</v>
      </c>
      <c r="D844" t="s">
        <v>33</v>
      </c>
      <c r="E844" t="str">
        <f t="shared" si="137"/>
        <v>400432</v>
      </c>
      <c r="F844" t="s">
        <v>889</v>
      </c>
      <c r="G844">
        <v>4</v>
      </c>
      <c r="H844">
        <v>0</v>
      </c>
      <c r="I844" t="s">
        <v>2768</v>
      </c>
      <c r="J844" t="str">
        <f>"153000371"</f>
        <v>153000371</v>
      </c>
      <c r="K844" s="1">
        <v>48007</v>
      </c>
      <c r="M844" s="1">
        <v>46182</v>
      </c>
      <c r="N844" t="str">
        <f t="shared" si="138"/>
        <v>1329001961</v>
      </c>
      <c r="O844">
        <v>4</v>
      </c>
      <c r="P844" s="2">
        <v>46222.40079861111</v>
      </c>
      <c r="Q844" s="2">
        <v>46223.331863425927</v>
      </c>
      <c r="R844" s="2">
        <v>46222.40079861111</v>
      </c>
      <c r="S844">
        <v>0</v>
      </c>
      <c r="T844" t="s">
        <v>2079</v>
      </c>
      <c r="U844" t="s">
        <v>2079</v>
      </c>
      <c r="W844" t="str">
        <f t="shared" si="139"/>
        <v>400432</v>
      </c>
      <c r="X844" t="s">
        <v>41</v>
      </c>
      <c r="AD844" s="2">
        <v>46223.331863425927</v>
      </c>
    </row>
    <row r="845" spans="1:30" x14ac:dyDescent="0.35">
      <c r="A845" t="s">
        <v>2182</v>
      </c>
      <c r="B845" t="s">
        <v>31</v>
      </c>
      <c r="C845" t="s">
        <v>2772</v>
      </c>
      <c r="D845" t="s">
        <v>33</v>
      </c>
      <c r="E845" t="str">
        <f t="shared" si="137"/>
        <v>400432</v>
      </c>
      <c r="F845" t="s">
        <v>889</v>
      </c>
      <c r="G845">
        <v>4</v>
      </c>
      <c r="H845">
        <v>0</v>
      </c>
      <c r="I845" t="s">
        <v>2773</v>
      </c>
      <c r="J845" t="str">
        <f>"153000371"</f>
        <v>153000371</v>
      </c>
      <c r="K845" s="1">
        <v>48007</v>
      </c>
      <c r="M845" s="1">
        <v>46182</v>
      </c>
      <c r="N845" t="str">
        <f t="shared" si="138"/>
        <v>1329001961</v>
      </c>
      <c r="O845">
        <v>4</v>
      </c>
      <c r="P845" s="2">
        <v>46222.400150462963</v>
      </c>
      <c r="Q845" s="2">
        <v>46223.334027777775</v>
      </c>
      <c r="R845" s="2">
        <v>46222.400150462963</v>
      </c>
      <c r="S845">
        <v>0</v>
      </c>
      <c r="T845" t="s">
        <v>2079</v>
      </c>
      <c r="U845" t="s">
        <v>2079</v>
      </c>
      <c r="W845" t="str">
        <f t="shared" si="139"/>
        <v>400432</v>
      </c>
      <c r="X845" t="s">
        <v>41</v>
      </c>
      <c r="AD845" s="2">
        <v>46223.334027777775</v>
      </c>
    </row>
    <row r="846" spans="1:30" x14ac:dyDescent="0.35">
      <c r="A846" t="s">
        <v>2182</v>
      </c>
      <c r="B846" t="s">
        <v>31</v>
      </c>
      <c r="C846" t="s">
        <v>2774</v>
      </c>
      <c r="D846" t="s">
        <v>33</v>
      </c>
      <c r="E846" t="str">
        <f t="shared" si="137"/>
        <v>400432</v>
      </c>
      <c r="F846" t="s">
        <v>889</v>
      </c>
      <c r="G846">
        <v>4</v>
      </c>
      <c r="H846">
        <v>0</v>
      </c>
      <c r="I846" t="s">
        <v>2773</v>
      </c>
      <c r="J846" t="str">
        <f>"153000371"</f>
        <v>153000371</v>
      </c>
      <c r="K846" s="1">
        <v>48007</v>
      </c>
      <c r="M846" s="1">
        <v>46182</v>
      </c>
      <c r="N846" t="str">
        <f t="shared" si="138"/>
        <v>1329001961</v>
      </c>
      <c r="O846">
        <v>4</v>
      </c>
      <c r="P846" s="2">
        <v>46222.399675925924</v>
      </c>
      <c r="Q846" s="2">
        <v>46223.339398148149</v>
      </c>
      <c r="R846" s="2">
        <v>46222.399675925924</v>
      </c>
      <c r="S846">
        <v>0</v>
      </c>
      <c r="T846" t="s">
        <v>2079</v>
      </c>
      <c r="U846" t="s">
        <v>2079</v>
      </c>
      <c r="W846" t="str">
        <f t="shared" si="139"/>
        <v>400432</v>
      </c>
      <c r="X846" t="s">
        <v>41</v>
      </c>
      <c r="AD846" s="2">
        <v>46223.339398148149</v>
      </c>
    </row>
    <row r="847" spans="1:30" x14ac:dyDescent="0.35">
      <c r="A847" t="s">
        <v>2182</v>
      </c>
      <c r="B847" t="s">
        <v>31</v>
      </c>
      <c r="C847" t="s">
        <v>2775</v>
      </c>
      <c r="D847" t="s">
        <v>33</v>
      </c>
      <c r="E847" t="str">
        <f t="shared" si="137"/>
        <v>400432</v>
      </c>
      <c r="F847" t="s">
        <v>889</v>
      </c>
      <c r="G847">
        <v>4</v>
      </c>
      <c r="H847">
        <v>0</v>
      </c>
      <c r="I847" t="s">
        <v>2773</v>
      </c>
      <c r="J847" t="str">
        <f>"153000371"</f>
        <v>153000371</v>
      </c>
      <c r="K847" s="1">
        <v>48007</v>
      </c>
      <c r="M847" s="1">
        <v>46182</v>
      </c>
      <c r="N847" t="str">
        <f t="shared" si="138"/>
        <v>1329001961</v>
      </c>
      <c r="O847">
        <v>4</v>
      </c>
      <c r="P847" s="2">
        <v>46222.399247685185</v>
      </c>
      <c r="Q847" s="2">
        <v>46223.343784722223</v>
      </c>
      <c r="R847" s="2">
        <v>46222.399247685185</v>
      </c>
      <c r="S847">
        <v>0</v>
      </c>
      <c r="T847" t="s">
        <v>2079</v>
      </c>
      <c r="U847" t="s">
        <v>2079</v>
      </c>
      <c r="W847" t="str">
        <f t="shared" si="139"/>
        <v>400432</v>
      </c>
      <c r="X847" t="s">
        <v>41</v>
      </c>
      <c r="AD847" s="2">
        <v>46223.343784722223</v>
      </c>
    </row>
    <row r="848" spans="1:30" x14ac:dyDescent="0.35">
      <c r="A848" t="s">
        <v>2182</v>
      </c>
      <c r="B848" t="s">
        <v>31</v>
      </c>
      <c r="C848" t="s">
        <v>2776</v>
      </c>
      <c r="D848" t="s">
        <v>33</v>
      </c>
      <c r="E848" t="str">
        <f t="shared" si="137"/>
        <v>400432</v>
      </c>
      <c r="F848" t="s">
        <v>889</v>
      </c>
      <c r="G848">
        <v>4</v>
      </c>
      <c r="H848">
        <v>0</v>
      </c>
      <c r="I848" t="s">
        <v>2773</v>
      </c>
      <c r="J848" t="str">
        <f>"153000371"</f>
        <v>153000371</v>
      </c>
      <c r="K848" s="1">
        <v>48007</v>
      </c>
      <c r="M848" s="1">
        <v>46182</v>
      </c>
      <c r="N848" t="str">
        <f t="shared" si="138"/>
        <v>1329001961</v>
      </c>
      <c r="O848">
        <v>4</v>
      </c>
      <c r="P848" s="2">
        <v>46222.398877314816</v>
      </c>
      <c r="Q848" s="2">
        <v>46223.347488425927</v>
      </c>
      <c r="R848" s="2">
        <v>46222.398877314816</v>
      </c>
      <c r="S848">
        <v>0</v>
      </c>
      <c r="T848" t="s">
        <v>2079</v>
      </c>
      <c r="U848" t="s">
        <v>2079</v>
      </c>
      <c r="W848" t="str">
        <f t="shared" si="139"/>
        <v>400432</v>
      </c>
      <c r="X848" t="s">
        <v>41</v>
      </c>
      <c r="AD848" s="2">
        <v>46223.347488425927</v>
      </c>
    </row>
    <row r="849" spans="1:30" x14ac:dyDescent="0.35">
      <c r="A849" t="s">
        <v>2182</v>
      </c>
      <c r="B849" t="s">
        <v>31</v>
      </c>
      <c r="C849" t="s">
        <v>2777</v>
      </c>
      <c r="D849" t="s">
        <v>33</v>
      </c>
      <c r="E849" t="str">
        <f>"400904"</f>
        <v>400904</v>
      </c>
      <c r="F849" t="s">
        <v>167</v>
      </c>
      <c r="G849">
        <v>4</v>
      </c>
      <c r="H849">
        <v>0</v>
      </c>
      <c r="I849" t="s">
        <v>2555</v>
      </c>
      <c r="J849" t="str">
        <f>"400004602"</f>
        <v>400004602</v>
      </c>
      <c r="K849" s="1">
        <v>48033</v>
      </c>
      <c r="M849" s="1">
        <v>46208</v>
      </c>
      <c r="N849" t="str">
        <f>"1329001960"</f>
        <v>1329001960</v>
      </c>
      <c r="O849">
        <v>4</v>
      </c>
      <c r="P849" s="2">
        <v>46222.440810185188</v>
      </c>
      <c r="Q849" s="2">
        <v>46223.361724537041</v>
      </c>
      <c r="R849" s="2">
        <v>46222.440810185188</v>
      </c>
      <c r="S849">
        <v>0</v>
      </c>
      <c r="T849" t="s">
        <v>2079</v>
      </c>
      <c r="U849" t="s">
        <v>2079</v>
      </c>
      <c r="W849" t="str">
        <f>"400904"</f>
        <v>400904</v>
      </c>
      <c r="X849" t="s">
        <v>41</v>
      </c>
      <c r="AD849" s="2">
        <v>46223.361724537041</v>
      </c>
    </row>
    <row r="850" spans="1:30" x14ac:dyDescent="0.35">
      <c r="A850" t="s">
        <v>2182</v>
      </c>
      <c r="B850" t="s">
        <v>31</v>
      </c>
      <c r="C850" t="s">
        <v>2778</v>
      </c>
      <c r="D850" t="s">
        <v>33</v>
      </c>
      <c r="E850" t="str">
        <f>"400904"</f>
        <v>400904</v>
      </c>
      <c r="F850" t="s">
        <v>167</v>
      </c>
      <c r="G850">
        <v>4</v>
      </c>
      <c r="H850">
        <v>0</v>
      </c>
      <c r="I850" t="s">
        <v>2555</v>
      </c>
      <c r="J850" t="str">
        <f>"400004602"</f>
        <v>400004602</v>
      </c>
      <c r="K850" s="1">
        <v>48033</v>
      </c>
      <c r="M850" s="1">
        <v>46208</v>
      </c>
      <c r="N850" t="str">
        <f>"1329001960"</f>
        <v>1329001960</v>
      </c>
      <c r="O850">
        <v>4</v>
      </c>
      <c r="P850" s="2">
        <v>46222.441284722219</v>
      </c>
      <c r="Q850" s="2">
        <v>46223.361817129633</v>
      </c>
      <c r="R850" s="2">
        <v>46222.441284722219</v>
      </c>
      <c r="S850">
        <v>0</v>
      </c>
      <c r="T850" t="s">
        <v>2079</v>
      </c>
      <c r="U850" t="s">
        <v>2079</v>
      </c>
      <c r="W850" t="str">
        <f>"400904"</f>
        <v>400904</v>
      </c>
      <c r="X850" t="s">
        <v>41</v>
      </c>
      <c r="AD850" s="2">
        <v>46223.361817129633</v>
      </c>
    </row>
    <row r="851" spans="1:30" x14ac:dyDescent="0.35">
      <c r="A851" t="s">
        <v>2182</v>
      </c>
      <c r="B851" t="s">
        <v>31</v>
      </c>
      <c r="C851" t="s">
        <v>2779</v>
      </c>
      <c r="D851" t="s">
        <v>33</v>
      </c>
      <c r="E851" t="str">
        <f>"400904"</f>
        <v>400904</v>
      </c>
      <c r="F851" t="s">
        <v>167</v>
      </c>
      <c r="G851">
        <v>4</v>
      </c>
      <c r="H851">
        <v>0</v>
      </c>
      <c r="I851" t="s">
        <v>2555</v>
      </c>
      <c r="J851" t="str">
        <f>"400004602"</f>
        <v>400004602</v>
      </c>
      <c r="K851" s="1">
        <v>48033</v>
      </c>
      <c r="M851" s="1">
        <v>46208</v>
      </c>
      <c r="N851" t="str">
        <f>"1329001960"</f>
        <v>1329001960</v>
      </c>
      <c r="O851">
        <v>4</v>
      </c>
      <c r="P851" s="2">
        <v>46222.441712962966</v>
      </c>
      <c r="Q851" s="2">
        <v>46223.365127314813</v>
      </c>
      <c r="R851" s="2">
        <v>46222.441712962966</v>
      </c>
      <c r="S851">
        <v>0</v>
      </c>
      <c r="T851" t="s">
        <v>2079</v>
      </c>
      <c r="U851" t="s">
        <v>2079</v>
      </c>
      <c r="W851" t="str">
        <f>"400904"</f>
        <v>400904</v>
      </c>
      <c r="X851" t="s">
        <v>41</v>
      </c>
      <c r="AD851" s="2">
        <v>46223.365127314813</v>
      </c>
    </row>
    <row r="852" spans="1:30" x14ac:dyDescent="0.35">
      <c r="A852" t="s">
        <v>2182</v>
      </c>
      <c r="B852" t="s">
        <v>31</v>
      </c>
      <c r="C852" t="s">
        <v>2780</v>
      </c>
      <c r="D852" t="s">
        <v>33</v>
      </c>
      <c r="E852" t="str">
        <f>"400904"</f>
        <v>400904</v>
      </c>
      <c r="F852" t="s">
        <v>167</v>
      </c>
      <c r="G852">
        <v>4</v>
      </c>
      <c r="H852">
        <v>0</v>
      </c>
      <c r="I852" t="s">
        <v>2555</v>
      </c>
      <c r="J852" t="str">
        <f>"400004602"</f>
        <v>400004602</v>
      </c>
      <c r="K852" s="1">
        <v>48033</v>
      </c>
      <c r="M852" s="1">
        <v>46208</v>
      </c>
      <c r="N852" t="str">
        <f>"1329001960"</f>
        <v>1329001960</v>
      </c>
      <c r="O852">
        <v>4</v>
      </c>
      <c r="P852" s="2">
        <v>46222.442118055558</v>
      </c>
      <c r="Q852" s="2">
        <v>46223.36991898148</v>
      </c>
      <c r="R852" s="2">
        <v>46222.442118055558</v>
      </c>
      <c r="S852">
        <v>0</v>
      </c>
      <c r="T852" t="s">
        <v>2079</v>
      </c>
      <c r="U852" t="s">
        <v>2079</v>
      </c>
      <c r="W852" t="str">
        <f>"400904"</f>
        <v>400904</v>
      </c>
      <c r="X852" t="s">
        <v>41</v>
      </c>
      <c r="AD852" s="2">
        <v>46223.36991898148</v>
      </c>
    </row>
    <row r="853" spans="1:30" x14ac:dyDescent="0.35">
      <c r="A853" t="s">
        <v>2182</v>
      </c>
      <c r="B853" t="s">
        <v>31</v>
      </c>
      <c r="C853" t="s">
        <v>2781</v>
      </c>
      <c r="D853" t="s">
        <v>33</v>
      </c>
      <c r="E853" t="str">
        <f>"400904"</f>
        <v>400904</v>
      </c>
      <c r="F853" t="s">
        <v>167</v>
      </c>
      <c r="G853">
        <v>4</v>
      </c>
      <c r="H853">
        <v>0</v>
      </c>
      <c r="I853" t="s">
        <v>2555</v>
      </c>
      <c r="J853" t="str">
        <f>"400004602"</f>
        <v>400004602</v>
      </c>
      <c r="K853" s="1">
        <v>48033</v>
      </c>
      <c r="M853" s="1">
        <v>46208</v>
      </c>
      <c r="N853" t="str">
        <f>"1329001960"</f>
        <v>1329001960</v>
      </c>
      <c r="O853">
        <v>4</v>
      </c>
      <c r="P853" s="2">
        <v>46222.442511574074</v>
      </c>
      <c r="Q853" s="2">
        <v>46224.611689814818</v>
      </c>
      <c r="R853" s="2">
        <v>46222.442511574074</v>
      </c>
      <c r="S853">
        <v>0</v>
      </c>
      <c r="T853" t="s">
        <v>2079</v>
      </c>
      <c r="U853" t="s">
        <v>2079</v>
      </c>
      <c r="W853" t="str">
        <f>"400904"</f>
        <v>400904</v>
      </c>
      <c r="X853" t="s">
        <v>41</v>
      </c>
      <c r="AD853" s="2">
        <v>46224.611689814818</v>
      </c>
    </row>
    <row r="854" spans="1:30" x14ac:dyDescent="0.35">
      <c r="A854" t="s">
        <v>2182</v>
      </c>
      <c r="B854" t="s">
        <v>31</v>
      </c>
      <c r="C854" t="s">
        <v>2782</v>
      </c>
      <c r="D854" t="s">
        <v>33</v>
      </c>
      <c r="E854" t="str">
        <f t="shared" ref="E854:E867" si="140">"400441"</f>
        <v>400441</v>
      </c>
      <c r="F854" t="s">
        <v>65</v>
      </c>
      <c r="G854">
        <v>4</v>
      </c>
      <c r="H854">
        <v>0</v>
      </c>
      <c r="I854" t="s">
        <v>2513</v>
      </c>
      <c r="J854" t="str">
        <f t="shared" ref="J854:J861" si="141">"153000408"</f>
        <v>153000408</v>
      </c>
      <c r="K854" s="1">
        <v>48020</v>
      </c>
      <c r="M854" s="1">
        <v>46195</v>
      </c>
      <c r="N854" t="str">
        <f t="shared" ref="N854:N867" si="142">"1329001967"</f>
        <v>1329001967</v>
      </c>
      <c r="O854">
        <v>4</v>
      </c>
      <c r="P854" s="2">
        <v>46223.454375000001</v>
      </c>
      <c r="Q854" s="2">
        <v>46224.615868055553</v>
      </c>
      <c r="R854" s="2">
        <v>46223.454375000001</v>
      </c>
      <c r="S854">
        <v>0</v>
      </c>
      <c r="T854" t="s">
        <v>2079</v>
      </c>
      <c r="U854" t="s">
        <v>2079</v>
      </c>
      <c r="W854" t="str">
        <f t="shared" ref="W854:W867" si="143">"400441"</f>
        <v>400441</v>
      </c>
      <c r="X854" t="s">
        <v>41</v>
      </c>
      <c r="AD854" s="2">
        <v>46224.615868055553</v>
      </c>
    </row>
    <row r="855" spans="1:30" x14ac:dyDescent="0.35">
      <c r="A855" t="s">
        <v>2182</v>
      </c>
      <c r="B855" t="s">
        <v>31</v>
      </c>
      <c r="C855" t="s">
        <v>2783</v>
      </c>
      <c r="D855" t="s">
        <v>33</v>
      </c>
      <c r="E855" t="str">
        <f t="shared" si="140"/>
        <v>400441</v>
      </c>
      <c r="F855" t="s">
        <v>65</v>
      </c>
      <c r="G855">
        <v>4</v>
      </c>
      <c r="H855">
        <v>0</v>
      </c>
      <c r="I855" t="s">
        <v>2513</v>
      </c>
      <c r="J855" t="str">
        <f t="shared" si="141"/>
        <v>153000408</v>
      </c>
      <c r="K855" s="1">
        <v>48020</v>
      </c>
      <c r="M855" s="1">
        <v>46195</v>
      </c>
      <c r="N855" t="str">
        <f t="shared" si="142"/>
        <v>1329001967</v>
      </c>
      <c r="O855">
        <v>4</v>
      </c>
      <c r="P855" s="2">
        <v>46223.453877314816</v>
      </c>
      <c r="Q855" s="2">
        <v>46224.618333333332</v>
      </c>
      <c r="R855" s="2">
        <v>46223.453877314816</v>
      </c>
      <c r="S855">
        <v>0</v>
      </c>
      <c r="T855" t="s">
        <v>2079</v>
      </c>
      <c r="U855" t="s">
        <v>2079</v>
      </c>
      <c r="W855" t="str">
        <f t="shared" si="143"/>
        <v>400441</v>
      </c>
      <c r="X855" t="s">
        <v>41</v>
      </c>
      <c r="AD855" s="2">
        <v>46224.618333333332</v>
      </c>
    </row>
    <row r="856" spans="1:30" x14ac:dyDescent="0.35">
      <c r="A856" t="s">
        <v>2182</v>
      </c>
      <c r="B856" t="s">
        <v>31</v>
      </c>
      <c r="C856" t="s">
        <v>2784</v>
      </c>
      <c r="D856" t="s">
        <v>33</v>
      </c>
      <c r="E856" t="str">
        <f t="shared" si="140"/>
        <v>400441</v>
      </c>
      <c r="F856" t="s">
        <v>65</v>
      </c>
      <c r="G856">
        <v>4</v>
      </c>
      <c r="H856">
        <v>0</v>
      </c>
      <c r="I856" t="s">
        <v>2513</v>
      </c>
      <c r="J856" t="str">
        <f t="shared" si="141"/>
        <v>153000408</v>
      </c>
      <c r="K856" s="1">
        <v>48020</v>
      </c>
      <c r="M856" s="1">
        <v>46195</v>
      </c>
      <c r="N856" t="str">
        <f t="shared" si="142"/>
        <v>1329001967</v>
      </c>
      <c r="O856">
        <v>4</v>
      </c>
      <c r="P856" s="2">
        <v>46223.453425925924</v>
      </c>
      <c r="Q856" s="2">
        <v>46224.620196759257</v>
      </c>
      <c r="R856" s="2">
        <v>46223.453425925924</v>
      </c>
      <c r="S856">
        <v>0</v>
      </c>
      <c r="T856" t="s">
        <v>2079</v>
      </c>
      <c r="U856" t="s">
        <v>2079</v>
      </c>
      <c r="W856" t="str">
        <f t="shared" si="143"/>
        <v>400441</v>
      </c>
      <c r="X856" t="s">
        <v>41</v>
      </c>
      <c r="AD856" s="2">
        <v>46224.620196759257</v>
      </c>
    </row>
    <row r="857" spans="1:30" x14ac:dyDescent="0.35">
      <c r="A857" t="s">
        <v>2182</v>
      </c>
      <c r="B857" t="s">
        <v>31</v>
      </c>
      <c r="C857" t="s">
        <v>2785</v>
      </c>
      <c r="D857" t="s">
        <v>33</v>
      </c>
      <c r="E857" t="str">
        <f t="shared" si="140"/>
        <v>400441</v>
      </c>
      <c r="F857" t="s">
        <v>65</v>
      </c>
      <c r="G857">
        <v>4</v>
      </c>
      <c r="H857">
        <v>0</v>
      </c>
      <c r="I857" t="s">
        <v>2513</v>
      </c>
      <c r="J857" t="str">
        <f t="shared" si="141"/>
        <v>153000408</v>
      </c>
      <c r="K857" s="1">
        <v>48020</v>
      </c>
      <c r="M857" s="1">
        <v>46195</v>
      </c>
      <c r="N857" t="str">
        <f t="shared" si="142"/>
        <v>1329001967</v>
      </c>
      <c r="O857">
        <v>4</v>
      </c>
      <c r="P857" s="2">
        <v>46223.452962962961</v>
      </c>
      <c r="Q857" s="2">
        <v>46224.622465277775</v>
      </c>
      <c r="R857" s="2">
        <v>46223.452962962961</v>
      </c>
      <c r="S857">
        <v>0</v>
      </c>
      <c r="T857" t="s">
        <v>2079</v>
      </c>
      <c r="U857" t="s">
        <v>2079</v>
      </c>
      <c r="W857" t="str">
        <f t="shared" si="143"/>
        <v>400441</v>
      </c>
      <c r="X857" t="s">
        <v>41</v>
      </c>
      <c r="AD857" s="2">
        <v>46224.622465277775</v>
      </c>
    </row>
    <row r="858" spans="1:30" x14ac:dyDescent="0.35">
      <c r="A858" t="s">
        <v>2182</v>
      </c>
      <c r="B858" t="s">
        <v>31</v>
      </c>
      <c r="C858" t="s">
        <v>2786</v>
      </c>
      <c r="D858" t="s">
        <v>33</v>
      </c>
      <c r="E858" t="str">
        <f t="shared" si="140"/>
        <v>400441</v>
      </c>
      <c r="F858" t="s">
        <v>65</v>
      </c>
      <c r="G858">
        <v>4</v>
      </c>
      <c r="H858">
        <v>0</v>
      </c>
      <c r="I858" t="s">
        <v>2513</v>
      </c>
      <c r="J858" t="str">
        <f t="shared" si="141"/>
        <v>153000408</v>
      </c>
      <c r="K858" s="1">
        <v>48020</v>
      </c>
      <c r="M858" s="1">
        <v>46195</v>
      </c>
      <c r="N858" t="str">
        <f t="shared" si="142"/>
        <v>1329001967</v>
      </c>
      <c r="O858">
        <v>4</v>
      </c>
      <c r="P858" s="2">
        <v>46223.452569444446</v>
      </c>
      <c r="Q858" s="2">
        <v>46224.626909722225</v>
      </c>
      <c r="R858" s="2">
        <v>46223.452569444446</v>
      </c>
      <c r="S858">
        <v>0</v>
      </c>
      <c r="T858" t="s">
        <v>2079</v>
      </c>
      <c r="U858" t="s">
        <v>2079</v>
      </c>
      <c r="W858" t="str">
        <f t="shared" si="143"/>
        <v>400441</v>
      </c>
      <c r="X858" t="s">
        <v>41</v>
      </c>
      <c r="AD858" s="2">
        <v>46224.626909722225</v>
      </c>
    </row>
    <row r="859" spans="1:30" x14ac:dyDescent="0.35">
      <c r="A859" t="s">
        <v>2182</v>
      </c>
      <c r="B859" t="s">
        <v>31</v>
      </c>
      <c r="C859" t="s">
        <v>2787</v>
      </c>
      <c r="D859" t="s">
        <v>33</v>
      </c>
      <c r="E859" t="str">
        <f t="shared" si="140"/>
        <v>400441</v>
      </c>
      <c r="F859" t="s">
        <v>65</v>
      </c>
      <c r="G859">
        <v>4</v>
      </c>
      <c r="H859">
        <v>0</v>
      </c>
      <c r="I859" t="s">
        <v>2504</v>
      </c>
      <c r="J859" t="str">
        <f t="shared" si="141"/>
        <v>153000408</v>
      </c>
      <c r="K859" s="1">
        <v>48020</v>
      </c>
      <c r="M859" s="1">
        <v>46195</v>
      </c>
      <c r="N859" t="str">
        <f t="shared" si="142"/>
        <v>1329001967</v>
      </c>
      <c r="O859">
        <v>4</v>
      </c>
      <c r="P859" s="2">
        <v>46223.452152777776</v>
      </c>
      <c r="Q859" s="2">
        <v>46224.631215277775</v>
      </c>
      <c r="R859" s="2">
        <v>46223.452152777776</v>
      </c>
      <c r="S859">
        <v>0</v>
      </c>
      <c r="T859" t="s">
        <v>2079</v>
      </c>
      <c r="U859" t="s">
        <v>2079</v>
      </c>
      <c r="W859" t="str">
        <f t="shared" si="143"/>
        <v>400441</v>
      </c>
      <c r="X859" t="s">
        <v>41</v>
      </c>
      <c r="AD859" s="2">
        <v>46224.631215277775</v>
      </c>
    </row>
    <row r="860" spans="1:30" x14ac:dyDescent="0.35">
      <c r="A860" t="s">
        <v>2182</v>
      </c>
      <c r="B860" t="s">
        <v>31</v>
      </c>
      <c r="C860" t="s">
        <v>2788</v>
      </c>
      <c r="D860" t="s">
        <v>33</v>
      </c>
      <c r="E860" t="str">
        <f t="shared" si="140"/>
        <v>400441</v>
      </c>
      <c r="F860" t="s">
        <v>65</v>
      </c>
      <c r="G860">
        <v>4</v>
      </c>
      <c r="H860">
        <v>0</v>
      </c>
      <c r="I860" t="s">
        <v>2504</v>
      </c>
      <c r="J860" t="str">
        <f t="shared" si="141"/>
        <v>153000408</v>
      </c>
      <c r="K860" s="1">
        <v>48020</v>
      </c>
      <c r="M860" s="1">
        <v>46195</v>
      </c>
      <c r="N860" t="str">
        <f t="shared" si="142"/>
        <v>1329001967</v>
      </c>
      <c r="O860">
        <v>4</v>
      </c>
      <c r="P860" s="2">
        <v>46223.451747685183</v>
      </c>
      <c r="Q860" s="2">
        <v>46224.631423611114</v>
      </c>
      <c r="R860" s="2">
        <v>46223.451747685183</v>
      </c>
      <c r="S860">
        <v>0</v>
      </c>
      <c r="T860" t="s">
        <v>2079</v>
      </c>
      <c r="U860" t="s">
        <v>2079</v>
      </c>
      <c r="W860" t="str">
        <f t="shared" si="143"/>
        <v>400441</v>
      </c>
      <c r="X860" t="s">
        <v>41</v>
      </c>
      <c r="AD860" s="2">
        <v>46224.631423611114</v>
      </c>
    </row>
    <row r="861" spans="1:30" x14ac:dyDescent="0.35">
      <c r="A861" t="s">
        <v>2182</v>
      </c>
      <c r="B861" t="s">
        <v>31</v>
      </c>
      <c r="C861" t="s">
        <v>2789</v>
      </c>
      <c r="D861" t="s">
        <v>33</v>
      </c>
      <c r="E861" t="str">
        <f t="shared" si="140"/>
        <v>400441</v>
      </c>
      <c r="F861" t="s">
        <v>65</v>
      </c>
      <c r="G861">
        <v>4</v>
      </c>
      <c r="H861">
        <v>0</v>
      </c>
      <c r="I861" t="s">
        <v>2504</v>
      </c>
      <c r="J861" t="str">
        <f t="shared" si="141"/>
        <v>153000408</v>
      </c>
      <c r="K861" s="1">
        <v>48020</v>
      </c>
      <c r="M861" s="1">
        <v>46195</v>
      </c>
      <c r="N861" t="str">
        <f t="shared" si="142"/>
        <v>1329001967</v>
      </c>
      <c r="O861">
        <v>4</v>
      </c>
      <c r="P861" s="2">
        <v>46223.451388888891</v>
      </c>
      <c r="Q861" s="2">
        <v>46224.634039351855</v>
      </c>
      <c r="R861" s="2">
        <v>46223.451388888891</v>
      </c>
      <c r="S861">
        <v>0</v>
      </c>
      <c r="T861" t="s">
        <v>2079</v>
      </c>
      <c r="U861" t="s">
        <v>2079</v>
      </c>
      <c r="W861" t="str">
        <f t="shared" si="143"/>
        <v>400441</v>
      </c>
      <c r="X861" t="s">
        <v>41</v>
      </c>
      <c r="AD861" s="2">
        <v>46224.634039351855</v>
      </c>
    </row>
    <row r="862" spans="1:30" x14ac:dyDescent="0.35">
      <c r="A862" t="s">
        <v>2182</v>
      </c>
      <c r="B862" t="s">
        <v>31</v>
      </c>
      <c r="C862" t="s">
        <v>2790</v>
      </c>
      <c r="D862" t="s">
        <v>33</v>
      </c>
      <c r="E862" t="str">
        <f t="shared" si="140"/>
        <v>400441</v>
      </c>
      <c r="F862" t="s">
        <v>65</v>
      </c>
      <c r="G862">
        <v>4</v>
      </c>
      <c r="H862">
        <v>0</v>
      </c>
      <c r="I862" t="s">
        <v>2504</v>
      </c>
      <c r="J862" t="str">
        <f>"153000416"</f>
        <v>153000416</v>
      </c>
      <c r="K862" s="1">
        <v>48025</v>
      </c>
      <c r="M862" s="1">
        <v>46200</v>
      </c>
      <c r="N862" t="str">
        <f t="shared" si="142"/>
        <v>1329001967</v>
      </c>
      <c r="O862">
        <v>4</v>
      </c>
      <c r="P862" s="2">
        <v>46223.451006944444</v>
      </c>
      <c r="Q862" s="2">
        <v>46224.636006944442</v>
      </c>
      <c r="R862" s="2">
        <v>46223.451006944444</v>
      </c>
      <c r="S862">
        <v>0</v>
      </c>
      <c r="T862" t="s">
        <v>2079</v>
      </c>
      <c r="U862" t="s">
        <v>2079</v>
      </c>
      <c r="W862" t="str">
        <f t="shared" si="143"/>
        <v>400441</v>
      </c>
      <c r="X862" t="s">
        <v>41</v>
      </c>
      <c r="AD862" s="2">
        <v>46224.636006944442</v>
      </c>
    </row>
    <row r="863" spans="1:30" x14ac:dyDescent="0.35">
      <c r="A863" t="s">
        <v>2182</v>
      </c>
      <c r="B863" t="s">
        <v>31</v>
      </c>
      <c r="C863" t="s">
        <v>2791</v>
      </c>
      <c r="D863" t="s">
        <v>33</v>
      </c>
      <c r="E863" t="str">
        <f t="shared" si="140"/>
        <v>400441</v>
      </c>
      <c r="F863" t="s">
        <v>65</v>
      </c>
      <c r="G863">
        <v>4</v>
      </c>
      <c r="H863">
        <v>0</v>
      </c>
      <c r="I863" t="s">
        <v>2504</v>
      </c>
      <c r="J863" t="str">
        <f>"153000416"</f>
        <v>153000416</v>
      </c>
      <c r="K863" s="1">
        <v>48025</v>
      </c>
      <c r="M863" s="1">
        <v>46200</v>
      </c>
      <c r="N863" t="str">
        <f t="shared" si="142"/>
        <v>1329001967</v>
      </c>
      <c r="O863">
        <v>4</v>
      </c>
      <c r="P863" s="2">
        <v>46223.450486111113</v>
      </c>
      <c r="Q863" s="2">
        <v>46224.638819444444</v>
      </c>
      <c r="R863" s="2">
        <v>46223.450486111113</v>
      </c>
      <c r="S863">
        <v>0</v>
      </c>
      <c r="T863" t="s">
        <v>2079</v>
      </c>
      <c r="U863" t="s">
        <v>2079</v>
      </c>
      <c r="W863" t="str">
        <f t="shared" si="143"/>
        <v>400441</v>
      </c>
      <c r="X863" t="s">
        <v>41</v>
      </c>
      <c r="AD863" s="2">
        <v>46224.638819444444</v>
      </c>
    </row>
    <row r="864" spans="1:30" x14ac:dyDescent="0.35">
      <c r="A864" t="s">
        <v>2182</v>
      </c>
      <c r="B864" t="s">
        <v>31</v>
      </c>
      <c r="C864" t="s">
        <v>2792</v>
      </c>
      <c r="D864" t="s">
        <v>33</v>
      </c>
      <c r="E864" t="str">
        <f t="shared" si="140"/>
        <v>400441</v>
      </c>
      <c r="F864" t="s">
        <v>65</v>
      </c>
      <c r="G864">
        <v>4</v>
      </c>
      <c r="H864">
        <v>0</v>
      </c>
      <c r="I864" t="s">
        <v>2793</v>
      </c>
      <c r="J864" t="str">
        <f>"153000416"</f>
        <v>153000416</v>
      </c>
      <c r="K864" s="1">
        <v>48025</v>
      </c>
      <c r="M864" s="1">
        <v>46200</v>
      </c>
      <c r="N864" t="str">
        <f t="shared" si="142"/>
        <v>1329001967</v>
      </c>
      <c r="O864">
        <v>4</v>
      </c>
      <c r="P864" s="2">
        <v>46223.44976851852</v>
      </c>
      <c r="Q864" s="2">
        <v>46224.642118055555</v>
      </c>
      <c r="R864" s="2">
        <v>46223.44976851852</v>
      </c>
      <c r="S864">
        <v>0</v>
      </c>
      <c r="T864" t="s">
        <v>2079</v>
      </c>
      <c r="U864" t="s">
        <v>2079</v>
      </c>
      <c r="W864" t="str">
        <f t="shared" si="143"/>
        <v>400441</v>
      </c>
      <c r="X864" t="s">
        <v>41</v>
      </c>
      <c r="AD864" s="2">
        <v>46224.642118055555</v>
      </c>
    </row>
    <row r="865" spans="1:30" x14ac:dyDescent="0.35">
      <c r="A865" t="s">
        <v>2182</v>
      </c>
      <c r="B865" t="s">
        <v>31</v>
      </c>
      <c r="C865" t="s">
        <v>2794</v>
      </c>
      <c r="D865" t="s">
        <v>33</v>
      </c>
      <c r="E865" t="str">
        <f t="shared" si="140"/>
        <v>400441</v>
      </c>
      <c r="F865" t="s">
        <v>65</v>
      </c>
      <c r="G865">
        <v>4</v>
      </c>
      <c r="H865">
        <v>0</v>
      </c>
      <c r="I865" t="s">
        <v>2793</v>
      </c>
      <c r="J865" t="str">
        <f>"153000416"</f>
        <v>153000416</v>
      </c>
      <c r="K865" s="1">
        <v>48025</v>
      </c>
      <c r="M865" s="1">
        <v>46200</v>
      </c>
      <c r="N865" t="str">
        <f t="shared" si="142"/>
        <v>1329001967</v>
      </c>
      <c r="O865">
        <v>4</v>
      </c>
      <c r="P865" s="2">
        <v>46223.449374999997</v>
      </c>
      <c r="Q865" s="2">
        <v>46224.644861111112</v>
      </c>
      <c r="R865" s="2">
        <v>46223.449374999997</v>
      </c>
      <c r="S865">
        <v>0</v>
      </c>
      <c r="T865" t="s">
        <v>2079</v>
      </c>
      <c r="U865" t="s">
        <v>2079</v>
      </c>
      <c r="W865" t="str">
        <f t="shared" si="143"/>
        <v>400441</v>
      </c>
      <c r="X865" t="s">
        <v>41</v>
      </c>
      <c r="AD865" s="2">
        <v>46224.644861111112</v>
      </c>
    </row>
    <row r="866" spans="1:30" x14ac:dyDescent="0.35">
      <c r="A866" t="s">
        <v>2182</v>
      </c>
      <c r="B866" t="s">
        <v>31</v>
      </c>
      <c r="C866" t="s">
        <v>2795</v>
      </c>
      <c r="D866" t="s">
        <v>33</v>
      </c>
      <c r="E866" t="str">
        <f t="shared" si="140"/>
        <v>400441</v>
      </c>
      <c r="F866" t="s">
        <v>65</v>
      </c>
      <c r="G866">
        <v>4</v>
      </c>
      <c r="H866">
        <v>0</v>
      </c>
      <c r="I866" t="s">
        <v>2793</v>
      </c>
      <c r="J866" t="str">
        <f>"153000416"</f>
        <v>153000416</v>
      </c>
      <c r="K866" s="1">
        <v>48025</v>
      </c>
      <c r="M866" s="1">
        <v>46200</v>
      </c>
      <c r="N866" t="str">
        <f t="shared" si="142"/>
        <v>1329001967</v>
      </c>
      <c r="O866">
        <v>4</v>
      </c>
      <c r="P866" s="2">
        <v>46223.449050925927</v>
      </c>
      <c r="Q866" s="2">
        <v>46224.649016203701</v>
      </c>
      <c r="R866" s="2">
        <v>46223.449050925927</v>
      </c>
      <c r="S866">
        <v>0</v>
      </c>
      <c r="T866" t="s">
        <v>2079</v>
      </c>
      <c r="U866" t="s">
        <v>2079</v>
      </c>
      <c r="W866" t="str">
        <f t="shared" si="143"/>
        <v>400441</v>
      </c>
      <c r="X866" t="s">
        <v>41</v>
      </c>
      <c r="AD866" s="2">
        <v>46224.649016203701</v>
      </c>
    </row>
    <row r="867" spans="1:30" x14ac:dyDescent="0.35">
      <c r="A867" t="s">
        <v>2182</v>
      </c>
      <c r="B867" t="s">
        <v>31</v>
      </c>
      <c r="C867" t="s">
        <v>2796</v>
      </c>
      <c r="D867" t="s">
        <v>33</v>
      </c>
      <c r="E867" t="str">
        <f t="shared" si="140"/>
        <v>400441</v>
      </c>
      <c r="F867" t="s">
        <v>65</v>
      </c>
      <c r="G867">
        <v>4</v>
      </c>
      <c r="H867">
        <v>0</v>
      </c>
      <c r="I867" t="s">
        <v>2793</v>
      </c>
      <c r="J867" t="str">
        <f>"153000408"</f>
        <v>153000408</v>
      </c>
      <c r="K867" s="1">
        <v>48020</v>
      </c>
      <c r="M867" s="1">
        <v>46195</v>
      </c>
      <c r="N867" t="str">
        <f t="shared" si="142"/>
        <v>1329001967</v>
      </c>
      <c r="O867">
        <v>4</v>
      </c>
      <c r="P867" s="2">
        <v>46223.447638888887</v>
      </c>
      <c r="Q867" s="2">
        <v>46224.652615740742</v>
      </c>
      <c r="R867" s="2">
        <v>46223.447638888887</v>
      </c>
      <c r="S867">
        <v>0</v>
      </c>
      <c r="T867" t="s">
        <v>2079</v>
      </c>
      <c r="U867" t="s">
        <v>2079</v>
      </c>
      <c r="W867" t="str">
        <f t="shared" si="143"/>
        <v>400441</v>
      </c>
      <c r="X867" t="s">
        <v>41</v>
      </c>
      <c r="AD867" s="2">
        <v>46224.652615740742</v>
      </c>
    </row>
    <row r="868" spans="1:30" x14ac:dyDescent="0.35">
      <c r="A868" t="s">
        <v>2182</v>
      </c>
      <c r="B868" t="s">
        <v>31</v>
      </c>
      <c r="C868" t="s">
        <v>2797</v>
      </c>
      <c r="D868" t="s">
        <v>33</v>
      </c>
      <c r="E868" t="str">
        <f t="shared" ref="E868:E882" si="144">"400929"</f>
        <v>400929</v>
      </c>
      <c r="F868" t="s">
        <v>983</v>
      </c>
      <c r="G868">
        <v>24</v>
      </c>
      <c r="H868">
        <v>0</v>
      </c>
      <c r="I868" t="s">
        <v>2798</v>
      </c>
      <c r="J868" t="str">
        <f t="shared" ref="J868:J882" si="145">"153000461"</f>
        <v>153000461</v>
      </c>
      <c r="K868" s="1">
        <v>48043</v>
      </c>
      <c r="M868" s="1">
        <v>46218</v>
      </c>
      <c r="N868" t="str">
        <f t="shared" ref="N868:N882" si="146">"1329001976"</f>
        <v>1329001976</v>
      </c>
      <c r="O868">
        <v>24</v>
      </c>
      <c r="P868" s="2">
        <v>46225.549826388888</v>
      </c>
      <c r="Q868" s="2">
        <v>46225.570833333331</v>
      </c>
      <c r="R868" s="2">
        <v>46225.549826388888</v>
      </c>
      <c r="S868">
        <v>0</v>
      </c>
      <c r="T868" t="s">
        <v>2079</v>
      </c>
      <c r="U868" t="s">
        <v>2079</v>
      </c>
      <c r="W868" t="str">
        <f t="shared" ref="W868:W882" si="147">"400929"</f>
        <v>400929</v>
      </c>
      <c r="X868" t="s">
        <v>37</v>
      </c>
      <c r="AD868" s="2">
        <v>46225.570833333331</v>
      </c>
    </row>
    <row r="869" spans="1:30" x14ac:dyDescent="0.35">
      <c r="A869" t="s">
        <v>2182</v>
      </c>
      <c r="B869" t="s">
        <v>31</v>
      </c>
      <c r="C869" t="s">
        <v>2799</v>
      </c>
      <c r="D869" t="s">
        <v>33</v>
      </c>
      <c r="E869" t="str">
        <f t="shared" si="144"/>
        <v>400929</v>
      </c>
      <c r="F869" t="s">
        <v>983</v>
      </c>
      <c r="G869">
        <v>24</v>
      </c>
      <c r="H869">
        <v>0</v>
      </c>
      <c r="I869" t="s">
        <v>2800</v>
      </c>
      <c r="J869" t="str">
        <f t="shared" si="145"/>
        <v>153000461</v>
      </c>
      <c r="K869" s="1">
        <v>48043</v>
      </c>
      <c r="M869" s="1">
        <v>46218</v>
      </c>
      <c r="N869" t="str">
        <f t="shared" si="146"/>
        <v>1329001976</v>
      </c>
      <c r="O869">
        <v>24</v>
      </c>
      <c r="P869" s="2">
        <v>46225.550254629627</v>
      </c>
      <c r="Q869" s="2">
        <v>46225.572465277779</v>
      </c>
      <c r="R869" s="2">
        <v>46225.550254629627</v>
      </c>
      <c r="S869">
        <v>0</v>
      </c>
      <c r="T869" t="s">
        <v>2079</v>
      </c>
      <c r="U869" t="s">
        <v>2079</v>
      </c>
      <c r="W869" t="str">
        <f t="shared" si="147"/>
        <v>400929</v>
      </c>
      <c r="X869" t="s">
        <v>37</v>
      </c>
      <c r="AD869" s="2">
        <v>46225.572465277779</v>
      </c>
    </row>
    <row r="870" spans="1:30" x14ac:dyDescent="0.35">
      <c r="A870" t="s">
        <v>2182</v>
      </c>
      <c r="B870" t="s">
        <v>31</v>
      </c>
      <c r="C870" t="s">
        <v>2801</v>
      </c>
      <c r="D870" t="s">
        <v>33</v>
      </c>
      <c r="E870" t="str">
        <f t="shared" si="144"/>
        <v>400929</v>
      </c>
      <c r="F870" t="s">
        <v>983</v>
      </c>
      <c r="G870">
        <v>24</v>
      </c>
      <c r="H870">
        <v>0</v>
      </c>
      <c r="I870" t="s">
        <v>2802</v>
      </c>
      <c r="J870" t="str">
        <f t="shared" si="145"/>
        <v>153000461</v>
      </c>
      <c r="K870" s="1">
        <v>48043</v>
      </c>
      <c r="M870" s="1">
        <v>46218</v>
      </c>
      <c r="N870" t="str">
        <f t="shared" si="146"/>
        <v>1329001976</v>
      </c>
      <c r="O870">
        <v>24</v>
      </c>
      <c r="P870" s="2">
        <v>46225.550682870373</v>
      </c>
      <c r="Q870" s="2">
        <v>46225.573692129627</v>
      </c>
      <c r="R870" s="2">
        <v>46225.550682870373</v>
      </c>
      <c r="S870">
        <v>0</v>
      </c>
      <c r="T870" t="s">
        <v>2079</v>
      </c>
      <c r="U870" t="s">
        <v>2079</v>
      </c>
      <c r="W870" t="str">
        <f t="shared" si="147"/>
        <v>400929</v>
      </c>
      <c r="X870" t="s">
        <v>37</v>
      </c>
      <c r="AD870" s="2">
        <v>46225.573692129627</v>
      </c>
    </row>
    <row r="871" spans="1:30" x14ac:dyDescent="0.35">
      <c r="A871" t="s">
        <v>2182</v>
      </c>
      <c r="B871" t="s">
        <v>31</v>
      </c>
      <c r="C871" t="s">
        <v>2803</v>
      </c>
      <c r="D871" t="s">
        <v>33</v>
      </c>
      <c r="E871" t="str">
        <f t="shared" si="144"/>
        <v>400929</v>
      </c>
      <c r="F871" t="s">
        <v>983</v>
      </c>
      <c r="G871">
        <v>24</v>
      </c>
      <c r="H871">
        <v>0</v>
      </c>
      <c r="I871" t="s">
        <v>2617</v>
      </c>
      <c r="J871" t="str">
        <f t="shared" si="145"/>
        <v>153000461</v>
      </c>
      <c r="K871" s="1">
        <v>48043</v>
      </c>
      <c r="M871" s="1">
        <v>46218</v>
      </c>
      <c r="N871" t="str">
        <f t="shared" si="146"/>
        <v>1329001976</v>
      </c>
      <c r="O871">
        <v>24</v>
      </c>
      <c r="P871" s="2">
        <v>46225.550949074073</v>
      </c>
      <c r="Q871" s="2">
        <v>46225.575266203705</v>
      </c>
      <c r="R871" s="2">
        <v>46225.550949074073</v>
      </c>
      <c r="S871">
        <v>0</v>
      </c>
      <c r="T871" t="s">
        <v>2079</v>
      </c>
      <c r="U871" t="s">
        <v>2079</v>
      </c>
      <c r="W871" t="str">
        <f t="shared" si="147"/>
        <v>400929</v>
      </c>
      <c r="X871" t="s">
        <v>37</v>
      </c>
      <c r="AD871" s="2">
        <v>46225.575266203705</v>
      </c>
    </row>
    <row r="872" spans="1:30" x14ac:dyDescent="0.35">
      <c r="A872" t="s">
        <v>2182</v>
      </c>
      <c r="B872" t="s">
        <v>31</v>
      </c>
      <c r="C872" t="s">
        <v>2804</v>
      </c>
      <c r="D872" t="s">
        <v>33</v>
      </c>
      <c r="E872" t="str">
        <f t="shared" si="144"/>
        <v>400929</v>
      </c>
      <c r="F872" t="s">
        <v>983</v>
      </c>
      <c r="G872">
        <v>24</v>
      </c>
      <c r="H872">
        <v>0</v>
      </c>
      <c r="I872" t="s">
        <v>2805</v>
      </c>
      <c r="J872" t="str">
        <f t="shared" si="145"/>
        <v>153000461</v>
      </c>
      <c r="K872" s="1">
        <v>48043</v>
      </c>
      <c r="M872" s="1">
        <v>46218</v>
      </c>
      <c r="N872" t="str">
        <f t="shared" si="146"/>
        <v>1329001976</v>
      </c>
      <c r="O872">
        <v>24</v>
      </c>
      <c r="P872" s="2">
        <v>46225.551157407404</v>
      </c>
      <c r="Q872" s="2">
        <v>46225.576562499999</v>
      </c>
      <c r="R872" s="2">
        <v>46225.551157407404</v>
      </c>
      <c r="S872">
        <v>0</v>
      </c>
      <c r="T872" t="s">
        <v>2079</v>
      </c>
      <c r="U872" t="s">
        <v>2079</v>
      </c>
      <c r="W872" t="str">
        <f t="shared" si="147"/>
        <v>400929</v>
      </c>
      <c r="X872" t="s">
        <v>37</v>
      </c>
      <c r="AD872" s="2">
        <v>46225.576562499999</v>
      </c>
    </row>
    <row r="873" spans="1:30" x14ac:dyDescent="0.35">
      <c r="A873" t="s">
        <v>2182</v>
      </c>
      <c r="B873" t="s">
        <v>31</v>
      </c>
      <c r="C873" t="s">
        <v>2806</v>
      </c>
      <c r="D873" t="s">
        <v>33</v>
      </c>
      <c r="E873" t="str">
        <f t="shared" si="144"/>
        <v>400929</v>
      </c>
      <c r="F873" t="s">
        <v>983</v>
      </c>
      <c r="G873">
        <v>24</v>
      </c>
      <c r="H873">
        <v>0</v>
      </c>
      <c r="I873" t="s">
        <v>2807</v>
      </c>
      <c r="J873" t="str">
        <f t="shared" si="145"/>
        <v>153000461</v>
      </c>
      <c r="K873" s="1">
        <v>48043</v>
      </c>
      <c r="M873" s="1">
        <v>46218</v>
      </c>
      <c r="N873" t="str">
        <f t="shared" si="146"/>
        <v>1329001976</v>
      </c>
      <c r="O873">
        <v>24</v>
      </c>
      <c r="P873" s="2">
        <v>46225.551377314812</v>
      </c>
      <c r="Q873" s="2">
        <v>46225.578402777777</v>
      </c>
      <c r="R873" s="2">
        <v>46225.551377314812</v>
      </c>
      <c r="S873">
        <v>0</v>
      </c>
      <c r="T873" t="s">
        <v>2079</v>
      </c>
      <c r="U873" t="s">
        <v>2079</v>
      </c>
      <c r="W873" t="str">
        <f t="shared" si="147"/>
        <v>400929</v>
      </c>
      <c r="X873" t="s">
        <v>37</v>
      </c>
      <c r="AD873" s="2">
        <v>46225.578402777777</v>
      </c>
    </row>
    <row r="874" spans="1:30" x14ac:dyDescent="0.35">
      <c r="A874" t="s">
        <v>2182</v>
      </c>
      <c r="B874" t="s">
        <v>31</v>
      </c>
      <c r="C874" t="s">
        <v>2808</v>
      </c>
      <c r="D874" t="s">
        <v>33</v>
      </c>
      <c r="E874" t="str">
        <f t="shared" si="144"/>
        <v>400929</v>
      </c>
      <c r="F874" t="s">
        <v>983</v>
      </c>
      <c r="G874">
        <v>24</v>
      </c>
      <c r="H874">
        <v>0</v>
      </c>
      <c r="I874" t="s">
        <v>2809</v>
      </c>
      <c r="J874" t="str">
        <f t="shared" si="145"/>
        <v>153000461</v>
      </c>
      <c r="K874" s="1">
        <v>48043</v>
      </c>
      <c r="M874" s="1">
        <v>46218</v>
      </c>
      <c r="N874" t="str">
        <f t="shared" si="146"/>
        <v>1329001976</v>
      </c>
      <c r="O874">
        <v>24</v>
      </c>
      <c r="P874" s="2">
        <v>46225.551631944443</v>
      </c>
      <c r="Q874" s="2">
        <v>46225.579664351855</v>
      </c>
      <c r="R874" s="2">
        <v>46225.551631944443</v>
      </c>
      <c r="S874">
        <v>0</v>
      </c>
      <c r="T874" t="s">
        <v>2079</v>
      </c>
      <c r="U874" t="s">
        <v>2079</v>
      </c>
      <c r="W874" t="str">
        <f t="shared" si="147"/>
        <v>400929</v>
      </c>
      <c r="X874" t="s">
        <v>37</v>
      </c>
      <c r="AD874" s="2">
        <v>46225.579664351855</v>
      </c>
    </row>
    <row r="875" spans="1:30" x14ac:dyDescent="0.35">
      <c r="A875" t="s">
        <v>2182</v>
      </c>
      <c r="B875" t="s">
        <v>31</v>
      </c>
      <c r="C875" t="s">
        <v>2810</v>
      </c>
      <c r="D875" t="s">
        <v>33</v>
      </c>
      <c r="E875" t="str">
        <f t="shared" si="144"/>
        <v>400929</v>
      </c>
      <c r="F875" t="s">
        <v>983</v>
      </c>
      <c r="G875">
        <v>24</v>
      </c>
      <c r="H875">
        <v>0</v>
      </c>
      <c r="I875" t="s">
        <v>2811</v>
      </c>
      <c r="J875" t="str">
        <f t="shared" si="145"/>
        <v>153000461</v>
      </c>
      <c r="K875" s="1">
        <v>48043</v>
      </c>
      <c r="M875" s="1">
        <v>46218</v>
      </c>
      <c r="N875" t="str">
        <f t="shared" si="146"/>
        <v>1329001976</v>
      </c>
      <c r="O875">
        <v>24</v>
      </c>
      <c r="P875" s="2">
        <v>46225.55190972222</v>
      </c>
      <c r="Q875" s="2">
        <v>46225.582025462965</v>
      </c>
      <c r="R875" s="2">
        <v>46225.55190972222</v>
      </c>
      <c r="S875">
        <v>0</v>
      </c>
      <c r="T875" t="s">
        <v>2079</v>
      </c>
      <c r="U875" t="s">
        <v>2079</v>
      </c>
      <c r="W875" t="str">
        <f t="shared" si="147"/>
        <v>400929</v>
      </c>
      <c r="X875" t="s">
        <v>37</v>
      </c>
      <c r="AD875" s="2">
        <v>46225.582025462965</v>
      </c>
    </row>
    <row r="876" spans="1:30" x14ac:dyDescent="0.35">
      <c r="A876" t="s">
        <v>2182</v>
      </c>
      <c r="B876" t="s">
        <v>31</v>
      </c>
      <c r="C876" t="s">
        <v>2812</v>
      </c>
      <c r="D876" t="s">
        <v>33</v>
      </c>
      <c r="E876" t="str">
        <f t="shared" si="144"/>
        <v>400929</v>
      </c>
      <c r="F876" t="s">
        <v>983</v>
      </c>
      <c r="G876">
        <v>24</v>
      </c>
      <c r="H876">
        <v>0</v>
      </c>
      <c r="I876" t="s">
        <v>2813</v>
      </c>
      <c r="J876" t="str">
        <f t="shared" si="145"/>
        <v>153000461</v>
      </c>
      <c r="K876" s="1">
        <v>48043</v>
      </c>
      <c r="M876" s="1">
        <v>46218</v>
      </c>
      <c r="N876" t="str">
        <f t="shared" si="146"/>
        <v>1329001976</v>
      </c>
      <c r="O876">
        <v>24</v>
      </c>
      <c r="P876" s="2">
        <v>46225.552476851852</v>
      </c>
      <c r="Q876" s="2">
        <v>46225.583298611113</v>
      </c>
      <c r="R876" s="2">
        <v>46225.552476851852</v>
      </c>
      <c r="S876">
        <v>0</v>
      </c>
      <c r="T876" t="s">
        <v>2079</v>
      </c>
      <c r="U876" t="s">
        <v>2079</v>
      </c>
      <c r="W876" t="str">
        <f t="shared" si="147"/>
        <v>400929</v>
      </c>
      <c r="X876" t="s">
        <v>37</v>
      </c>
      <c r="AD876" s="2">
        <v>46225.583298611113</v>
      </c>
    </row>
    <row r="877" spans="1:30" x14ac:dyDescent="0.35">
      <c r="A877" t="s">
        <v>2182</v>
      </c>
      <c r="B877" t="s">
        <v>31</v>
      </c>
      <c r="C877" t="s">
        <v>2814</v>
      </c>
      <c r="D877" t="s">
        <v>33</v>
      </c>
      <c r="E877" t="str">
        <f t="shared" si="144"/>
        <v>400929</v>
      </c>
      <c r="F877" t="s">
        <v>983</v>
      </c>
      <c r="G877">
        <v>24</v>
      </c>
      <c r="H877">
        <v>0</v>
      </c>
      <c r="I877" t="s">
        <v>2815</v>
      </c>
      <c r="J877" t="str">
        <f t="shared" si="145"/>
        <v>153000461</v>
      </c>
      <c r="K877" s="1">
        <v>48043</v>
      </c>
      <c r="M877" s="1">
        <v>46218</v>
      </c>
      <c r="N877" t="str">
        <f t="shared" si="146"/>
        <v>1329001976</v>
      </c>
      <c r="O877">
        <v>24</v>
      </c>
      <c r="P877" s="2">
        <v>46225.552743055552</v>
      </c>
      <c r="Q877" s="2">
        <v>46225.584340277775</v>
      </c>
      <c r="R877" s="2">
        <v>46225.552743055552</v>
      </c>
      <c r="S877">
        <v>0</v>
      </c>
      <c r="T877" t="s">
        <v>2079</v>
      </c>
      <c r="U877" t="s">
        <v>2079</v>
      </c>
      <c r="W877" t="str">
        <f t="shared" si="147"/>
        <v>400929</v>
      </c>
      <c r="X877" t="s">
        <v>37</v>
      </c>
      <c r="AD877" s="2">
        <v>46225.584340277775</v>
      </c>
    </row>
    <row r="878" spans="1:30" x14ac:dyDescent="0.35">
      <c r="A878" t="s">
        <v>2182</v>
      </c>
      <c r="B878" t="s">
        <v>31</v>
      </c>
      <c r="C878" t="s">
        <v>2816</v>
      </c>
      <c r="D878" t="s">
        <v>33</v>
      </c>
      <c r="E878" t="str">
        <f t="shared" si="144"/>
        <v>400929</v>
      </c>
      <c r="F878" t="s">
        <v>983</v>
      </c>
      <c r="G878">
        <v>24</v>
      </c>
      <c r="H878">
        <v>0</v>
      </c>
      <c r="I878" t="s">
        <v>2817</v>
      </c>
      <c r="J878" t="str">
        <f t="shared" si="145"/>
        <v>153000461</v>
      </c>
      <c r="K878" s="1">
        <v>48043</v>
      </c>
      <c r="M878" s="1">
        <v>46218</v>
      </c>
      <c r="N878" t="str">
        <f t="shared" si="146"/>
        <v>1329001976</v>
      </c>
      <c r="O878">
        <v>24</v>
      </c>
      <c r="P878" s="2">
        <v>46225.552928240744</v>
      </c>
      <c r="Q878" s="2">
        <v>46225.586238425924</v>
      </c>
      <c r="R878" s="2">
        <v>46225.552928240744</v>
      </c>
      <c r="S878">
        <v>0</v>
      </c>
      <c r="T878" t="s">
        <v>2079</v>
      </c>
      <c r="U878" t="s">
        <v>2079</v>
      </c>
      <c r="W878" t="str">
        <f t="shared" si="147"/>
        <v>400929</v>
      </c>
      <c r="X878" t="s">
        <v>37</v>
      </c>
      <c r="AD878" s="2">
        <v>46225.586238425924</v>
      </c>
    </row>
    <row r="879" spans="1:30" x14ac:dyDescent="0.35">
      <c r="A879" t="s">
        <v>2182</v>
      </c>
      <c r="B879" t="s">
        <v>31</v>
      </c>
      <c r="C879" t="s">
        <v>2818</v>
      </c>
      <c r="D879" t="s">
        <v>33</v>
      </c>
      <c r="E879" t="str">
        <f t="shared" si="144"/>
        <v>400929</v>
      </c>
      <c r="F879" t="s">
        <v>983</v>
      </c>
      <c r="G879">
        <v>24</v>
      </c>
      <c r="H879">
        <v>0</v>
      </c>
      <c r="I879" t="s">
        <v>2819</v>
      </c>
      <c r="J879" t="str">
        <f t="shared" si="145"/>
        <v>153000461</v>
      </c>
      <c r="K879" s="1">
        <v>48043</v>
      </c>
      <c r="M879" s="1">
        <v>46218</v>
      </c>
      <c r="N879" t="str">
        <f t="shared" si="146"/>
        <v>1329001976</v>
      </c>
      <c r="O879">
        <v>24</v>
      </c>
      <c r="P879" s="2">
        <v>46225.553148148145</v>
      </c>
      <c r="Q879" s="2">
        <v>46225.588136574072</v>
      </c>
      <c r="R879" s="2">
        <v>46225.553148148145</v>
      </c>
      <c r="S879">
        <v>0</v>
      </c>
      <c r="T879" t="s">
        <v>2079</v>
      </c>
      <c r="U879" t="s">
        <v>2079</v>
      </c>
      <c r="W879" t="str">
        <f t="shared" si="147"/>
        <v>400929</v>
      </c>
      <c r="X879" t="s">
        <v>37</v>
      </c>
      <c r="AD879" s="2">
        <v>46225.588136574072</v>
      </c>
    </row>
    <row r="880" spans="1:30" x14ac:dyDescent="0.35">
      <c r="A880" t="s">
        <v>2182</v>
      </c>
      <c r="B880" t="s">
        <v>31</v>
      </c>
      <c r="C880" t="s">
        <v>2820</v>
      </c>
      <c r="D880" t="s">
        <v>33</v>
      </c>
      <c r="E880" t="str">
        <f t="shared" si="144"/>
        <v>400929</v>
      </c>
      <c r="F880" t="s">
        <v>983</v>
      </c>
      <c r="G880">
        <v>24</v>
      </c>
      <c r="H880">
        <v>0</v>
      </c>
      <c r="I880" t="s">
        <v>2821</v>
      </c>
      <c r="J880" t="str">
        <f t="shared" si="145"/>
        <v>153000461</v>
      </c>
      <c r="K880" s="1">
        <v>48043</v>
      </c>
      <c r="M880" s="1">
        <v>46218</v>
      </c>
      <c r="N880" t="str">
        <f t="shared" si="146"/>
        <v>1329001976</v>
      </c>
      <c r="O880">
        <v>24</v>
      </c>
      <c r="P880" s="2">
        <v>46225.553368055553</v>
      </c>
      <c r="Q880" s="2">
        <v>46225.590416666666</v>
      </c>
      <c r="R880" s="2">
        <v>46225.553368055553</v>
      </c>
      <c r="S880">
        <v>0</v>
      </c>
      <c r="T880" t="s">
        <v>2079</v>
      </c>
      <c r="U880" t="s">
        <v>2079</v>
      </c>
      <c r="W880" t="str">
        <f t="shared" si="147"/>
        <v>400929</v>
      </c>
      <c r="X880" t="s">
        <v>37</v>
      </c>
      <c r="AD880" s="2">
        <v>46225.590416666666</v>
      </c>
    </row>
    <row r="881" spans="1:30" x14ac:dyDescent="0.35">
      <c r="A881" t="s">
        <v>2182</v>
      </c>
      <c r="B881" t="s">
        <v>31</v>
      </c>
      <c r="C881" t="s">
        <v>2822</v>
      </c>
      <c r="D881" t="s">
        <v>33</v>
      </c>
      <c r="E881" t="str">
        <f t="shared" si="144"/>
        <v>400929</v>
      </c>
      <c r="F881" t="s">
        <v>983</v>
      </c>
      <c r="G881">
        <v>24</v>
      </c>
      <c r="H881">
        <v>0</v>
      </c>
      <c r="I881" t="s">
        <v>2823</v>
      </c>
      <c r="J881" t="str">
        <f t="shared" si="145"/>
        <v>153000461</v>
      </c>
      <c r="K881" s="1">
        <v>48043</v>
      </c>
      <c r="M881" s="1">
        <v>46218</v>
      </c>
      <c r="N881" t="str">
        <f t="shared" si="146"/>
        <v>1329001976</v>
      </c>
      <c r="O881">
        <v>24</v>
      </c>
      <c r="P881" s="2">
        <v>46225.553703703707</v>
      </c>
      <c r="Q881" s="2">
        <v>46225.59578703704</v>
      </c>
      <c r="R881" s="2">
        <v>46225.553703703707</v>
      </c>
      <c r="S881">
        <v>0</v>
      </c>
      <c r="T881" t="s">
        <v>2079</v>
      </c>
      <c r="U881" t="s">
        <v>2079</v>
      </c>
      <c r="W881" t="str">
        <f t="shared" si="147"/>
        <v>400929</v>
      </c>
      <c r="X881" t="s">
        <v>37</v>
      </c>
      <c r="AD881" s="2">
        <v>46225.59578703704</v>
      </c>
    </row>
    <row r="882" spans="1:30" x14ac:dyDescent="0.35">
      <c r="A882" t="s">
        <v>2182</v>
      </c>
      <c r="B882" t="s">
        <v>31</v>
      </c>
      <c r="C882" t="s">
        <v>2824</v>
      </c>
      <c r="D882" t="s">
        <v>33</v>
      </c>
      <c r="E882" t="str">
        <f t="shared" si="144"/>
        <v>400929</v>
      </c>
      <c r="F882" t="s">
        <v>983</v>
      </c>
      <c r="G882">
        <v>24</v>
      </c>
      <c r="H882">
        <v>0</v>
      </c>
      <c r="I882" t="s">
        <v>2825</v>
      </c>
      <c r="J882" t="str">
        <f t="shared" si="145"/>
        <v>153000461</v>
      </c>
      <c r="K882" s="1">
        <v>48043</v>
      </c>
      <c r="M882" s="1">
        <v>46218</v>
      </c>
      <c r="N882" t="str">
        <f t="shared" si="146"/>
        <v>1329001976</v>
      </c>
      <c r="O882">
        <v>24</v>
      </c>
      <c r="P882" s="2">
        <v>46225.553935185184</v>
      </c>
      <c r="Q882" s="2">
        <v>46225.598344907405</v>
      </c>
      <c r="R882" s="2">
        <v>46225.553935185184</v>
      </c>
      <c r="S882">
        <v>0</v>
      </c>
      <c r="T882" t="s">
        <v>2079</v>
      </c>
      <c r="U882" t="s">
        <v>2079</v>
      </c>
      <c r="W882" t="str">
        <f t="shared" si="147"/>
        <v>400929</v>
      </c>
      <c r="X882" t="s">
        <v>37</v>
      </c>
      <c r="AD882" s="2">
        <v>46225.598344907405</v>
      </c>
    </row>
    <row r="883" spans="1:30" x14ac:dyDescent="0.35">
      <c r="A883" t="s">
        <v>2182</v>
      </c>
      <c r="B883" t="s">
        <v>31</v>
      </c>
      <c r="C883" t="s">
        <v>2826</v>
      </c>
      <c r="D883" t="s">
        <v>33</v>
      </c>
      <c r="E883" t="str">
        <f>"400904"</f>
        <v>400904</v>
      </c>
      <c r="F883" t="s">
        <v>167</v>
      </c>
      <c r="G883">
        <v>4</v>
      </c>
      <c r="H883">
        <v>0</v>
      </c>
      <c r="I883" t="s">
        <v>2508</v>
      </c>
      <c r="J883" t="str">
        <f>"400004602"</f>
        <v>400004602</v>
      </c>
      <c r="K883" s="1">
        <v>48033</v>
      </c>
      <c r="M883" s="1">
        <v>46208</v>
      </c>
      <c r="N883" t="str">
        <f>"1329001960"</f>
        <v>1329001960</v>
      </c>
      <c r="O883">
        <v>4</v>
      </c>
      <c r="P883" s="2">
        <v>46222.44295138889</v>
      </c>
      <c r="Q883" s="2">
        <v>46225.599629629629</v>
      </c>
      <c r="R883" s="2">
        <v>46222.44295138889</v>
      </c>
      <c r="S883">
        <v>0</v>
      </c>
      <c r="T883" t="s">
        <v>2079</v>
      </c>
      <c r="U883" t="s">
        <v>2079</v>
      </c>
      <c r="W883" t="str">
        <f>"400904"</f>
        <v>400904</v>
      </c>
      <c r="X883" t="s">
        <v>41</v>
      </c>
      <c r="AD883" s="2">
        <v>46225.599629629629</v>
      </c>
    </row>
    <row r="884" spans="1:30" x14ac:dyDescent="0.35">
      <c r="A884" t="s">
        <v>2182</v>
      </c>
      <c r="B884" t="s">
        <v>31</v>
      </c>
      <c r="C884" t="s">
        <v>2827</v>
      </c>
      <c r="D884" t="s">
        <v>33</v>
      </c>
      <c r="E884" t="str">
        <f>"400904"</f>
        <v>400904</v>
      </c>
      <c r="F884" t="s">
        <v>167</v>
      </c>
      <c r="G884">
        <v>4</v>
      </c>
      <c r="H884">
        <v>0</v>
      </c>
      <c r="I884" t="s">
        <v>2509</v>
      </c>
      <c r="J884" t="str">
        <f>"400004603"</f>
        <v>400004603</v>
      </c>
      <c r="K884" s="1">
        <v>48034</v>
      </c>
      <c r="M884" s="1">
        <v>46209</v>
      </c>
      <c r="N884" t="str">
        <f>"1329001960"</f>
        <v>1329001960</v>
      </c>
      <c r="O884">
        <v>4</v>
      </c>
      <c r="P884" s="2">
        <v>46222.444062499999</v>
      </c>
      <c r="Q884" s="2">
        <v>46225.601539351854</v>
      </c>
      <c r="R884" s="2">
        <v>46222.444062499999</v>
      </c>
      <c r="S884">
        <v>0</v>
      </c>
      <c r="T884" t="s">
        <v>2079</v>
      </c>
      <c r="U884" t="s">
        <v>2079</v>
      </c>
      <c r="W884" t="str">
        <f>"400904"</f>
        <v>400904</v>
      </c>
      <c r="X884" t="s">
        <v>41</v>
      </c>
      <c r="AD884" s="2">
        <v>46225.601539351854</v>
      </c>
    </row>
    <row r="885" spans="1:30" x14ac:dyDescent="0.35">
      <c r="A885" t="s">
        <v>2182</v>
      </c>
      <c r="B885" t="s">
        <v>31</v>
      </c>
      <c r="C885" t="s">
        <v>2828</v>
      </c>
      <c r="D885" t="s">
        <v>33</v>
      </c>
      <c r="E885" t="str">
        <f>"400904"</f>
        <v>400904</v>
      </c>
      <c r="F885" t="s">
        <v>167</v>
      </c>
      <c r="G885">
        <v>4</v>
      </c>
      <c r="H885">
        <v>0</v>
      </c>
      <c r="I885" t="s">
        <v>2507</v>
      </c>
      <c r="J885" t="str">
        <f>"400004603"</f>
        <v>400004603</v>
      </c>
      <c r="K885" s="1">
        <v>48034</v>
      </c>
      <c r="M885" s="1">
        <v>46209</v>
      </c>
      <c r="N885" t="str">
        <f>"1329001960"</f>
        <v>1329001960</v>
      </c>
      <c r="O885">
        <v>4</v>
      </c>
      <c r="P885" s="2">
        <v>46222.444432870368</v>
      </c>
      <c r="Q885" s="2">
        <v>46225.602743055555</v>
      </c>
      <c r="R885" s="2">
        <v>46222.444432870368</v>
      </c>
      <c r="S885">
        <v>0</v>
      </c>
      <c r="T885" t="s">
        <v>2079</v>
      </c>
      <c r="U885" t="s">
        <v>2079</v>
      </c>
      <c r="W885" t="str">
        <f>"400904"</f>
        <v>400904</v>
      </c>
      <c r="X885" t="s">
        <v>41</v>
      </c>
      <c r="AD885" s="2">
        <v>46225.602743055555</v>
      </c>
    </row>
    <row r="886" spans="1:30" x14ac:dyDescent="0.35">
      <c r="A886" t="s">
        <v>2182</v>
      </c>
      <c r="B886" t="s">
        <v>31</v>
      </c>
      <c r="C886" t="s">
        <v>2829</v>
      </c>
      <c r="D886" t="s">
        <v>33</v>
      </c>
      <c r="E886" t="str">
        <f>"400904"</f>
        <v>400904</v>
      </c>
      <c r="F886" t="s">
        <v>167</v>
      </c>
      <c r="G886">
        <v>4</v>
      </c>
      <c r="H886">
        <v>0</v>
      </c>
      <c r="I886" t="s">
        <v>2510</v>
      </c>
      <c r="J886" t="str">
        <f>"400004603"</f>
        <v>400004603</v>
      </c>
      <c r="K886" s="1">
        <v>48034</v>
      </c>
      <c r="M886" s="1">
        <v>46209</v>
      </c>
      <c r="N886" t="str">
        <f>"1329001960"</f>
        <v>1329001960</v>
      </c>
      <c r="O886">
        <v>4</v>
      </c>
      <c r="P886" s="2">
        <v>46222.444756944446</v>
      </c>
      <c r="Q886" s="2">
        <v>46225.603726851848</v>
      </c>
      <c r="R886" s="2">
        <v>46222.444756944446</v>
      </c>
      <c r="S886">
        <v>0</v>
      </c>
      <c r="T886" t="s">
        <v>2079</v>
      </c>
      <c r="U886" t="s">
        <v>2079</v>
      </c>
      <c r="W886" t="str">
        <f>"400904"</f>
        <v>400904</v>
      </c>
      <c r="X886" t="s">
        <v>41</v>
      </c>
      <c r="AD886" s="2">
        <v>46225.603726851848</v>
      </c>
    </row>
    <row r="887" spans="1:30" x14ac:dyDescent="0.35">
      <c r="A887" t="s">
        <v>2182</v>
      </c>
      <c r="B887" t="s">
        <v>31</v>
      </c>
      <c r="C887" t="s">
        <v>2830</v>
      </c>
      <c r="D887" t="s">
        <v>33</v>
      </c>
      <c r="E887" t="str">
        <f>"400904"</f>
        <v>400904</v>
      </c>
      <c r="F887" t="s">
        <v>167</v>
      </c>
      <c r="G887">
        <v>4</v>
      </c>
      <c r="H887">
        <v>0</v>
      </c>
      <c r="I887" t="s">
        <v>2511</v>
      </c>
      <c r="J887" t="str">
        <f>"400004603"</f>
        <v>400004603</v>
      </c>
      <c r="K887" s="1">
        <v>48034</v>
      </c>
      <c r="M887" s="1">
        <v>46209</v>
      </c>
      <c r="N887" t="str">
        <f>"1329001960"</f>
        <v>1329001960</v>
      </c>
      <c r="O887">
        <v>4</v>
      </c>
      <c r="P887" s="2">
        <v>46222.445104166669</v>
      </c>
      <c r="Q887" s="2">
        <v>46225.604942129627</v>
      </c>
      <c r="R887" s="2">
        <v>46222.445104166669</v>
      </c>
      <c r="S887">
        <v>0</v>
      </c>
      <c r="T887" t="s">
        <v>2079</v>
      </c>
      <c r="U887" t="s">
        <v>2079</v>
      </c>
      <c r="W887" t="str">
        <f>"400904"</f>
        <v>400904</v>
      </c>
      <c r="X887" t="s">
        <v>41</v>
      </c>
      <c r="AD887" s="2">
        <v>46225.604942129627</v>
      </c>
    </row>
    <row r="888" spans="1:30" x14ac:dyDescent="0.35">
      <c r="A888" t="s">
        <v>2182</v>
      </c>
      <c r="B888" t="s">
        <v>31</v>
      </c>
      <c r="C888" t="s">
        <v>2831</v>
      </c>
      <c r="D888" t="s">
        <v>33</v>
      </c>
      <c r="E888" t="str">
        <f t="shared" ref="E888:E894" si="148">"400929"</f>
        <v>400929</v>
      </c>
      <c r="F888" t="s">
        <v>983</v>
      </c>
      <c r="G888">
        <v>24</v>
      </c>
      <c r="H888">
        <v>0</v>
      </c>
      <c r="I888" t="s">
        <v>2581</v>
      </c>
      <c r="J888" t="str">
        <f t="shared" ref="J888:J894" si="149">"153000461"</f>
        <v>153000461</v>
      </c>
      <c r="K888" s="1">
        <v>48043</v>
      </c>
      <c r="M888" s="1">
        <v>46218</v>
      </c>
      <c r="N888" t="str">
        <f t="shared" ref="N888:N894" si="150">"1329001976"</f>
        <v>1329001976</v>
      </c>
      <c r="O888">
        <v>24</v>
      </c>
      <c r="P888" s="2">
        <v>46225.554189814815</v>
      </c>
      <c r="Q888" s="2">
        <v>46225.623773148145</v>
      </c>
      <c r="R888" s="2">
        <v>46225.554189814815</v>
      </c>
      <c r="S888">
        <v>0</v>
      </c>
      <c r="T888" t="s">
        <v>2079</v>
      </c>
      <c r="U888" t="s">
        <v>2079</v>
      </c>
      <c r="W888" t="str">
        <f t="shared" ref="W888:W894" si="151">"400929"</f>
        <v>400929</v>
      </c>
      <c r="X888" t="s">
        <v>37</v>
      </c>
      <c r="AD888" s="2">
        <v>46225.623773148145</v>
      </c>
    </row>
    <row r="889" spans="1:30" x14ac:dyDescent="0.35">
      <c r="A889" t="s">
        <v>2182</v>
      </c>
      <c r="B889" t="s">
        <v>31</v>
      </c>
      <c r="C889" t="s">
        <v>2832</v>
      </c>
      <c r="D889" t="s">
        <v>33</v>
      </c>
      <c r="E889" t="str">
        <f t="shared" si="148"/>
        <v>400929</v>
      </c>
      <c r="F889" t="s">
        <v>983</v>
      </c>
      <c r="G889">
        <v>24</v>
      </c>
      <c r="H889">
        <v>0</v>
      </c>
      <c r="I889" t="s">
        <v>2580</v>
      </c>
      <c r="J889" t="str">
        <f t="shared" si="149"/>
        <v>153000461</v>
      </c>
      <c r="K889" s="1">
        <v>48043</v>
      </c>
      <c r="M889" s="1">
        <v>46218</v>
      </c>
      <c r="N889" t="str">
        <f t="shared" si="150"/>
        <v>1329001976</v>
      </c>
      <c r="O889">
        <v>24</v>
      </c>
      <c r="P889" s="2">
        <v>46225.554432870369</v>
      </c>
      <c r="Q889" s="2">
        <v>46225.625787037039</v>
      </c>
      <c r="R889" s="2">
        <v>46225.554432870369</v>
      </c>
      <c r="S889">
        <v>0</v>
      </c>
      <c r="T889" t="s">
        <v>2079</v>
      </c>
      <c r="U889" t="s">
        <v>2079</v>
      </c>
      <c r="W889" t="str">
        <f t="shared" si="151"/>
        <v>400929</v>
      </c>
      <c r="X889" t="s">
        <v>37</v>
      </c>
      <c r="AD889" s="2">
        <v>46225.625787037039</v>
      </c>
    </row>
    <row r="890" spans="1:30" x14ac:dyDescent="0.35">
      <c r="A890" t="s">
        <v>2182</v>
      </c>
      <c r="B890" t="s">
        <v>31</v>
      </c>
      <c r="C890" t="s">
        <v>2833</v>
      </c>
      <c r="D890" t="s">
        <v>33</v>
      </c>
      <c r="E890" t="str">
        <f t="shared" si="148"/>
        <v>400929</v>
      </c>
      <c r="F890" t="s">
        <v>983</v>
      </c>
      <c r="G890">
        <v>24</v>
      </c>
      <c r="H890">
        <v>0</v>
      </c>
      <c r="I890" t="s">
        <v>2579</v>
      </c>
      <c r="J890" t="str">
        <f t="shared" si="149"/>
        <v>153000461</v>
      </c>
      <c r="K890" s="1">
        <v>48043</v>
      </c>
      <c r="M890" s="1">
        <v>46218</v>
      </c>
      <c r="N890" t="str">
        <f t="shared" si="150"/>
        <v>1329001976</v>
      </c>
      <c r="O890">
        <v>24</v>
      </c>
      <c r="P890" s="2">
        <v>46225.554652777777</v>
      </c>
      <c r="Q890" s="2">
        <v>46225.627500000002</v>
      </c>
      <c r="R890" s="2">
        <v>46225.554652777777</v>
      </c>
      <c r="S890">
        <v>0</v>
      </c>
      <c r="T890" t="s">
        <v>2079</v>
      </c>
      <c r="U890" t="s">
        <v>2079</v>
      </c>
      <c r="W890" t="str">
        <f t="shared" si="151"/>
        <v>400929</v>
      </c>
      <c r="X890" t="s">
        <v>37</v>
      </c>
      <c r="AD890" s="2">
        <v>46225.627500000002</v>
      </c>
    </row>
    <row r="891" spans="1:30" x14ac:dyDescent="0.35">
      <c r="A891" t="s">
        <v>2182</v>
      </c>
      <c r="B891" t="s">
        <v>31</v>
      </c>
      <c r="C891" t="s">
        <v>2834</v>
      </c>
      <c r="D891" t="s">
        <v>33</v>
      </c>
      <c r="E891" t="str">
        <f t="shared" si="148"/>
        <v>400929</v>
      </c>
      <c r="F891" t="s">
        <v>983</v>
      </c>
      <c r="G891">
        <v>24</v>
      </c>
      <c r="H891">
        <v>0</v>
      </c>
      <c r="I891" t="s">
        <v>2578</v>
      </c>
      <c r="J891" t="str">
        <f t="shared" si="149"/>
        <v>153000461</v>
      </c>
      <c r="K891" s="1">
        <v>48043</v>
      </c>
      <c r="M891" s="1">
        <v>46218</v>
      </c>
      <c r="N891" t="str">
        <f t="shared" si="150"/>
        <v>1329001976</v>
      </c>
      <c r="O891">
        <v>24</v>
      </c>
      <c r="P891" s="2">
        <v>46225.554884259262</v>
      </c>
      <c r="Q891" s="2">
        <v>46225.628993055558</v>
      </c>
      <c r="R891" s="2">
        <v>46225.554884259262</v>
      </c>
      <c r="S891">
        <v>0</v>
      </c>
      <c r="T891" t="s">
        <v>2079</v>
      </c>
      <c r="U891" t="s">
        <v>2079</v>
      </c>
      <c r="W891" t="str">
        <f t="shared" si="151"/>
        <v>400929</v>
      </c>
      <c r="X891" t="s">
        <v>37</v>
      </c>
      <c r="AD891" s="2">
        <v>46225.628993055558</v>
      </c>
    </row>
    <row r="892" spans="1:30" x14ac:dyDescent="0.35">
      <c r="A892" t="s">
        <v>2182</v>
      </c>
      <c r="B892" t="s">
        <v>31</v>
      </c>
      <c r="C892" t="s">
        <v>2835</v>
      </c>
      <c r="D892" t="s">
        <v>33</v>
      </c>
      <c r="E892" t="str">
        <f t="shared" si="148"/>
        <v>400929</v>
      </c>
      <c r="F892" t="s">
        <v>983</v>
      </c>
      <c r="G892">
        <v>24</v>
      </c>
      <c r="H892">
        <v>0</v>
      </c>
      <c r="I892" t="s">
        <v>2536</v>
      </c>
      <c r="J892" t="str">
        <f t="shared" si="149"/>
        <v>153000461</v>
      </c>
      <c r="K892" s="1">
        <v>48043</v>
      </c>
      <c r="M892" s="1">
        <v>46218</v>
      </c>
      <c r="N892" t="str">
        <f t="shared" si="150"/>
        <v>1329001976</v>
      </c>
      <c r="O892">
        <v>24</v>
      </c>
      <c r="P892" s="2">
        <v>46225.555127314816</v>
      </c>
      <c r="Q892" s="2">
        <v>46225.629930555559</v>
      </c>
      <c r="R892" s="2">
        <v>46225.555127314816</v>
      </c>
      <c r="S892">
        <v>0</v>
      </c>
      <c r="T892" t="s">
        <v>2079</v>
      </c>
      <c r="U892" t="s">
        <v>2079</v>
      </c>
      <c r="W892" t="str">
        <f t="shared" si="151"/>
        <v>400929</v>
      </c>
      <c r="X892" t="s">
        <v>37</v>
      </c>
      <c r="AD892" s="2">
        <v>46225.629930555559</v>
      </c>
    </row>
    <row r="893" spans="1:30" x14ac:dyDescent="0.35">
      <c r="A893" t="s">
        <v>2182</v>
      </c>
      <c r="B893" t="s">
        <v>31</v>
      </c>
      <c r="C893" t="s">
        <v>2836</v>
      </c>
      <c r="D893" t="s">
        <v>33</v>
      </c>
      <c r="E893" t="str">
        <f t="shared" si="148"/>
        <v>400929</v>
      </c>
      <c r="F893" t="s">
        <v>983</v>
      </c>
      <c r="G893">
        <v>24</v>
      </c>
      <c r="H893">
        <v>0</v>
      </c>
      <c r="I893" t="s">
        <v>2535</v>
      </c>
      <c r="J893" t="str">
        <f t="shared" si="149"/>
        <v>153000461</v>
      </c>
      <c r="K893" s="1">
        <v>48043</v>
      </c>
      <c r="M893" s="1">
        <v>46218</v>
      </c>
      <c r="N893" t="str">
        <f t="shared" si="150"/>
        <v>1329001976</v>
      </c>
      <c r="O893">
        <v>24</v>
      </c>
      <c r="P893" s="2">
        <v>46225.555347222224</v>
      </c>
      <c r="Q893" s="2">
        <v>46225.633310185185</v>
      </c>
      <c r="R893" s="2">
        <v>46225.555347222224</v>
      </c>
      <c r="S893">
        <v>0</v>
      </c>
      <c r="T893" t="s">
        <v>2079</v>
      </c>
      <c r="U893" t="s">
        <v>2079</v>
      </c>
      <c r="W893" t="str">
        <f t="shared" si="151"/>
        <v>400929</v>
      </c>
      <c r="X893" t="s">
        <v>37</v>
      </c>
      <c r="AD893" s="2">
        <v>46225.633310185185</v>
      </c>
    </row>
    <row r="894" spans="1:30" x14ac:dyDescent="0.35">
      <c r="A894" t="s">
        <v>2182</v>
      </c>
      <c r="B894" t="s">
        <v>31</v>
      </c>
      <c r="C894" t="s">
        <v>2837</v>
      </c>
      <c r="D894" t="s">
        <v>33</v>
      </c>
      <c r="E894" t="str">
        <f t="shared" si="148"/>
        <v>400929</v>
      </c>
      <c r="F894" t="s">
        <v>983</v>
      </c>
      <c r="G894">
        <v>24</v>
      </c>
      <c r="H894">
        <v>0</v>
      </c>
      <c r="I894" t="s">
        <v>2534</v>
      </c>
      <c r="J894" t="str">
        <f t="shared" si="149"/>
        <v>153000461</v>
      </c>
      <c r="K894" s="1">
        <v>48043</v>
      </c>
      <c r="M894" s="1">
        <v>46218</v>
      </c>
      <c r="N894" t="str">
        <f t="shared" si="150"/>
        <v>1329001976</v>
      </c>
      <c r="O894">
        <v>24</v>
      </c>
      <c r="P894" s="2">
        <v>46225.555601851855</v>
      </c>
      <c r="Q894" s="2">
        <v>46225.635150462964</v>
      </c>
      <c r="R894" s="2">
        <v>46225.555601851855</v>
      </c>
      <c r="S894">
        <v>0</v>
      </c>
      <c r="T894" t="s">
        <v>2079</v>
      </c>
      <c r="U894" t="s">
        <v>2079</v>
      </c>
      <c r="W894" t="str">
        <f t="shared" si="151"/>
        <v>400929</v>
      </c>
      <c r="X894" t="s">
        <v>37</v>
      </c>
      <c r="AD894" s="2">
        <v>46225.635150462964</v>
      </c>
    </row>
    <row r="895" spans="1:30" x14ac:dyDescent="0.35">
      <c r="A895" t="s">
        <v>2182</v>
      </c>
      <c r="B895" t="s">
        <v>31</v>
      </c>
      <c r="C895" t="s">
        <v>2838</v>
      </c>
      <c r="D895" t="s">
        <v>33</v>
      </c>
      <c r="E895" t="str">
        <f t="shared" ref="E895:E907" si="152">"400441"</f>
        <v>400441</v>
      </c>
      <c r="F895" t="s">
        <v>65</v>
      </c>
      <c r="G895">
        <v>4</v>
      </c>
      <c r="H895">
        <v>0</v>
      </c>
      <c r="I895" t="s">
        <v>2500</v>
      </c>
      <c r="J895" t="str">
        <f t="shared" ref="J895:J907" si="153">"153000408"</f>
        <v>153000408</v>
      </c>
      <c r="K895" s="1">
        <v>48020</v>
      </c>
      <c r="M895" s="1">
        <v>46195</v>
      </c>
      <c r="N895" t="str">
        <f t="shared" ref="N895:N907" si="154">"1329001975"</f>
        <v>1329001975</v>
      </c>
      <c r="O895">
        <v>4</v>
      </c>
      <c r="P895" s="2">
        <v>46225.650891203702</v>
      </c>
      <c r="Q895" s="2">
        <v>46226.553437499999</v>
      </c>
      <c r="R895" s="2">
        <v>46225.650891203702</v>
      </c>
      <c r="S895">
        <v>0</v>
      </c>
      <c r="T895" t="s">
        <v>2079</v>
      </c>
      <c r="U895" t="s">
        <v>2079</v>
      </c>
      <c r="W895" t="str">
        <f t="shared" ref="W895:W907" si="155">"400441"</f>
        <v>400441</v>
      </c>
      <c r="X895" t="s">
        <v>41</v>
      </c>
      <c r="AD895" s="2">
        <v>46226.553437499999</v>
      </c>
    </row>
    <row r="896" spans="1:30" x14ac:dyDescent="0.35">
      <c r="A896" t="s">
        <v>2182</v>
      </c>
      <c r="B896" t="s">
        <v>31</v>
      </c>
      <c r="C896" t="s">
        <v>2839</v>
      </c>
      <c r="D896" t="s">
        <v>33</v>
      </c>
      <c r="E896" t="str">
        <f t="shared" si="152"/>
        <v>400441</v>
      </c>
      <c r="F896" t="s">
        <v>65</v>
      </c>
      <c r="G896">
        <v>4</v>
      </c>
      <c r="H896">
        <v>0</v>
      </c>
      <c r="I896" t="s">
        <v>2498</v>
      </c>
      <c r="J896" t="str">
        <f t="shared" si="153"/>
        <v>153000408</v>
      </c>
      <c r="K896" s="1">
        <v>48020</v>
      </c>
      <c r="M896" s="1">
        <v>46195</v>
      </c>
      <c r="N896" t="str">
        <f t="shared" si="154"/>
        <v>1329001975</v>
      </c>
      <c r="O896">
        <v>4</v>
      </c>
      <c r="P896" s="2">
        <v>46225.65115740741</v>
      </c>
      <c r="Q896" s="2">
        <v>46226.559432870374</v>
      </c>
      <c r="R896" s="2">
        <v>46225.65115740741</v>
      </c>
      <c r="S896">
        <v>0</v>
      </c>
      <c r="T896" t="s">
        <v>2079</v>
      </c>
      <c r="U896" t="s">
        <v>2079</v>
      </c>
      <c r="W896" t="str">
        <f t="shared" si="155"/>
        <v>400441</v>
      </c>
      <c r="X896" t="s">
        <v>41</v>
      </c>
      <c r="AD896" s="2">
        <v>46226.559432870374</v>
      </c>
    </row>
    <row r="897" spans="1:30" x14ac:dyDescent="0.35">
      <c r="A897" t="s">
        <v>2182</v>
      </c>
      <c r="B897" t="s">
        <v>31</v>
      </c>
      <c r="C897" t="s">
        <v>2840</v>
      </c>
      <c r="D897" t="s">
        <v>33</v>
      </c>
      <c r="E897" t="str">
        <f t="shared" si="152"/>
        <v>400441</v>
      </c>
      <c r="F897" t="s">
        <v>65</v>
      </c>
      <c r="G897">
        <v>4</v>
      </c>
      <c r="H897">
        <v>0</v>
      </c>
      <c r="I897" t="s">
        <v>2497</v>
      </c>
      <c r="J897" t="str">
        <f t="shared" si="153"/>
        <v>153000408</v>
      </c>
      <c r="K897" s="1">
        <v>48020</v>
      </c>
      <c r="M897" s="1">
        <v>46195</v>
      </c>
      <c r="N897" t="str">
        <f t="shared" si="154"/>
        <v>1329001975</v>
      </c>
      <c r="O897">
        <v>4</v>
      </c>
      <c r="P897" s="2">
        <v>46225.651712962965</v>
      </c>
      <c r="Q897" s="2">
        <v>46226.561168981483</v>
      </c>
      <c r="R897" s="2">
        <v>46225.651712962965</v>
      </c>
      <c r="S897">
        <v>0</v>
      </c>
      <c r="T897" t="s">
        <v>2079</v>
      </c>
      <c r="U897" t="s">
        <v>2079</v>
      </c>
      <c r="W897" t="str">
        <f t="shared" si="155"/>
        <v>400441</v>
      </c>
      <c r="X897" t="s">
        <v>41</v>
      </c>
      <c r="AD897" s="2">
        <v>46226.561168981483</v>
      </c>
    </row>
    <row r="898" spans="1:30" x14ac:dyDescent="0.35">
      <c r="A898" t="s">
        <v>2182</v>
      </c>
      <c r="B898" t="s">
        <v>31</v>
      </c>
      <c r="C898" t="s">
        <v>2841</v>
      </c>
      <c r="D898" t="s">
        <v>33</v>
      </c>
      <c r="E898" t="str">
        <f t="shared" si="152"/>
        <v>400441</v>
      </c>
      <c r="F898" t="s">
        <v>65</v>
      </c>
      <c r="G898">
        <v>4</v>
      </c>
      <c r="H898">
        <v>0</v>
      </c>
      <c r="I898" t="s">
        <v>2502</v>
      </c>
      <c r="J898" t="str">
        <f t="shared" si="153"/>
        <v>153000408</v>
      </c>
      <c r="K898" s="1">
        <v>48020</v>
      </c>
      <c r="M898" s="1">
        <v>46195</v>
      </c>
      <c r="N898" t="str">
        <f t="shared" si="154"/>
        <v>1329001975</v>
      </c>
      <c r="O898">
        <v>4</v>
      </c>
      <c r="P898" s="2">
        <v>46225.651967592596</v>
      </c>
      <c r="Q898" s="2">
        <v>46226.563368055555</v>
      </c>
      <c r="R898" s="2">
        <v>46225.651967592596</v>
      </c>
      <c r="S898">
        <v>0</v>
      </c>
      <c r="T898" t="s">
        <v>2079</v>
      </c>
      <c r="U898" t="s">
        <v>2079</v>
      </c>
      <c r="W898" t="str">
        <f t="shared" si="155"/>
        <v>400441</v>
      </c>
      <c r="X898" t="s">
        <v>41</v>
      </c>
      <c r="AD898" s="2">
        <v>46226.563368055555</v>
      </c>
    </row>
    <row r="899" spans="1:30" x14ac:dyDescent="0.35">
      <c r="A899" t="s">
        <v>2182</v>
      </c>
      <c r="B899" t="s">
        <v>31</v>
      </c>
      <c r="C899" t="s">
        <v>2842</v>
      </c>
      <c r="D899" t="s">
        <v>33</v>
      </c>
      <c r="E899" t="str">
        <f t="shared" si="152"/>
        <v>400441</v>
      </c>
      <c r="F899" t="s">
        <v>65</v>
      </c>
      <c r="G899">
        <v>4</v>
      </c>
      <c r="H899">
        <v>0</v>
      </c>
      <c r="I899" t="s">
        <v>2496</v>
      </c>
      <c r="J899" t="str">
        <f t="shared" si="153"/>
        <v>153000408</v>
      </c>
      <c r="K899" s="1">
        <v>48020</v>
      </c>
      <c r="M899" s="1">
        <v>46195</v>
      </c>
      <c r="N899" t="str">
        <f t="shared" si="154"/>
        <v>1329001975</v>
      </c>
      <c r="O899">
        <v>4</v>
      </c>
      <c r="P899" s="2">
        <v>46225.652291666665</v>
      </c>
      <c r="Q899" s="2">
        <v>46226.565196759257</v>
      </c>
      <c r="R899" s="2">
        <v>46225.652291666665</v>
      </c>
      <c r="S899">
        <v>0</v>
      </c>
      <c r="T899" t="s">
        <v>2079</v>
      </c>
      <c r="U899" t="s">
        <v>2079</v>
      </c>
      <c r="W899" t="str">
        <f t="shared" si="155"/>
        <v>400441</v>
      </c>
      <c r="X899" t="s">
        <v>41</v>
      </c>
      <c r="AD899" s="2">
        <v>46226.565196759257</v>
      </c>
    </row>
    <row r="900" spans="1:30" x14ac:dyDescent="0.35">
      <c r="A900" t="s">
        <v>2182</v>
      </c>
      <c r="B900" t="s">
        <v>31</v>
      </c>
      <c r="C900" t="s">
        <v>2843</v>
      </c>
      <c r="D900" t="s">
        <v>33</v>
      </c>
      <c r="E900" t="str">
        <f t="shared" si="152"/>
        <v>400441</v>
      </c>
      <c r="F900" t="s">
        <v>65</v>
      </c>
      <c r="G900">
        <v>4</v>
      </c>
      <c r="H900">
        <v>0</v>
      </c>
      <c r="I900" t="s">
        <v>2499</v>
      </c>
      <c r="J900" t="str">
        <f t="shared" si="153"/>
        <v>153000408</v>
      </c>
      <c r="K900" s="1">
        <v>48020</v>
      </c>
      <c r="M900" s="1">
        <v>46195</v>
      </c>
      <c r="N900" t="str">
        <f t="shared" si="154"/>
        <v>1329001975</v>
      </c>
      <c r="O900">
        <v>4</v>
      </c>
      <c r="P900" s="2">
        <v>46225.65252314815</v>
      </c>
      <c r="Q900" s="2">
        <v>46226.566689814812</v>
      </c>
      <c r="R900" s="2">
        <v>46225.65252314815</v>
      </c>
      <c r="S900">
        <v>0</v>
      </c>
      <c r="T900" t="s">
        <v>2079</v>
      </c>
      <c r="U900" t="s">
        <v>2079</v>
      </c>
      <c r="W900" t="str">
        <f t="shared" si="155"/>
        <v>400441</v>
      </c>
      <c r="X900" t="s">
        <v>41</v>
      </c>
      <c r="AD900" s="2">
        <v>46226.566689814812</v>
      </c>
    </row>
    <row r="901" spans="1:30" x14ac:dyDescent="0.35">
      <c r="A901" t="s">
        <v>2182</v>
      </c>
      <c r="B901" t="s">
        <v>31</v>
      </c>
      <c r="C901" t="s">
        <v>2844</v>
      </c>
      <c r="D901" t="s">
        <v>33</v>
      </c>
      <c r="E901" t="str">
        <f t="shared" si="152"/>
        <v>400441</v>
      </c>
      <c r="F901" t="s">
        <v>65</v>
      </c>
      <c r="G901">
        <v>4</v>
      </c>
      <c r="H901">
        <v>0</v>
      </c>
      <c r="I901" t="s">
        <v>2501</v>
      </c>
      <c r="J901" t="str">
        <f t="shared" si="153"/>
        <v>153000408</v>
      </c>
      <c r="K901" s="1">
        <v>48020</v>
      </c>
      <c r="M901" s="1">
        <v>46195</v>
      </c>
      <c r="N901" t="str">
        <f t="shared" si="154"/>
        <v>1329001975</v>
      </c>
      <c r="O901">
        <v>4</v>
      </c>
      <c r="P901" s="2">
        <v>46225.654097222221</v>
      </c>
      <c r="Q901" s="2">
        <v>46226.572384259256</v>
      </c>
      <c r="R901" s="2">
        <v>46225.654097222221</v>
      </c>
      <c r="S901">
        <v>0</v>
      </c>
      <c r="T901" t="s">
        <v>2079</v>
      </c>
      <c r="U901" t="s">
        <v>2079</v>
      </c>
      <c r="W901" t="str">
        <f t="shared" si="155"/>
        <v>400441</v>
      </c>
      <c r="X901" t="s">
        <v>41</v>
      </c>
      <c r="AD901" s="2">
        <v>46226.572384259256</v>
      </c>
    </row>
    <row r="902" spans="1:30" x14ac:dyDescent="0.35">
      <c r="A902" t="s">
        <v>2182</v>
      </c>
      <c r="B902" t="s">
        <v>31</v>
      </c>
      <c r="C902" t="s">
        <v>2845</v>
      </c>
      <c r="D902" t="s">
        <v>33</v>
      </c>
      <c r="E902" t="str">
        <f t="shared" si="152"/>
        <v>400441</v>
      </c>
      <c r="F902" t="s">
        <v>65</v>
      </c>
      <c r="G902">
        <v>4</v>
      </c>
      <c r="H902">
        <v>0</v>
      </c>
      <c r="I902" t="s">
        <v>2495</v>
      </c>
      <c r="J902" t="str">
        <f t="shared" si="153"/>
        <v>153000408</v>
      </c>
      <c r="K902" s="1">
        <v>48020</v>
      </c>
      <c r="M902" s="1">
        <v>46195</v>
      </c>
      <c r="N902" t="str">
        <f t="shared" si="154"/>
        <v>1329001975</v>
      </c>
      <c r="O902">
        <v>4</v>
      </c>
      <c r="P902" s="2">
        <v>46225.652719907404</v>
      </c>
      <c r="Q902" s="2">
        <v>46226.57267361111</v>
      </c>
      <c r="R902" s="2">
        <v>46225.652719907404</v>
      </c>
      <c r="S902">
        <v>0</v>
      </c>
      <c r="T902" t="s">
        <v>2079</v>
      </c>
      <c r="U902" t="s">
        <v>2079</v>
      </c>
      <c r="W902" t="str">
        <f t="shared" si="155"/>
        <v>400441</v>
      </c>
      <c r="X902" t="s">
        <v>41</v>
      </c>
      <c r="AD902" s="2">
        <v>46226.57267361111</v>
      </c>
    </row>
    <row r="903" spans="1:30" x14ac:dyDescent="0.35">
      <c r="A903" t="s">
        <v>2182</v>
      </c>
      <c r="B903" t="s">
        <v>31</v>
      </c>
      <c r="C903" t="s">
        <v>2846</v>
      </c>
      <c r="D903" t="s">
        <v>33</v>
      </c>
      <c r="E903" t="str">
        <f t="shared" si="152"/>
        <v>400441</v>
      </c>
      <c r="F903" t="s">
        <v>65</v>
      </c>
      <c r="G903">
        <v>4</v>
      </c>
      <c r="H903">
        <v>0</v>
      </c>
      <c r="I903" t="s">
        <v>2490</v>
      </c>
      <c r="J903" t="str">
        <f t="shared" si="153"/>
        <v>153000408</v>
      </c>
      <c r="K903" s="1">
        <v>48020</v>
      </c>
      <c r="M903" s="1">
        <v>46195</v>
      </c>
      <c r="N903" t="str">
        <f t="shared" si="154"/>
        <v>1329001975</v>
      </c>
      <c r="O903">
        <v>4</v>
      </c>
      <c r="P903" s="2">
        <v>46225.653877314813</v>
      </c>
      <c r="Q903" s="2">
        <v>46226.574502314812</v>
      </c>
      <c r="R903" s="2">
        <v>46225.653877314813</v>
      </c>
      <c r="S903">
        <v>0</v>
      </c>
      <c r="T903" t="s">
        <v>2079</v>
      </c>
      <c r="U903" t="s">
        <v>2079</v>
      </c>
      <c r="W903" t="str">
        <f t="shared" si="155"/>
        <v>400441</v>
      </c>
      <c r="X903" t="s">
        <v>41</v>
      </c>
      <c r="AD903" s="2">
        <v>46226.574502314812</v>
      </c>
    </row>
    <row r="904" spans="1:30" x14ac:dyDescent="0.35">
      <c r="A904" t="s">
        <v>2182</v>
      </c>
      <c r="B904" t="s">
        <v>31</v>
      </c>
      <c r="C904" t="s">
        <v>2847</v>
      </c>
      <c r="D904" t="s">
        <v>33</v>
      </c>
      <c r="E904" t="str">
        <f t="shared" si="152"/>
        <v>400441</v>
      </c>
      <c r="F904" t="s">
        <v>65</v>
      </c>
      <c r="G904">
        <v>4</v>
      </c>
      <c r="H904">
        <v>0</v>
      </c>
      <c r="I904" t="s">
        <v>2491</v>
      </c>
      <c r="J904" t="str">
        <f t="shared" si="153"/>
        <v>153000408</v>
      </c>
      <c r="K904" s="1">
        <v>48020</v>
      </c>
      <c r="M904" s="1">
        <v>46195</v>
      </c>
      <c r="N904" t="str">
        <f t="shared" si="154"/>
        <v>1329001975</v>
      </c>
      <c r="O904">
        <v>4</v>
      </c>
      <c r="P904" s="2">
        <v>46225.653680555559</v>
      </c>
      <c r="Q904" s="2">
        <v>46226.576122685183</v>
      </c>
      <c r="R904" s="2">
        <v>46225.653680555559</v>
      </c>
      <c r="S904">
        <v>0</v>
      </c>
      <c r="T904" t="s">
        <v>2079</v>
      </c>
      <c r="U904" t="s">
        <v>2079</v>
      </c>
      <c r="W904" t="str">
        <f t="shared" si="155"/>
        <v>400441</v>
      </c>
      <c r="X904" t="s">
        <v>41</v>
      </c>
      <c r="AD904" s="2">
        <v>46226.576122685183</v>
      </c>
    </row>
    <row r="905" spans="1:30" x14ac:dyDescent="0.35">
      <c r="A905" t="s">
        <v>2182</v>
      </c>
      <c r="B905" t="s">
        <v>31</v>
      </c>
      <c r="C905" t="s">
        <v>2848</v>
      </c>
      <c r="D905" t="s">
        <v>33</v>
      </c>
      <c r="E905" t="str">
        <f t="shared" si="152"/>
        <v>400441</v>
      </c>
      <c r="F905" t="s">
        <v>65</v>
      </c>
      <c r="G905">
        <v>4</v>
      </c>
      <c r="H905">
        <v>0</v>
      </c>
      <c r="I905" t="s">
        <v>2494</v>
      </c>
      <c r="J905" t="str">
        <f t="shared" si="153"/>
        <v>153000408</v>
      </c>
      <c r="K905" s="1">
        <v>48020</v>
      </c>
      <c r="M905" s="1">
        <v>46195</v>
      </c>
      <c r="N905" t="str">
        <f t="shared" si="154"/>
        <v>1329001975</v>
      </c>
      <c r="O905">
        <v>4</v>
      </c>
      <c r="P905" s="2">
        <v>46225.653425925928</v>
      </c>
      <c r="Q905" s="2">
        <v>46226.577662037038</v>
      </c>
      <c r="R905" s="2">
        <v>46225.653425925928</v>
      </c>
      <c r="S905">
        <v>0</v>
      </c>
      <c r="T905" t="s">
        <v>2079</v>
      </c>
      <c r="U905" t="s">
        <v>2079</v>
      </c>
      <c r="W905" t="str">
        <f t="shared" si="155"/>
        <v>400441</v>
      </c>
      <c r="X905" t="s">
        <v>41</v>
      </c>
      <c r="AD905" s="2">
        <v>46226.577662037038</v>
      </c>
    </row>
    <row r="906" spans="1:30" x14ac:dyDescent="0.35">
      <c r="A906" t="s">
        <v>2182</v>
      </c>
      <c r="B906" t="s">
        <v>31</v>
      </c>
      <c r="C906" t="s">
        <v>2849</v>
      </c>
      <c r="D906" t="s">
        <v>33</v>
      </c>
      <c r="E906" t="str">
        <f t="shared" si="152"/>
        <v>400441</v>
      </c>
      <c r="F906" t="s">
        <v>65</v>
      </c>
      <c r="G906">
        <v>4</v>
      </c>
      <c r="H906">
        <v>0</v>
      </c>
      <c r="I906" t="s">
        <v>2493</v>
      </c>
      <c r="J906" t="str">
        <f t="shared" si="153"/>
        <v>153000408</v>
      </c>
      <c r="K906" s="1">
        <v>48020</v>
      </c>
      <c r="M906" s="1">
        <v>46195</v>
      </c>
      <c r="N906" t="str">
        <f t="shared" si="154"/>
        <v>1329001975</v>
      </c>
      <c r="O906">
        <v>4</v>
      </c>
      <c r="P906" s="2">
        <v>46225.653217592589</v>
      </c>
      <c r="Q906" s="2">
        <v>46226.578738425924</v>
      </c>
      <c r="R906" s="2">
        <v>46225.653217592589</v>
      </c>
      <c r="S906">
        <v>0</v>
      </c>
      <c r="T906" t="s">
        <v>2079</v>
      </c>
      <c r="U906" t="s">
        <v>2079</v>
      </c>
      <c r="W906" t="str">
        <f t="shared" si="155"/>
        <v>400441</v>
      </c>
      <c r="X906" t="s">
        <v>41</v>
      </c>
      <c r="AD906" s="2">
        <v>46226.578738425924</v>
      </c>
    </row>
    <row r="907" spans="1:30" x14ac:dyDescent="0.35">
      <c r="A907" t="s">
        <v>2182</v>
      </c>
      <c r="B907" t="s">
        <v>31</v>
      </c>
      <c r="C907" t="s">
        <v>2850</v>
      </c>
      <c r="D907" t="s">
        <v>33</v>
      </c>
      <c r="E907" t="str">
        <f t="shared" si="152"/>
        <v>400441</v>
      </c>
      <c r="F907" t="s">
        <v>65</v>
      </c>
      <c r="G907">
        <v>4</v>
      </c>
      <c r="H907">
        <v>0</v>
      </c>
      <c r="I907" t="s">
        <v>2492</v>
      </c>
      <c r="J907" t="str">
        <f t="shared" si="153"/>
        <v>153000408</v>
      </c>
      <c r="K907" s="1">
        <v>48020</v>
      </c>
      <c r="M907" s="1">
        <v>46195</v>
      </c>
      <c r="N907" t="str">
        <f t="shared" si="154"/>
        <v>1329001975</v>
      </c>
      <c r="O907">
        <v>4</v>
      </c>
      <c r="P907" s="2">
        <v>46225.652905092589</v>
      </c>
      <c r="Q907" s="2">
        <v>46226.580185185187</v>
      </c>
      <c r="R907" s="2">
        <v>46225.652905092589</v>
      </c>
      <c r="S907">
        <v>0</v>
      </c>
      <c r="T907" t="s">
        <v>2079</v>
      </c>
      <c r="U907" t="s">
        <v>2079</v>
      </c>
      <c r="W907" t="str">
        <f t="shared" si="155"/>
        <v>400441</v>
      </c>
      <c r="X907" t="s">
        <v>41</v>
      </c>
      <c r="AD907" s="2">
        <v>46226.580185185187</v>
      </c>
    </row>
    <row r="908" spans="1:30" x14ac:dyDescent="0.35">
      <c r="A908" t="s">
        <v>2182</v>
      </c>
      <c r="B908" t="s">
        <v>31</v>
      </c>
      <c r="C908" t="s">
        <v>2851</v>
      </c>
      <c r="D908" t="s">
        <v>33</v>
      </c>
      <c r="E908" t="str">
        <f>"400904"</f>
        <v>400904</v>
      </c>
      <c r="F908" t="s">
        <v>167</v>
      </c>
      <c r="G908">
        <v>4</v>
      </c>
      <c r="H908">
        <v>0</v>
      </c>
      <c r="I908" t="s">
        <v>2481</v>
      </c>
      <c r="J908" t="str">
        <f>"400004606"</f>
        <v>400004606</v>
      </c>
      <c r="K908" s="1">
        <v>48034</v>
      </c>
      <c r="M908" s="1">
        <v>46209</v>
      </c>
      <c r="N908" t="str">
        <f t="shared" ref="N908:N919" si="156">"1329001960"</f>
        <v>1329001960</v>
      </c>
      <c r="O908">
        <v>4</v>
      </c>
      <c r="P908" s="2">
        <v>46222.449224537035</v>
      </c>
      <c r="Q908" s="2">
        <v>46228.377233796295</v>
      </c>
      <c r="R908" s="2">
        <v>46222.449224537035</v>
      </c>
      <c r="S908">
        <v>0</v>
      </c>
      <c r="T908" t="s">
        <v>2079</v>
      </c>
      <c r="U908" t="s">
        <v>2079</v>
      </c>
      <c r="W908" t="str">
        <f>"400904"</f>
        <v>400904</v>
      </c>
      <c r="X908" t="s">
        <v>41</v>
      </c>
      <c r="AD908" s="2">
        <v>46228.377233796295</v>
      </c>
    </row>
    <row r="909" spans="1:30" x14ac:dyDescent="0.35">
      <c r="A909" t="s">
        <v>2182</v>
      </c>
      <c r="B909" t="s">
        <v>31</v>
      </c>
      <c r="C909" t="s">
        <v>2852</v>
      </c>
      <c r="D909" t="s">
        <v>33</v>
      </c>
      <c r="E909" t="str">
        <f>"400904"</f>
        <v>400904</v>
      </c>
      <c r="F909" t="s">
        <v>167</v>
      </c>
      <c r="G909">
        <v>4</v>
      </c>
      <c r="H909">
        <v>0</v>
      </c>
      <c r="I909" t="s">
        <v>2479</v>
      </c>
      <c r="J909" t="str">
        <f>"400004606"</f>
        <v>400004606</v>
      </c>
      <c r="K909" s="1">
        <v>48034</v>
      </c>
      <c r="M909" s="1">
        <v>46209</v>
      </c>
      <c r="N909" t="str">
        <f t="shared" si="156"/>
        <v>1329001960</v>
      </c>
      <c r="O909">
        <v>4</v>
      </c>
      <c r="P909" s="2">
        <v>46222.449525462966</v>
      </c>
      <c r="Q909" s="2">
        <v>46228.380601851852</v>
      </c>
      <c r="R909" s="2">
        <v>46222.449525462966</v>
      </c>
      <c r="S909">
        <v>0</v>
      </c>
      <c r="T909" t="s">
        <v>2079</v>
      </c>
      <c r="U909" t="s">
        <v>2079</v>
      </c>
      <c r="W909" t="str">
        <f>"400904"</f>
        <v>400904</v>
      </c>
      <c r="X909" t="s">
        <v>41</v>
      </c>
      <c r="AD909" s="2">
        <v>46228.380601851852</v>
      </c>
    </row>
    <row r="910" spans="1:30" x14ac:dyDescent="0.35">
      <c r="A910" t="s">
        <v>2182</v>
      </c>
      <c r="B910" t="s">
        <v>31</v>
      </c>
      <c r="C910" t="s">
        <v>2853</v>
      </c>
      <c r="D910" t="s">
        <v>33</v>
      </c>
      <c r="E910" t="str">
        <f>"400904"</f>
        <v>400904</v>
      </c>
      <c r="F910" t="s">
        <v>167</v>
      </c>
      <c r="G910">
        <v>4</v>
      </c>
      <c r="H910">
        <v>0</v>
      </c>
      <c r="I910" t="s">
        <v>2476</v>
      </c>
      <c r="J910" t="str">
        <f>"400004606"</f>
        <v>400004606</v>
      </c>
      <c r="K910" s="1">
        <v>48034</v>
      </c>
      <c r="M910" s="1">
        <v>46209</v>
      </c>
      <c r="N910" t="str">
        <f t="shared" si="156"/>
        <v>1329001960</v>
      </c>
      <c r="O910">
        <v>4</v>
      </c>
      <c r="P910" s="2">
        <v>46222.446689814817</v>
      </c>
      <c r="Q910" s="2">
        <v>46228.382557870369</v>
      </c>
      <c r="R910" s="2">
        <v>46222.446689814817</v>
      </c>
      <c r="S910">
        <v>0</v>
      </c>
      <c r="T910" t="s">
        <v>2079</v>
      </c>
      <c r="U910" t="s">
        <v>2079</v>
      </c>
      <c r="W910" t="str">
        <f>"400904"</f>
        <v>400904</v>
      </c>
      <c r="X910" t="s">
        <v>41</v>
      </c>
      <c r="AD910" s="2">
        <v>46228.382557870369</v>
      </c>
    </row>
    <row r="911" spans="1:30" x14ac:dyDescent="0.35">
      <c r="A911" t="s">
        <v>2182</v>
      </c>
      <c r="B911" t="s">
        <v>31</v>
      </c>
      <c r="C911" t="s">
        <v>2854</v>
      </c>
      <c r="D911" t="s">
        <v>33</v>
      </c>
      <c r="E911" t="str">
        <f>"400912"</f>
        <v>400912</v>
      </c>
      <c r="F911" t="s">
        <v>174</v>
      </c>
      <c r="G911">
        <v>1</v>
      </c>
      <c r="H911">
        <v>0</v>
      </c>
      <c r="I911" t="s">
        <v>2475</v>
      </c>
      <c r="J911" t="str">
        <f>"400004626"</f>
        <v>400004626</v>
      </c>
      <c r="K911" s="1">
        <v>48039</v>
      </c>
      <c r="M911" s="1">
        <v>46214</v>
      </c>
      <c r="N911" t="str">
        <f t="shared" si="156"/>
        <v>1329001960</v>
      </c>
      <c r="O911">
        <v>1</v>
      </c>
      <c r="P911" s="2">
        <v>46222.45076388889</v>
      </c>
      <c r="Q911" s="2">
        <v>46228.383437500001</v>
      </c>
      <c r="R911" s="2">
        <v>46222.45076388889</v>
      </c>
      <c r="S911">
        <v>0</v>
      </c>
      <c r="T911" t="s">
        <v>2079</v>
      </c>
      <c r="U911" t="s">
        <v>2079</v>
      </c>
      <c r="W911" t="str">
        <f>"400912"</f>
        <v>400912</v>
      </c>
      <c r="X911" t="s">
        <v>41</v>
      </c>
      <c r="AD911" s="2">
        <v>46228.383437500001</v>
      </c>
    </row>
    <row r="912" spans="1:30" x14ac:dyDescent="0.35">
      <c r="A912" t="s">
        <v>2182</v>
      </c>
      <c r="B912" t="s">
        <v>31</v>
      </c>
      <c r="C912" t="s">
        <v>2855</v>
      </c>
      <c r="D912" t="s">
        <v>33</v>
      </c>
      <c r="E912" t="str">
        <f t="shared" ref="E912:E919" si="157">"400904"</f>
        <v>400904</v>
      </c>
      <c r="F912" t="s">
        <v>167</v>
      </c>
      <c r="G912">
        <v>4</v>
      </c>
      <c r="H912">
        <v>0</v>
      </c>
      <c r="I912" t="s">
        <v>2477</v>
      </c>
      <c r="J912" t="str">
        <f>"400004603"</f>
        <v>400004603</v>
      </c>
      <c r="K912" s="1">
        <v>48034</v>
      </c>
      <c r="M912" s="1">
        <v>46209</v>
      </c>
      <c r="N912" t="str">
        <f t="shared" si="156"/>
        <v>1329001960</v>
      </c>
      <c r="O912">
        <v>4</v>
      </c>
      <c r="P912" s="2">
        <v>46222.446284722224</v>
      </c>
      <c r="Q912" s="2">
        <v>46228.384363425925</v>
      </c>
      <c r="R912" s="2">
        <v>46222.446284722224</v>
      </c>
      <c r="S912">
        <v>0</v>
      </c>
      <c r="T912" t="s">
        <v>2079</v>
      </c>
      <c r="U912" t="s">
        <v>2079</v>
      </c>
      <c r="W912" t="str">
        <f t="shared" ref="W912:W919" si="158">"400904"</f>
        <v>400904</v>
      </c>
      <c r="X912" t="s">
        <v>41</v>
      </c>
      <c r="AD912" s="2">
        <v>46228.384363425925</v>
      </c>
    </row>
    <row r="913" spans="1:30" x14ac:dyDescent="0.35">
      <c r="A913" t="s">
        <v>2182</v>
      </c>
      <c r="B913" t="s">
        <v>31</v>
      </c>
      <c r="C913" t="s">
        <v>2856</v>
      </c>
      <c r="D913" t="s">
        <v>33</v>
      </c>
      <c r="E913" t="str">
        <f t="shared" si="157"/>
        <v>400904</v>
      </c>
      <c r="F913" t="s">
        <v>167</v>
      </c>
      <c r="G913">
        <v>4</v>
      </c>
      <c r="H913">
        <v>0</v>
      </c>
      <c r="I913" t="s">
        <v>2478</v>
      </c>
      <c r="J913" t="str">
        <f>"400004603"</f>
        <v>400004603</v>
      </c>
      <c r="K913" s="1">
        <v>48034</v>
      </c>
      <c r="M913" s="1">
        <v>46209</v>
      </c>
      <c r="N913" t="str">
        <f t="shared" si="156"/>
        <v>1329001960</v>
      </c>
      <c r="O913">
        <v>4</v>
      </c>
      <c r="P913" s="2">
        <v>46222.448703703703</v>
      </c>
      <c r="Q913" s="2">
        <v>46228.384432870371</v>
      </c>
      <c r="R913" s="2">
        <v>46222.448703703703</v>
      </c>
      <c r="S913">
        <v>0</v>
      </c>
      <c r="T913" t="s">
        <v>2079</v>
      </c>
      <c r="U913" t="s">
        <v>2079</v>
      </c>
      <c r="W913" t="str">
        <f t="shared" si="158"/>
        <v>400904</v>
      </c>
      <c r="X913" t="s">
        <v>41</v>
      </c>
      <c r="AD913" s="2">
        <v>46228.384432870371</v>
      </c>
    </row>
    <row r="914" spans="1:30" x14ac:dyDescent="0.35">
      <c r="A914" t="s">
        <v>2182</v>
      </c>
      <c r="B914" t="s">
        <v>31</v>
      </c>
      <c r="C914" t="s">
        <v>2857</v>
      </c>
      <c r="D914" t="s">
        <v>33</v>
      </c>
      <c r="E914" t="str">
        <f t="shared" si="157"/>
        <v>400904</v>
      </c>
      <c r="F914" t="s">
        <v>167</v>
      </c>
      <c r="G914">
        <v>4</v>
      </c>
      <c r="H914">
        <v>0</v>
      </c>
      <c r="I914" t="s">
        <v>2480</v>
      </c>
      <c r="J914" t="str">
        <f>"400004606"</f>
        <v>400004606</v>
      </c>
      <c r="K914" s="1">
        <v>48034</v>
      </c>
      <c r="M914" s="1">
        <v>46209</v>
      </c>
      <c r="N914" t="str">
        <f t="shared" si="156"/>
        <v>1329001960</v>
      </c>
      <c r="O914">
        <v>4</v>
      </c>
      <c r="P914" s="2">
        <v>46222.44767361111</v>
      </c>
      <c r="Q914" s="2">
        <v>46228.38453703704</v>
      </c>
      <c r="R914" s="2">
        <v>46222.44767361111</v>
      </c>
      <c r="S914">
        <v>0</v>
      </c>
      <c r="T914" t="s">
        <v>2079</v>
      </c>
      <c r="U914" t="s">
        <v>2079</v>
      </c>
      <c r="W914" t="str">
        <f t="shared" si="158"/>
        <v>400904</v>
      </c>
      <c r="X914" t="s">
        <v>41</v>
      </c>
      <c r="AD914" s="2">
        <v>46228.38453703704</v>
      </c>
    </row>
    <row r="915" spans="1:30" x14ac:dyDescent="0.35">
      <c r="A915" t="s">
        <v>2182</v>
      </c>
      <c r="B915" t="s">
        <v>31</v>
      </c>
      <c r="C915" t="s">
        <v>2858</v>
      </c>
      <c r="D915" t="s">
        <v>33</v>
      </c>
      <c r="E915" t="str">
        <f t="shared" si="157"/>
        <v>400904</v>
      </c>
      <c r="F915" t="s">
        <v>167</v>
      </c>
      <c r="G915">
        <v>4</v>
      </c>
      <c r="H915">
        <v>0</v>
      </c>
      <c r="I915" t="s">
        <v>2482</v>
      </c>
      <c r="J915" t="str">
        <f>"400004603"</f>
        <v>400004603</v>
      </c>
      <c r="K915" s="1">
        <v>48034</v>
      </c>
      <c r="M915" s="1">
        <v>46209</v>
      </c>
      <c r="N915" t="str">
        <f t="shared" si="156"/>
        <v>1329001960</v>
      </c>
      <c r="O915">
        <v>4</v>
      </c>
      <c r="P915" s="2">
        <v>46222.445428240739</v>
      </c>
      <c r="Q915" s="2">
        <v>46228.384583333333</v>
      </c>
      <c r="R915" s="2">
        <v>46222.445428240739</v>
      </c>
      <c r="S915">
        <v>0</v>
      </c>
      <c r="T915" t="s">
        <v>2079</v>
      </c>
      <c r="U915" t="s">
        <v>2079</v>
      </c>
      <c r="W915" t="str">
        <f t="shared" si="158"/>
        <v>400904</v>
      </c>
      <c r="X915" t="s">
        <v>41</v>
      </c>
      <c r="AD915" s="2">
        <v>46228.384583333333</v>
      </c>
    </row>
    <row r="916" spans="1:30" x14ac:dyDescent="0.35">
      <c r="A916" t="s">
        <v>2182</v>
      </c>
      <c r="B916" t="s">
        <v>31</v>
      </c>
      <c r="C916" t="s">
        <v>2859</v>
      </c>
      <c r="D916" t="s">
        <v>33</v>
      </c>
      <c r="E916" t="str">
        <f t="shared" si="157"/>
        <v>400904</v>
      </c>
      <c r="F916" t="s">
        <v>167</v>
      </c>
      <c r="G916">
        <v>4</v>
      </c>
      <c r="H916">
        <v>0</v>
      </c>
      <c r="I916" t="s">
        <v>2483</v>
      </c>
      <c r="J916" t="str">
        <f>"400004606"</f>
        <v>400004606</v>
      </c>
      <c r="K916" s="1">
        <v>48034</v>
      </c>
      <c r="M916" s="1">
        <v>46209</v>
      </c>
      <c r="N916" t="str">
        <f t="shared" si="156"/>
        <v>1329001960</v>
      </c>
      <c r="O916">
        <v>4</v>
      </c>
      <c r="P916" s="2">
        <v>46222.445879629631</v>
      </c>
      <c r="Q916" s="2">
        <v>46228.384652777779</v>
      </c>
      <c r="R916" s="2">
        <v>46222.445879629631</v>
      </c>
      <c r="S916">
        <v>0</v>
      </c>
      <c r="T916" t="s">
        <v>2079</v>
      </c>
      <c r="U916" t="s">
        <v>2079</v>
      </c>
      <c r="W916" t="str">
        <f t="shared" si="158"/>
        <v>400904</v>
      </c>
      <c r="X916" t="s">
        <v>41</v>
      </c>
      <c r="AD916" s="2">
        <v>46228.384652777779</v>
      </c>
    </row>
    <row r="917" spans="1:30" x14ac:dyDescent="0.35">
      <c r="A917" t="s">
        <v>2182</v>
      </c>
      <c r="B917" t="s">
        <v>31</v>
      </c>
      <c r="C917" t="s">
        <v>2860</v>
      </c>
      <c r="D917" t="s">
        <v>33</v>
      </c>
      <c r="E917" t="str">
        <f t="shared" si="157"/>
        <v>400904</v>
      </c>
      <c r="F917" t="s">
        <v>167</v>
      </c>
      <c r="G917">
        <v>4</v>
      </c>
      <c r="H917">
        <v>0</v>
      </c>
      <c r="I917" t="s">
        <v>2484</v>
      </c>
      <c r="J917" t="str">
        <f>"400004606"</f>
        <v>400004606</v>
      </c>
      <c r="K917" s="1">
        <v>48034</v>
      </c>
      <c r="M917" s="1">
        <v>46209</v>
      </c>
      <c r="N917" t="str">
        <f t="shared" si="156"/>
        <v>1329001960</v>
      </c>
      <c r="O917">
        <v>4</v>
      </c>
      <c r="P917" s="2">
        <v>46222.44703703704</v>
      </c>
      <c r="Q917" s="2">
        <v>46228.384710648148</v>
      </c>
      <c r="R917" s="2">
        <v>46222.44703703704</v>
      </c>
      <c r="S917">
        <v>0</v>
      </c>
      <c r="T917" t="s">
        <v>2079</v>
      </c>
      <c r="U917" t="s">
        <v>2079</v>
      </c>
      <c r="W917" t="str">
        <f t="shared" si="158"/>
        <v>400904</v>
      </c>
      <c r="X917" t="s">
        <v>41</v>
      </c>
      <c r="AD917" s="2">
        <v>46228.384710648148</v>
      </c>
    </row>
    <row r="918" spans="1:30" x14ac:dyDescent="0.35">
      <c r="A918" t="s">
        <v>2182</v>
      </c>
      <c r="B918" t="s">
        <v>31</v>
      </c>
      <c r="C918" t="s">
        <v>2861</v>
      </c>
      <c r="D918" t="s">
        <v>33</v>
      </c>
      <c r="E918" t="str">
        <f t="shared" si="157"/>
        <v>400904</v>
      </c>
      <c r="F918" t="s">
        <v>167</v>
      </c>
      <c r="G918">
        <v>4</v>
      </c>
      <c r="H918">
        <v>0</v>
      </c>
      <c r="I918" t="s">
        <v>2485</v>
      </c>
      <c r="J918" t="str">
        <f>"400004606"</f>
        <v>400004606</v>
      </c>
      <c r="K918" s="1">
        <v>48034</v>
      </c>
      <c r="M918" s="1">
        <v>46209</v>
      </c>
      <c r="N918" t="str">
        <f t="shared" si="156"/>
        <v>1329001960</v>
      </c>
      <c r="O918">
        <v>4</v>
      </c>
      <c r="P918" s="2">
        <v>46222.447395833333</v>
      </c>
      <c r="Q918" s="2">
        <v>46228.384745370371</v>
      </c>
      <c r="R918" s="2">
        <v>46222.447395833333</v>
      </c>
      <c r="S918">
        <v>0</v>
      </c>
      <c r="T918" t="s">
        <v>2079</v>
      </c>
      <c r="U918" t="s">
        <v>2079</v>
      </c>
      <c r="W918" t="str">
        <f t="shared" si="158"/>
        <v>400904</v>
      </c>
      <c r="X918" t="s">
        <v>41</v>
      </c>
      <c r="AD918" s="2">
        <v>46228.384745370371</v>
      </c>
    </row>
    <row r="919" spans="1:30" x14ac:dyDescent="0.35">
      <c r="A919" t="s">
        <v>2182</v>
      </c>
      <c r="B919" t="s">
        <v>31</v>
      </c>
      <c r="C919" t="s">
        <v>2862</v>
      </c>
      <c r="D919" t="s">
        <v>33</v>
      </c>
      <c r="E919" t="str">
        <f t="shared" si="157"/>
        <v>400904</v>
      </c>
      <c r="F919" t="s">
        <v>167</v>
      </c>
      <c r="G919">
        <v>4</v>
      </c>
      <c r="H919">
        <v>0</v>
      </c>
      <c r="I919" t="s">
        <v>2474</v>
      </c>
      <c r="J919" t="str">
        <f>"400004602"</f>
        <v>400004602</v>
      </c>
      <c r="K919" s="1">
        <v>48033</v>
      </c>
      <c r="M919" s="1">
        <v>46208</v>
      </c>
      <c r="N919" t="str">
        <f t="shared" si="156"/>
        <v>1329001960</v>
      </c>
      <c r="O919">
        <v>4</v>
      </c>
      <c r="P919" s="2">
        <v>46222.451342592591</v>
      </c>
      <c r="Q919" s="2">
        <v>46228.386620370373</v>
      </c>
      <c r="R919" s="2">
        <v>46222.451342592591</v>
      </c>
      <c r="S919">
        <v>0</v>
      </c>
      <c r="T919" t="s">
        <v>2079</v>
      </c>
      <c r="U919" t="s">
        <v>2079</v>
      </c>
      <c r="W919" t="str">
        <f t="shared" si="158"/>
        <v>400904</v>
      </c>
      <c r="X919" t="s">
        <v>41</v>
      </c>
      <c r="AD919" s="2">
        <v>46228.386620370373</v>
      </c>
    </row>
    <row r="920" spans="1:30" x14ac:dyDescent="0.35">
      <c r="A920" t="s">
        <v>2182</v>
      </c>
      <c r="B920" t="s">
        <v>31</v>
      </c>
      <c r="C920" t="s">
        <v>2863</v>
      </c>
      <c r="D920" t="s">
        <v>33</v>
      </c>
      <c r="E920" t="str">
        <f t="shared" ref="E920:E930" si="159">"400441"</f>
        <v>400441</v>
      </c>
      <c r="F920" t="s">
        <v>65</v>
      </c>
      <c r="G920">
        <v>4</v>
      </c>
      <c r="H920">
        <v>0</v>
      </c>
      <c r="I920" t="s">
        <v>2472</v>
      </c>
      <c r="J920" t="str">
        <f>"153000408"</f>
        <v>153000408</v>
      </c>
      <c r="K920" s="1">
        <v>48020</v>
      </c>
      <c r="M920" s="1">
        <v>46195</v>
      </c>
      <c r="N920" t="str">
        <f>"1329001975"</f>
        <v>1329001975</v>
      </c>
      <c r="O920">
        <v>4</v>
      </c>
      <c r="P920" s="2">
        <v>46225.649965277778</v>
      </c>
      <c r="Q920" s="2">
        <v>46228.388136574074</v>
      </c>
      <c r="R920" s="2">
        <v>46225.649965277778</v>
      </c>
      <c r="S920">
        <v>0</v>
      </c>
      <c r="T920" t="s">
        <v>2079</v>
      </c>
      <c r="U920" t="s">
        <v>2079</v>
      </c>
      <c r="W920" t="str">
        <f t="shared" ref="W920:W930" si="160">"400441"</f>
        <v>400441</v>
      </c>
      <c r="X920" t="s">
        <v>41</v>
      </c>
      <c r="AD920" s="2">
        <v>46228.388136574074</v>
      </c>
    </row>
    <row r="921" spans="1:30" x14ac:dyDescent="0.35">
      <c r="A921" t="s">
        <v>2182</v>
      </c>
      <c r="B921" t="s">
        <v>31</v>
      </c>
      <c r="C921" t="s">
        <v>2864</v>
      </c>
      <c r="D921" t="s">
        <v>33</v>
      </c>
      <c r="E921" t="str">
        <f t="shared" si="159"/>
        <v>400441</v>
      </c>
      <c r="F921" t="s">
        <v>65</v>
      </c>
      <c r="G921">
        <v>4</v>
      </c>
      <c r="H921">
        <v>0</v>
      </c>
      <c r="I921" t="s">
        <v>2486</v>
      </c>
      <c r="J921" t="str">
        <f>"153000416"</f>
        <v>153000416</v>
      </c>
      <c r="K921" s="1">
        <v>48025</v>
      </c>
      <c r="M921" s="1">
        <v>46200</v>
      </c>
      <c r="N921" t="str">
        <f t="shared" ref="N921:N927" si="161">"1329001967"</f>
        <v>1329001967</v>
      </c>
      <c r="O921">
        <v>4</v>
      </c>
      <c r="P921" s="2">
        <v>46223.444953703707</v>
      </c>
      <c r="Q921" s="2">
        <v>46228.38921296296</v>
      </c>
      <c r="R921" s="2">
        <v>46223.444953703707</v>
      </c>
      <c r="S921">
        <v>0</v>
      </c>
      <c r="T921" t="s">
        <v>2079</v>
      </c>
      <c r="U921" t="s">
        <v>2079</v>
      </c>
      <c r="W921" t="str">
        <f t="shared" si="160"/>
        <v>400441</v>
      </c>
      <c r="X921" t="s">
        <v>41</v>
      </c>
      <c r="AD921" s="2">
        <v>46228.38921296296</v>
      </c>
    </row>
    <row r="922" spans="1:30" x14ac:dyDescent="0.35">
      <c r="A922" t="s">
        <v>2182</v>
      </c>
      <c r="B922" t="s">
        <v>31</v>
      </c>
      <c r="C922" t="s">
        <v>2865</v>
      </c>
      <c r="D922" t="s">
        <v>33</v>
      </c>
      <c r="E922" t="str">
        <f t="shared" si="159"/>
        <v>400441</v>
      </c>
      <c r="F922" t="s">
        <v>65</v>
      </c>
      <c r="G922">
        <v>4</v>
      </c>
      <c r="H922">
        <v>0</v>
      </c>
      <c r="I922" t="s">
        <v>2486</v>
      </c>
      <c r="J922" t="str">
        <f>"153000416"</f>
        <v>153000416</v>
      </c>
      <c r="K922" s="1">
        <v>48025</v>
      </c>
      <c r="M922" s="1">
        <v>46200</v>
      </c>
      <c r="N922" t="str">
        <f t="shared" si="161"/>
        <v>1329001967</v>
      </c>
      <c r="O922">
        <v>4</v>
      </c>
      <c r="P922" s="2">
        <v>46223.443414351852</v>
      </c>
      <c r="Q922" s="2">
        <v>46228.390532407408</v>
      </c>
      <c r="R922" s="2">
        <v>46223.443414351852</v>
      </c>
      <c r="S922">
        <v>0</v>
      </c>
      <c r="T922" t="s">
        <v>2079</v>
      </c>
      <c r="U922" t="s">
        <v>2079</v>
      </c>
      <c r="W922" t="str">
        <f t="shared" si="160"/>
        <v>400441</v>
      </c>
      <c r="X922" t="s">
        <v>41</v>
      </c>
      <c r="AD922" s="2">
        <v>46228.390532407408</v>
      </c>
    </row>
    <row r="923" spans="1:30" x14ac:dyDescent="0.35">
      <c r="A923" t="s">
        <v>2182</v>
      </c>
      <c r="B923" t="s">
        <v>31</v>
      </c>
      <c r="C923" t="s">
        <v>2866</v>
      </c>
      <c r="D923" t="s">
        <v>33</v>
      </c>
      <c r="E923" t="str">
        <f t="shared" si="159"/>
        <v>400441</v>
      </c>
      <c r="F923" t="s">
        <v>65</v>
      </c>
      <c r="G923">
        <v>4</v>
      </c>
      <c r="H923">
        <v>0</v>
      </c>
      <c r="I923" t="s">
        <v>2486</v>
      </c>
      <c r="J923" t="str">
        <f>"153000416"</f>
        <v>153000416</v>
      </c>
      <c r="K923" s="1">
        <v>48025</v>
      </c>
      <c r="M923" s="1">
        <v>46200</v>
      </c>
      <c r="N923" t="str">
        <f t="shared" si="161"/>
        <v>1329001967</v>
      </c>
      <c r="O923">
        <v>4</v>
      </c>
      <c r="P923" s="2">
        <v>46223.441342592596</v>
      </c>
      <c r="Q923" s="2">
        <v>46228.391689814816</v>
      </c>
      <c r="R923" s="2">
        <v>46223.441342592596</v>
      </c>
      <c r="S923">
        <v>0</v>
      </c>
      <c r="T923" t="s">
        <v>2079</v>
      </c>
      <c r="U923" t="s">
        <v>2079</v>
      </c>
      <c r="W923" t="str">
        <f t="shared" si="160"/>
        <v>400441</v>
      </c>
      <c r="X923" t="s">
        <v>41</v>
      </c>
      <c r="AD923" s="2">
        <v>46228.391689814816</v>
      </c>
    </row>
    <row r="924" spans="1:30" x14ac:dyDescent="0.35">
      <c r="A924" t="s">
        <v>2182</v>
      </c>
      <c r="B924" t="s">
        <v>31</v>
      </c>
      <c r="C924" t="s">
        <v>2867</v>
      </c>
      <c r="D924" t="s">
        <v>33</v>
      </c>
      <c r="E924" t="str">
        <f t="shared" si="159"/>
        <v>400441</v>
      </c>
      <c r="F924" t="s">
        <v>65</v>
      </c>
      <c r="G924">
        <v>4</v>
      </c>
      <c r="H924">
        <v>0</v>
      </c>
      <c r="I924" t="s">
        <v>2486</v>
      </c>
      <c r="J924" t="str">
        <f>"153000408"</f>
        <v>153000408</v>
      </c>
      <c r="K924" s="1">
        <v>48020</v>
      </c>
      <c r="M924" s="1">
        <v>46195</v>
      </c>
      <c r="N924" t="str">
        <f t="shared" si="161"/>
        <v>1329001967</v>
      </c>
      <c r="O924">
        <v>4</v>
      </c>
      <c r="P924" s="2">
        <v>46223.447233796294</v>
      </c>
      <c r="Q924" s="2">
        <v>46228.394270833334</v>
      </c>
      <c r="R924" s="2">
        <v>46223.447233796294</v>
      </c>
      <c r="S924">
        <v>0</v>
      </c>
      <c r="T924" t="s">
        <v>2079</v>
      </c>
      <c r="U924" t="s">
        <v>2079</v>
      </c>
      <c r="W924" t="str">
        <f t="shared" si="160"/>
        <v>400441</v>
      </c>
      <c r="X924" t="s">
        <v>41</v>
      </c>
      <c r="AD924" s="2">
        <v>46228.394270833334</v>
      </c>
    </row>
    <row r="925" spans="1:30" x14ac:dyDescent="0.35">
      <c r="A925" t="s">
        <v>2182</v>
      </c>
      <c r="B925" t="s">
        <v>31</v>
      </c>
      <c r="C925" t="s">
        <v>2868</v>
      </c>
      <c r="D925" t="s">
        <v>33</v>
      </c>
      <c r="E925" t="str">
        <f t="shared" si="159"/>
        <v>400441</v>
      </c>
      <c r="F925" t="s">
        <v>65</v>
      </c>
      <c r="G925">
        <v>4</v>
      </c>
      <c r="H925">
        <v>0</v>
      </c>
      <c r="I925" t="s">
        <v>2486</v>
      </c>
      <c r="J925" t="str">
        <f>"153000416"</f>
        <v>153000416</v>
      </c>
      <c r="K925" s="1">
        <v>48025</v>
      </c>
      <c r="M925" s="1">
        <v>46200</v>
      </c>
      <c r="N925" t="str">
        <f t="shared" si="161"/>
        <v>1329001967</v>
      </c>
      <c r="O925">
        <v>4</v>
      </c>
      <c r="P925" s="2">
        <v>46223.448229166665</v>
      </c>
      <c r="Q925" s="2">
        <v>46228.395833333336</v>
      </c>
      <c r="R925" s="2">
        <v>46223.448229166665</v>
      </c>
      <c r="S925">
        <v>0</v>
      </c>
      <c r="T925" t="s">
        <v>2079</v>
      </c>
      <c r="U925" t="s">
        <v>2079</v>
      </c>
      <c r="W925" t="str">
        <f t="shared" si="160"/>
        <v>400441</v>
      </c>
      <c r="X925" t="s">
        <v>41</v>
      </c>
      <c r="AD925" s="2">
        <v>46228.395833333336</v>
      </c>
    </row>
    <row r="926" spans="1:30" x14ac:dyDescent="0.35">
      <c r="A926" t="s">
        <v>2182</v>
      </c>
      <c r="B926" t="s">
        <v>31</v>
      </c>
      <c r="C926" t="s">
        <v>2869</v>
      </c>
      <c r="D926" t="s">
        <v>33</v>
      </c>
      <c r="E926" t="str">
        <f t="shared" si="159"/>
        <v>400441</v>
      </c>
      <c r="F926" t="s">
        <v>65</v>
      </c>
      <c r="G926">
        <v>4</v>
      </c>
      <c r="H926">
        <v>0</v>
      </c>
      <c r="I926" t="s">
        <v>2473</v>
      </c>
      <c r="J926" t="str">
        <f>"153000416"</f>
        <v>153000416</v>
      </c>
      <c r="K926" s="1">
        <v>48025</v>
      </c>
      <c r="M926" s="1">
        <v>46200</v>
      </c>
      <c r="N926" t="str">
        <f t="shared" si="161"/>
        <v>1329001967</v>
      </c>
      <c r="O926">
        <v>4</v>
      </c>
      <c r="P926" s="2">
        <v>46223.440983796296</v>
      </c>
      <c r="Q926" s="2">
        <v>46228.397164351853</v>
      </c>
      <c r="R926" s="2">
        <v>46223.440983796296</v>
      </c>
      <c r="S926">
        <v>0</v>
      </c>
      <c r="T926" t="s">
        <v>2079</v>
      </c>
      <c r="U926" t="s">
        <v>2079</v>
      </c>
      <c r="W926" t="str">
        <f t="shared" si="160"/>
        <v>400441</v>
      </c>
      <c r="X926" t="s">
        <v>41</v>
      </c>
      <c r="AD926" s="2">
        <v>46228.397164351853</v>
      </c>
    </row>
    <row r="927" spans="1:30" x14ac:dyDescent="0.35">
      <c r="A927" t="s">
        <v>2182</v>
      </c>
      <c r="B927" t="s">
        <v>31</v>
      </c>
      <c r="C927" t="s">
        <v>2870</v>
      </c>
      <c r="D927" t="s">
        <v>33</v>
      </c>
      <c r="E927" t="str">
        <f t="shared" si="159"/>
        <v>400441</v>
      </c>
      <c r="F927" t="s">
        <v>65</v>
      </c>
      <c r="G927">
        <v>4</v>
      </c>
      <c r="H927">
        <v>0</v>
      </c>
      <c r="I927" t="s">
        <v>2470</v>
      </c>
      <c r="J927" t="str">
        <f>"153000408"</f>
        <v>153000408</v>
      </c>
      <c r="K927" s="1">
        <v>48020</v>
      </c>
      <c r="M927" s="1">
        <v>46195</v>
      </c>
      <c r="N927" t="str">
        <f t="shared" si="161"/>
        <v>1329001967</v>
      </c>
      <c r="O927">
        <v>4</v>
      </c>
      <c r="P927" s="2">
        <v>46223.448611111111</v>
      </c>
      <c r="Q927" s="2">
        <v>46228.399039351854</v>
      </c>
      <c r="R927" s="2">
        <v>46223.448611111111</v>
      </c>
      <c r="S927">
        <v>0</v>
      </c>
      <c r="T927" t="s">
        <v>2079</v>
      </c>
      <c r="U927" t="s">
        <v>2079</v>
      </c>
      <c r="W927" t="str">
        <f t="shared" si="160"/>
        <v>400441</v>
      </c>
      <c r="X927" t="s">
        <v>41</v>
      </c>
      <c r="AD927" s="2">
        <v>46228.399039351854</v>
      </c>
    </row>
    <row r="928" spans="1:30" x14ac:dyDescent="0.35">
      <c r="A928" t="s">
        <v>2182</v>
      </c>
      <c r="B928" t="s">
        <v>31</v>
      </c>
      <c r="C928" t="s">
        <v>2871</v>
      </c>
      <c r="D928" t="s">
        <v>33</v>
      </c>
      <c r="E928" t="str">
        <f t="shared" si="159"/>
        <v>400441</v>
      </c>
      <c r="F928" t="s">
        <v>65</v>
      </c>
      <c r="G928">
        <v>4</v>
      </c>
      <c r="H928">
        <v>0</v>
      </c>
      <c r="I928" t="s">
        <v>2471</v>
      </c>
      <c r="J928" t="str">
        <f>"153000408"</f>
        <v>153000408</v>
      </c>
      <c r="K928" s="1">
        <v>48020</v>
      </c>
      <c r="M928" s="1">
        <v>46195</v>
      </c>
      <c r="N928" t="str">
        <f>"1329001975"</f>
        <v>1329001975</v>
      </c>
      <c r="O928">
        <v>4</v>
      </c>
      <c r="P928" s="2">
        <v>46225.650462962964</v>
      </c>
      <c r="Q928" s="2">
        <v>46228.400034722225</v>
      </c>
      <c r="R928" s="2">
        <v>46225.650462962964</v>
      </c>
      <c r="S928">
        <v>0</v>
      </c>
      <c r="T928" t="s">
        <v>2079</v>
      </c>
      <c r="U928" t="s">
        <v>2079</v>
      </c>
      <c r="W928" t="str">
        <f t="shared" si="160"/>
        <v>400441</v>
      </c>
      <c r="X928" t="s">
        <v>41</v>
      </c>
      <c r="AD928" s="2">
        <v>46228.400034722225</v>
      </c>
    </row>
    <row r="929" spans="1:30" x14ac:dyDescent="0.35">
      <c r="A929" t="s">
        <v>2182</v>
      </c>
      <c r="B929" t="s">
        <v>31</v>
      </c>
      <c r="C929" t="s">
        <v>2872</v>
      </c>
      <c r="D929" t="s">
        <v>33</v>
      </c>
      <c r="E929" t="str">
        <f t="shared" si="159"/>
        <v>400441</v>
      </c>
      <c r="F929" t="s">
        <v>65</v>
      </c>
      <c r="G929">
        <v>4</v>
      </c>
      <c r="H929">
        <v>0</v>
      </c>
      <c r="I929" t="s">
        <v>2469</v>
      </c>
      <c r="J929" t="str">
        <f>"153000408"</f>
        <v>153000408</v>
      </c>
      <c r="K929" s="1">
        <v>48020</v>
      </c>
      <c r="M929" s="1">
        <v>46195</v>
      </c>
      <c r="N929" t="str">
        <f>"1329001975"</f>
        <v>1329001975</v>
      </c>
      <c r="O929">
        <v>4</v>
      </c>
      <c r="P929" s="2">
        <v>46225.650196759256</v>
      </c>
      <c r="Q929" s="2">
        <v>46228.401226851849</v>
      </c>
      <c r="R929" s="2">
        <v>46225.650196759256</v>
      </c>
      <c r="S929">
        <v>0</v>
      </c>
      <c r="T929" t="s">
        <v>2079</v>
      </c>
      <c r="U929" t="s">
        <v>2079</v>
      </c>
      <c r="W929" t="str">
        <f t="shared" si="160"/>
        <v>400441</v>
      </c>
      <c r="X929" t="s">
        <v>41</v>
      </c>
      <c r="AD929" s="2">
        <v>46228.401226851849</v>
      </c>
    </row>
    <row r="930" spans="1:30" x14ac:dyDescent="0.35">
      <c r="A930" t="s">
        <v>2182</v>
      </c>
      <c r="B930" t="s">
        <v>31</v>
      </c>
      <c r="C930" t="s">
        <v>2873</v>
      </c>
      <c r="D930" t="s">
        <v>33</v>
      </c>
      <c r="E930" t="str">
        <f t="shared" si="159"/>
        <v>400441</v>
      </c>
      <c r="F930" t="s">
        <v>65</v>
      </c>
      <c r="G930">
        <v>4</v>
      </c>
      <c r="H930">
        <v>0</v>
      </c>
      <c r="I930" t="s">
        <v>2487</v>
      </c>
      <c r="J930" t="str">
        <f>"153000416"</f>
        <v>153000416</v>
      </c>
      <c r="K930" s="1">
        <v>48025</v>
      </c>
      <c r="M930" s="1">
        <v>46200</v>
      </c>
      <c r="N930" t="str">
        <f>"1329001967"</f>
        <v>1329001967</v>
      </c>
      <c r="O930">
        <v>4</v>
      </c>
      <c r="P930" s="2">
        <v>46223.446608796294</v>
      </c>
      <c r="Q930" s="2">
        <v>46228.405486111114</v>
      </c>
      <c r="R930" s="2">
        <v>46223.446608796294</v>
      </c>
      <c r="S930">
        <v>0</v>
      </c>
      <c r="T930" t="s">
        <v>2079</v>
      </c>
      <c r="U930" t="s">
        <v>2079</v>
      </c>
      <c r="W930" t="str">
        <f t="shared" si="160"/>
        <v>400441</v>
      </c>
      <c r="X930" t="s">
        <v>41</v>
      </c>
      <c r="AD930" s="2">
        <v>46228.405486111114</v>
      </c>
    </row>
    <row r="931" spans="1:30" x14ac:dyDescent="0.35">
      <c r="A931" t="s">
        <v>2182</v>
      </c>
      <c r="B931" t="s">
        <v>31</v>
      </c>
      <c r="C931" t="s">
        <v>2874</v>
      </c>
      <c r="D931" t="s">
        <v>33</v>
      </c>
      <c r="E931" t="str">
        <f>"400445"</f>
        <v>400445</v>
      </c>
      <c r="F931" t="s">
        <v>424</v>
      </c>
      <c r="G931">
        <v>4</v>
      </c>
      <c r="H931">
        <v>0</v>
      </c>
      <c r="I931" t="s">
        <v>2875</v>
      </c>
      <c r="J931" t="str">
        <f>"153000452"</f>
        <v>153000452</v>
      </c>
      <c r="K931" s="1">
        <v>48041</v>
      </c>
      <c r="M931" s="1">
        <v>46216</v>
      </c>
      <c r="N931" t="str">
        <f>"1329001969"</f>
        <v>1329001969</v>
      </c>
      <c r="O931">
        <v>4</v>
      </c>
      <c r="P931" s="2">
        <v>46225.63689814815</v>
      </c>
      <c r="Q931" s="2">
        <v>46228.470381944448</v>
      </c>
      <c r="R931" s="2">
        <v>46225.63689814815</v>
      </c>
      <c r="S931">
        <v>0</v>
      </c>
      <c r="T931" t="s">
        <v>2079</v>
      </c>
      <c r="U931" t="s">
        <v>2079</v>
      </c>
      <c r="W931" t="str">
        <f>"400445"</f>
        <v>400445</v>
      </c>
      <c r="X931" t="s">
        <v>41</v>
      </c>
      <c r="AD931" s="2">
        <v>46228.470381944448</v>
      </c>
    </row>
    <row r="932" spans="1:30" x14ac:dyDescent="0.35">
      <c r="A932" t="s">
        <v>2182</v>
      </c>
      <c r="B932" t="s">
        <v>31</v>
      </c>
      <c r="C932" t="s">
        <v>2876</v>
      </c>
      <c r="D932" t="s">
        <v>33</v>
      </c>
      <c r="E932" t="str">
        <f>"400441"</f>
        <v>400441</v>
      </c>
      <c r="F932" t="s">
        <v>65</v>
      </c>
      <c r="G932">
        <v>4</v>
      </c>
      <c r="H932">
        <v>0</v>
      </c>
      <c r="I932" t="s">
        <v>2877</v>
      </c>
      <c r="J932" t="str">
        <f>"153000408"</f>
        <v>153000408</v>
      </c>
      <c r="K932" s="1">
        <v>48020</v>
      </c>
      <c r="M932" s="1">
        <v>46195</v>
      </c>
      <c r="N932" t="str">
        <f>"1329001967"</f>
        <v>1329001967</v>
      </c>
      <c r="O932">
        <v>4</v>
      </c>
      <c r="P932" s="2">
        <v>46223.446099537039</v>
      </c>
      <c r="Q932" s="2">
        <v>46228.478043981479</v>
      </c>
      <c r="R932" s="2">
        <v>46223.446099537039</v>
      </c>
      <c r="S932">
        <v>0</v>
      </c>
      <c r="T932" t="s">
        <v>2079</v>
      </c>
      <c r="U932" t="s">
        <v>2079</v>
      </c>
      <c r="W932" t="str">
        <f>"400441"</f>
        <v>400441</v>
      </c>
      <c r="X932" t="s">
        <v>41</v>
      </c>
      <c r="AD932" s="2">
        <v>46228.478043981479</v>
      </c>
    </row>
    <row r="933" spans="1:30" x14ac:dyDescent="0.35">
      <c r="A933" t="s">
        <v>2182</v>
      </c>
      <c r="B933" t="s">
        <v>31</v>
      </c>
      <c r="C933" t="s">
        <v>2878</v>
      </c>
      <c r="D933" t="s">
        <v>33</v>
      </c>
      <c r="E933" t="str">
        <f>"400445"</f>
        <v>400445</v>
      </c>
      <c r="F933" t="s">
        <v>424</v>
      </c>
      <c r="G933">
        <v>4</v>
      </c>
      <c r="H933">
        <v>0</v>
      </c>
      <c r="I933" t="s">
        <v>2525</v>
      </c>
      <c r="J933" t="str">
        <f>"153000452"</f>
        <v>153000452</v>
      </c>
      <c r="K933" s="1">
        <v>48041</v>
      </c>
      <c r="M933" s="1">
        <v>46216</v>
      </c>
      <c r="N933" t="str">
        <f>"1329001969"</f>
        <v>1329001969</v>
      </c>
      <c r="O933">
        <v>4</v>
      </c>
      <c r="P933" s="2">
        <v>46225.636307870373</v>
      </c>
      <c r="Q933" s="2">
        <v>46228.620925925927</v>
      </c>
      <c r="R933" s="2">
        <v>46225.636307870373</v>
      </c>
      <c r="S933">
        <v>0</v>
      </c>
      <c r="T933" t="s">
        <v>2079</v>
      </c>
      <c r="U933" t="s">
        <v>2079</v>
      </c>
      <c r="V933" t="s">
        <v>2879</v>
      </c>
      <c r="W933" t="str">
        <f>"400445"</f>
        <v>400445</v>
      </c>
      <c r="X933" t="s">
        <v>41</v>
      </c>
      <c r="AD933" s="2">
        <v>46228.469872685186</v>
      </c>
    </row>
    <row r="934" spans="1:30" x14ac:dyDescent="0.35">
      <c r="A934" t="s">
        <v>2182</v>
      </c>
      <c r="B934" t="s">
        <v>31</v>
      </c>
      <c r="C934" t="s">
        <v>2880</v>
      </c>
      <c r="D934" t="s">
        <v>33</v>
      </c>
      <c r="E934" t="str">
        <f>"400445"</f>
        <v>400445</v>
      </c>
      <c r="F934" t="s">
        <v>424</v>
      </c>
      <c r="G934">
        <v>4</v>
      </c>
      <c r="H934">
        <v>0</v>
      </c>
      <c r="I934" t="s">
        <v>2524</v>
      </c>
      <c r="J934" t="str">
        <f>"153000452"</f>
        <v>153000452</v>
      </c>
      <c r="K934" s="1">
        <v>48041</v>
      </c>
      <c r="M934" s="1">
        <v>46216</v>
      </c>
      <c r="N934" t="str">
        <f>"1329001969"</f>
        <v>1329001969</v>
      </c>
      <c r="O934">
        <v>4</v>
      </c>
      <c r="P934" s="2">
        <v>46225.636631944442</v>
      </c>
      <c r="Q934" s="2">
        <v>46228.621018518519</v>
      </c>
      <c r="R934" s="2">
        <v>46225.636631944442</v>
      </c>
      <c r="S934">
        <v>0</v>
      </c>
      <c r="T934" t="s">
        <v>2079</v>
      </c>
      <c r="U934" t="s">
        <v>2079</v>
      </c>
      <c r="V934" t="s">
        <v>2881</v>
      </c>
      <c r="W934" t="str">
        <f>"400445"</f>
        <v>400445</v>
      </c>
      <c r="X934" t="s">
        <v>41</v>
      </c>
      <c r="AD934" s="2">
        <v>46228.470127314817</v>
      </c>
    </row>
    <row r="935" spans="1:30" x14ac:dyDescent="0.35">
      <c r="A935" t="s">
        <v>2182</v>
      </c>
      <c r="B935" t="s">
        <v>31</v>
      </c>
      <c r="C935" t="s">
        <v>2882</v>
      </c>
      <c r="D935" t="s">
        <v>2883</v>
      </c>
      <c r="E935" t="str">
        <f t="shared" ref="E935:E946" si="162">"400441"</f>
        <v>400441</v>
      </c>
      <c r="F935" t="s">
        <v>65</v>
      </c>
      <c r="G935">
        <v>4</v>
      </c>
      <c r="H935">
        <v>0</v>
      </c>
      <c r="J935" t="str">
        <f t="shared" ref="J935:J943" si="163">"153000397"</f>
        <v>153000397</v>
      </c>
      <c r="K935" s="1">
        <v>48015</v>
      </c>
      <c r="M935" s="1">
        <v>46190</v>
      </c>
      <c r="N935" t="str">
        <f t="shared" ref="N935:N946" si="164">"1329001980"</f>
        <v>1329001980</v>
      </c>
      <c r="O935">
        <v>4</v>
      </c>
      <c r="P935" s="2">
        <v>46229.336134259262</v>
      </c>
      <c r="Q935" s="2">
        <v>46229.336134259262</v>
      </c>
      <c r="R935" s="2">
        <v>46229.336134259262</v>
      </c>
      <c r="S935">
        <v>0</v>
      </c>
      <c r="T935" t="s">
        <v>2079</v>
      </c>
      <c r="U935" t="s">
        <v>2079</v>
      </c>
      <c r="W935" t="str">
        <f t="shared" ref="W935:W946" si="165">"400441"</f>
        <v>400441</v>
      </c>
      <c r="X935" t="s">
        <v>41</v>
      </c>
    </row>
    <row r="936" spans="1:30" x14ac:dyDescent="0.35">
      <c r="A936" t="s">
        <v>2182</v>
      </c>
      <c r="B936" t="s">
        <v>31</v>
      </c>
      <c r="C936" t="s">
        <v>2884</v>
      </c>
      <c r="D936" t="s">
        <v>2883</v>
      </c>
      <c r="E936" t="str">
        <f t="shared" si="162"/>
        <v>400441</v>
      </c>
      <c r="F936" t="s">
        <v>65</v>
      </c>
      <c r="G936">
        <v>4</v>
      </c>
      <c r="H936">
        <v>0</v>
      </c>
      <c r="J936" t="str">
        <f t="shared" si="163"/>
        <v>153000397</v>
      </c>
      <c r="K936" s="1">
        <v>48015</v>
      </c>
      <c r="M936" s="1">
        <v>46190</v>
      </c>
      <c r="N936" t="str">
        <f t="shared" si="164"/>
        <v>1329001980</v>
      </c>
      <c r="O936">
        <v>4</v>
      </c>
      <c r="P936" s="2">
        <v>46229.336701388886</v>
      </c>
      <c r="Q936" s="2">
        <v>46229.336712962962</v>
      </c>
      <c r="R936" s="2">
        <v>46229.336701388886</v>
      </c>
      <c r="S936">
        <v>0</v>
      </c>
      <c r="T936" t="s">
        <v>2079</v>
      </c>
      <c r="U936" t="s">
        <v>2079</v>
      </c>
      <c r="W936" t="str">
        <f t="shared" si="165"/>
        <v>400441</v>
      </c>
      <c r="X936" t="s">
        <v>41</v>
      </c>
    </row>
    <row r="937" spans="1:30" x14ac:dyDescent="0.35">
      <c r="A937" t="s">
        <v>2182</v>
      </c>
      <c r="B937" t="s">
        <v>31</v>
      </c>
      <c r="C937" t="s">
        <v>2885</v>
      </c>
      <c r="D937" t="s">
        <v>2883</v>
      </c>
      <c r="E937" t="str">
        <f t="shared" si="162"/>
        <v>400441</v>
      </c>
      <c r="F937" t="s">
        <v>65</v>
      </c>
      <c r="G937">
        <v>4</v>
      </c>
      <c r="H937">
        <v>0</v>
      </c>
      <c r="J937" t="str">
        <f t="shared" si="163"/>
        <v>153000397</v>
      </c>
      <c r="K937" s="1">
        <v>48015</v>
      </c>
      <c r="M937" s="1">
        <v>46190</v>
      </c>
      <c r="N937" t="str">
        <f t="shared" si="164"/>
        <v>1329001980</v>
      </c>
      <c r="O937">
        <v>4</v>
      </c>
      <c r="P937" s="2">
        <v>46229.337905092594</v>
      </c>
      <c r="Q937" s="2">
        <v>46229.337905092594</v>
      </c>
      <c r="R937" s="2">
        <v>46229.337905092594</v>
      </c>
      <c r="S937">
        <v>0</v>
      </c>
      <c r="T937" t="s">
        <v>2079</v>
      </c>
      <c r="U937" t="s">
        <v>2079</v>
      </c>
      <c r="W937" t="str">
        <f t="shared" si="165"/>
        <v>400441</v>
      </c>
      <c r="X937" t="s">
        <v>41</v>
      </c>
    </row>
    <row r="938" spans="1:30" x14ac:dyDescent="0.35">
      <c r="A938" t="s">
        <v>2182</v>
      </c>
      <c r="B938" t="s">
        <v>31</v>
      </c>
      <c r="C938" t="s">
        <v>2886</v>
      </c>
      <c r="D938" t="s">
        <v>2883</v>
      </c>
      <c r="E938" t="str">
        <f t="shared" si="162"/>
        <v>400441</v>
      </c>
      <c r="F938" t="s">
        <v>65</v>
      </c>
      <c r="G938">
        <v>4</v>
      </c>
      <c r="H938">
        <v>0</v>
      </c>
      <c r="J938" t="str">
        <f t="shared" si="163"/>
        <v>153000397</v>
      </c>
      <c r="K938" s="1">
        <v>48015</v>
      </c>
      <c r="M938" s="1">
        <v>46190</v>
      </c>
      <c r="N938" t="str">
        <f t="shared" si="164"/>
        <v>1329001980</v>
      </c>
      <c r="O938">
        <v>4</v>
      </c>
      <c r="P938" s="2">
        <v>46229.34039351852</v>
      </c>
      <c r="Q938" s="2">
        <v>46229.34039351852</v>
      </c>
      <c r="R938" s="2">
        <v>46229.34039351852</v>
      </c>
      <c r="S938">
        <v>0</v>
      </c>
      <c r="T938" t="s">
        <v>2079</v>
      </c>
      <c r="U938" t="s">
        <v>2079</v>
      </c>
      <c r="W938" t="str">
        <f t="shared" si="165"/>
        <v>400441</v>
      </c>
      <c r="X938" t="s">
        <v>41</v>
      </c>
    </row>
    <row r="939" spans="1:30" x14ac:dyDescent="0.35">
      <c r="A939" t="s">
        <v>2182</v>
      </c>
      <c r="B939" t="s">
        <v>31</v>
      </c>
      <c r="C939" t="s">
        <v>2887</v>
      </c>
      <c r="D939" t="s">
        <v>2883</v>
      </c>
      <c r="E939" t="str">
        <f t="shared" si="162"/>
        <v>400441</v>
      </c>
      <c r="F939" t="s">
        <v>65</v>
      </c>
      <c r="G939">
        <v>4</v>
      </c>
      <c r="H939">
        <v>0</v>
      </c>
      <c r="J939" t="str">
        <f t="shared" si="163"/>
        <v>153000397</v>
      </c>
      <c r="K939" s="1">
        <v>48015</v>
      </c>
      <c r="M939" s="1">
        <v>46190</v>
      </c>
      <c r="N939" t="str">
        <f t="shared" si="164"/>
        <v>1329001980</v>
      </c>
      <c r="O939">
        <v>4</v>
      </c>
      <c r="P939" s="2">
        <v>46229.341678240744</v>
      </c>
      <c r="Q939" s="2">
        <v>46229.341678240744</v>
      </c>
      <c r="R939" s="2">
        <v>46229.341678240744</v>
      </c>
      <c r="S939">
        <v>0</v>
      </c>
      <c r="T939" t="s">
        <v>2079</v>
      </c>
      <c r="U939" t="s">
        <v>2079</v>
      </c>
      <c r="W939" t="str">
        <f t="shared" si="165"/>
        <v>400441</v>
      </c>
      <c r="X939" t="s">
        <v>41</v>
      </c>
    </row>
    <row r="940" spans="1:30" x14ac:dyDescent="0.35">
      <c r="A940" t="s">
        <v>2182</v>
      </c>
      <c r="B940" t="s">
        <v>31</v>
      </c>
      <c r="C940" t="s">
        <v>2888</v>
      </c>
      <c r="D940" t="s">
        <v>2883</v>
      </c>
      <c r="E940" t="str">
        <f t="shared" si="162"/>
        <v>400441</v>
      </c>
      <c r="F940" t="s">
        <v>65</v>
      </c>
      <c r="G940">
        <v>4</v>
      </c>
      <c r="H940">
        <v>0</v>
      </c>
      <c r="J940" t="str">
        <f t="shared" si="163"/>
        <v>153000397</v>
      </c>
      <c r="K940" s="1">
        <v>48015</v>
      </c>
      <c r="M940" s="1">
        <v>46190</v>
      </c>
      <c r="N940" t="str">
        <f t="shared" si="164"/>
        <v>1329001980</v>
      </c>
      <c r="O940">
        <v>4</v>
      </c>
      <c r="P940" s="2">
        <v>46229.343900462962</v>
      </c>
      <c r="Q940" s="2">
        <v>46229.343900462962</v>
      </c>
      <c r="R940" s="2">
        <v>46229.343900462962</v>
      </c>
      <c r="S940">
        <v>0</v>
      </c>
      <c r="T940" t="s">
        <v>2079</v>
      </c>
      <c r="U940" t="s">
        <v>2079</v>
      </c>
      <c r="W940" t="str">
        <f t="shared" si="165"/>
        <v>400441</v>
      </c>
      <c r="X940" t="s">
        <v>41</v>
      </c>
    </row>
    <row r="941" spans="1:30" x14ac:dyDescent="0.35">
      <c r="A941" t="s">
        <v>2182</v>
      </c>
      <c r="B941" t="s">
        <v>31</v>
      </c>
      <c r="C941" t="s">
        <v>2889</v>
      </c>
      <c r="D941" t="s">
        <v>2883</v>
      </c>
      <c r="E941" t="str">
        <f t="shared" si="162"/>
        <v>400441</v>
      </c>
      <c r="F941" t="s">
        <v>65</v>
      </c>
      <c r="G941">
        <v>4</v>
      </c>
      <c r="H941">
        <v>0</v>
      </c>
      <c r="J941" t="str">
        <f t="shared" si="163"/>
        <v>153000397</v>
      </c>
      <c r="K941" s="1">
        <v>48015</v>
      </c>
      <c r="M941" s="1">
        <v>46190</v>
      </c>
      <c r="N941" t="str">
        <f t="shared" si="164"/>
        <v>1329001980</v>
      </c>
      <c r="O941">
        <v>4</v>
      </c>
      <c r="P941" s="2">
        <v>46229.345069444447</v>
      </c>
      <c r="Q941" s="2">
        <v>46229.345069444447</v>
      </c>
      <c r="R941" s="2">
        <v>46229.345069444447</v>
      </c>
      <c r="S941">
        <v>0</v>
      </c>
      <c r="T941" t="s">
        <v>2079</v>
      </c>
      <c r="U941" t="s">
        <v>2079</v>
      </c>
      <c r="W941" t="str">
        <f t="shared" si="165"/>
        <v>400441</v>
      </c>
      <c r="X941" t="s">
        <v>41</v>
      </c>
    </row>
    <row r="942" spans="1:30" x14ac:dyDescent="0.35">
      <c r="A942" t="s">
        <v>2182</v>
      </c>
      <c r="B942" t="s">
        <v>31</v>
      </c>
      <c r="C942" t="s">
        <v>2890</v>
      </c>
      <c r="D942" t="s">
        <v>2883</v>
      </c>
      <c r="E942" t="str">
        <f t="shared" si="162"/>
        <v>400441</v>
      </c>
      <c r="F942" t="s">
        <v>65</v>
      </c>
      <c r="G942">
        <v>4</v>
      </c>
      <c r="H942">
        <v>0</v>
      </c>
      <c r="J942" t="str">
        <f t="shared" si="163"/>
        <v>153000397</v>
      </c>
      <c r="K942" s="1">
        <v>48015</v>
      </c>
      <c r="M942" s="1">
        <v>46190</v>
      </c>
      <c r="N942" t="str">
        <f t="shared" si="164"/>
        <v>1329001980</v>
      </c>
      <c r="O942">
        <v>4</v>
      </c>
      <c r="P942" s="2">
        <v>46229.345729166664</v>
      </c>
      <c r="Q942" s="2">
        <v>46229.345729166664</v>
      </c>
      <c r="R942" s="2">
        <v>46229.345729166664</v>
      </c>
      <c r="S942">
        <v>0</v>
      </c>
      <c r="T942" t="s">
        <v>2079</v>
      </c>
      <c r="U942" t="s">
        <v>2079</v>
      </c>
      <c r="W942" t="str">
        <f t="shared" si="165"/>
        <v>400441</v>
      </c>
      <c r="X942" t="s">
        <v>41</v>
      </c>
    </row>
    <row r="943" spans="1:30" x14ac:dyDescent="0.35">
      <c r="A943" t="s">
        <v>2182</v>
      </c>
      <c r="B943" t="s">
        <v>31</v>
      </c>
      <c r="C943" t="s">
        <v>2891</v>
      </c>
      <c r="D943" t="s">
        <v>2883</v>
      </c>
      <c r="E943" t="str">
        <f t="shared" si="162"/>
        <v>400441</v>
      </c>
      <c r="F943" t="s">
        <v>65</v>
      </c>
      <c r="G943">
        <v>4</v>
      </c>
      <c r="H943">
        <v>0</v>
      </c>
      <c r="J943" t="str">
        <f t="shared" si="163"/>
        <v>153000397</v>
      </c>
      <c r="K943" s="1">
        <v>48015</v>
      </c>
      <c r="M943" s="1">
        <v>46190</v>
      </c>
      <c r="N943" t="str">
        <f t="shared" si="164"/>
        <v>1329001980</v>
      </c>
      <c r="O943">
        <v>4</v>
      </c>
      <c r="P943" s="2">
        <v>46229.346990740742</v>
      </c>
      <c r="Q943" s="2">
        <v>46229.347002314818</v>
      </c>
      <c r="R943" s="2">
        <v>46229.346990740742</v>
      </c>
      <c r="S943">
        <v>0</v>
      </c>
      <c r="T943" t="s">
        <v>2079</v>
      </c>
      <c r="U943" t="s">
        <v>2079</v>
      </c>
      <c r="W943" t="str">
        <f t="shared" si="165"/>
        <v>400441</v>
      </c>
      <c r="X943" t="s">
        <v>41</v>
      </c>
    </row>
    <row r="944" spans="1:30" x14ac:dyDescent="0.35">
      <c r="A944" t="s">
        <v>2182</v>
      </c>
      <c r="B944" t="s">
        <v>31</v>
      </c>
      <c r="C944" t="s">
        <v>2892</v>
      </c>
      <c r="D944" t="s">
        <v>2883</v>
      </c>
      <c r="E944" t="str">
        <f t="shared" si="162"/>
        <v>400441</v>
      </c>
      <c r="F944" t="s">
        <v>65</v>
      </c>
      <c r="G944">
        <v>4</v>
      </c>
      <c r="H944">
        <v>0</v>
      </c>
      <c r="J944" t="str">
        <f>"153000473"</f>
        <v>153000473</v>
      </c>
      <c r="K944" s="1">
        <v>48048</v>
      </c>
      <c r="M944" s="1">
        <v>46223</v>
      </c>
      <c r="N944" t="str">
        <f t="shared" si="164"/>
        <v>1329001980</v>
      </c>
      <c r="O944">
        <v>4</v>
      </c>
      <c r="P944" s="2">
        <v>46229.347719907404</v>
      </c>
      <c r="Q944" s="2">
        <v>46229.347719907404</v>
      </c>
      <c r="R944" s="2">
        <v>46229.347719907404</v>
      </c>
      <c r="S944">
        <v>0</v>
      </c>
      <c r="T944" t="s">
        <v>2079</v>
      </c>
      <c r="U944" t="s">
        <v>2079</v>
      </c>
      <c r="W944" t="str">
        <f t="shared" si="165"/>
        <v>400441</v>
      </c>
      <c r="X944" t="s">
        <v>41</v>
      </c>
    </row>
    <row r="945" spans="1:30" x14ac:dyDescent="0.35">
      <c r="A945" t="s">
        <v>2182</v>
      </c>
      <c r="B945" t="s">
        <v>31</v>
      </c>
      <c r="C945" t="s">
        <v>2893</v>
      </c>
      <c r="D945" t="s">
        <v>2883</v>
      </c>
      <c r="E945" t="str">
        <f t="shared" si="162"/>
        <v>400441</v>
      </c>
      <c r="F945" t="s">
        <v>65</v>
      </c>
      <c r="G945">
        <v>4</v>
      </c>
      <c r="H945">
        <v>0</v>
      </c>
      <c r="J945" t="str">
        <f>"153000473"</f>
        <v>153000473</v>
      </c>
      <c r="K945" s="1">
        <v>48048</v>
      </c>
      <c r="M945" s="1">
        <v>46223</v>
      </c>
      <c r="N945" t="str">
        <f t="shared" si="164"/>
        <v>1329001980</v>
      </c>
      <c r="O945">
        <v>4</v>
      </c>
      <c r="P945" s="2">
        <v>46229.349363425928</v>
      </c>
      <c r="Q945" s="2">
        <v>46229.349363425928</v>
      </c>
      <c r="R945" s="2">
        <v>46229.349363425928</v>
      </c>
      <c r="S945">
        <v>0</v>
      </c>
      <c r="T945" t="s">
        <v>2079</v>
      </c>
      <c r="U945" t="s">
        <v>2079</v>
      </c>
      <c r="W945" t="str">
        <f t="shared" si="165"/>
        <v>400441</v>
      </c>
      <c r="X945" t="s">
        <v>41</v>
      </c>
    </row>
    <row r="946" spans="1:30" x14ac:dyDescent="0.35">
      <c r="A946" t="s">
        <v>2182</v>
      </c>
      <c r="B946" t="s">
        <v>31</v>
      </c>
      <c r="C946" t="s">
        <v>2894</v>
      </c>
      <c r="D946" t="s">
        <v>2883</v>
      </c>
      <c r="E946" t="str">
        <f t="shared" si="162"/>
        <v>400441</v>
      </c>
      <c r="F946" t="s">
        <v>65</v>
      </c>
      <c r="G946">
        <v>4</v>
      </c>
      <c r="H946">
        <v>0</v>
      </c>
      <c r="J946" t="str">
        <f>"153000473"</f>
        <v>153000473</v>
      </c>
      <c r="K946" s="1">
        <v>48048</v>
      </c>
      <c r="M946" s="1">
        <v>46223</v>
      </c>
      <c r="N946" t="str">
        <f t="shared" si="164"/>
        <v>1329001980</v>
      </c>
      <c r="O946">
        <v>4</v>
      </c>
      <c r="P946" s="2">
        <v>46229.350914351853</v>
      </c>
      <c r="Q946" s="2">
        <v>46229.350925925923</v>
      </c>
      <c r="R946" s="2">
        <v>46229.350914351853</v>
      </c>
      <c r="S946">
        <v>0</v>
      </c>
      <c r="T946" t="s">
        <v>2079</v>
      </c>
      <c r="U946" t="s">
        <v>2079</v>
      </c>
      <c r="W946" t="str">
        <f t="shared" si="165"/>
        <v>400441</v>
      </c>
      <c r="X946" t="s">
        <v>41</v>
      </c>
    </row>
    <row r="947" spans="1:30" x14ac:dyDescent="0.35">
      <c r="A947" t="s">
        <v>2182</v>
      </c>
      <c r="B947" t="s">
        <v>31</v>
      </c>
      <c r="C947" t="s">
        <v>2895</v>
      </c>
      <c r="D947" t="s">
        <v>33</v>
      </c>
      <c r="E947" t="str">
        <f>"400900"</f>
        <v>400900</v>
      </c>
      <c r="F947" t="s">
        <v>1702</v>
      </c>
      <c r="G947">
        <v>32</v>
      </c>
      <c r="H947">
        <v>0</v>
      </c>
      <c r="I947" t="s">
        <v>2896</v>
      </c>
      <c r="J947" t="str">
        <f>"950001506"</f>
        <v>950001506</v>
      </c>
      <c r="K947" s="1">
        <v>48049</v>
      </c>
      <c r="M947" s="1">
        <v>46224</v>
      </c>
      <c r="N947" t="str">
        <f t="shared" ref="N947:N961" si="166">"1329001989"</f>
        <v>1329001989</v>
      </c>
      <c r="O947">
        <v>32</v>
      </c>
      <c r="P947" s="2">
        <v>46228.565706018519</v>
      </c>
      <c r="Q947" s="2">
        <v>46229.462222222224</v>
      </c>
      <c r="R947" s="2">
        <v>46228.565706018519</v>
      </c>
      <c r="S947">
        <v>0</v>
      </c>
      <c r="T947" t="s">
        <v>2079</v>
      </c>
      <c r="U947" t="s">
        <v>2079</v>
      </c>
      <c r="W947" t="str">
        <f>"400900"</f>
        <v>400900</v>
      </c>
      <c r="X947" t="s">
        <v>37</v>
      </c>
      <c r="AD947" s="2">
        <v>46229.462222222224</v>
      </c>
    </row>
    <row r="948" spans="1:30" x14ac:dyDescent="0.35">
      <c r="A948" t="s">
        <v>2182</v>
      </c>
      <c r="B948" t="s">
        <v>31</v>
      </c>
      <c r="C948" t="s">
        <v>2897</v>
      </c>
      <c r="D948" t="s">
        <v>33</v>
      </c>
      <c r="E948" t="str">
        <f>"400900"</f>
        <v>400900</v>
      </c>
      <c r="F948" t="s">
        <v>1702</v>
      </c>
      <c r="G948">
        <v>32</v>
      </c>
      <c r="H948">
        <v>0</v>
      </c>
      <c r="I948" t="s">
        <v>2898</v>
      </c>
      <c r="J948" t="str">
        <f>"950001506"</f>
        <v>950001506</v>
      </c>
      <c r="K948" s="1">
        <v>48049</v>
      </c>
      <c r="M948" s="1">
        <v>46224</v>
      </c>
      <c r="N948" t="str">
        <f t="shared" si="166"/>
        <v>1329001989</v>
      </c>
      <c r="O948">
        <v>32</v>
      </c>
      <c r="P948" s="2">
        <v>46228.56621527778</v>
      </c>
      <c r="Q948" s="2">
        <v>46229.464826388888</v>
      </c>
      <c r="R948" s="2">
        <v>46228.56621527778</v>
      </c>
      <c r="S948">
        <v>0</v>
      </c>
      <c r="T948" t="s">
        <v>2079</v>
      </c>
      <c r="U948" t="s">
        <v>2079</v>
      </c>
      <c r="W948" t="str">
        <f>"400900"</f>
        <v>400900</v>
      </c>
      <c r="X948" t="s">
        <v>37</v>
      </c>
      <c r="AD948" s="2">
        <v>46229.464826388888</v>
      </c>
    </row>
    <row r="949" spans="1:30" x14ac:dyDescent="0.35">
      <c r="A949" t="s">
        <v>2182</v>
      </c>
      <c r="B949" t="s">
        <v>31</v>
      </c>
      <c r="C949" t="s">
        <v>2899</v>
      </c>
      <c r="D949" t="s">
        <v>33</v>
      </c>
      <c r="E949" t="str">
        <f>"400900"</f>
        <v>400900</v>
      </c>
      <c r="F949" t="s">
        <v>1702</v>
      </c>
      <c r="G949">
        <v>32</v>
      </c>
      <c r="H949">
        <v>0</v>
      </c>
      <c r="I949" t="s">
        <v>2900</v>
      </c>
      <c r="J949" t="str">
        <f>"950001506"</f>
        <v>950001506</v>
      </c>
      <c r="K949" s="1">
        <v>48049</v>
      </c>
      <c r="M949" s="1">
        <v>46224</v>
      </c>
      <c r="N949" t="str">
        <f t="shared" si="166"/>
        <v>1329001989</v>
      </c>
      <c r="O949">
        <v>32</v>
      </c>
      <c r="P949" s="2">
        <v>46228.566747685189</v>
      </c>
      <c r="Q949" s="2">
        <v>46229.469965277778</v>
      </c>
      <c r="R949" s="2">
        <v>46228.566747685189</v>
      </c>
      <c r="S949">
        <v>0</v>
      </c>
      <c r="T949" t="s">
        <v>2079</v>
      </c>
      <c r="U949" t="s">
        <v>2079</v>
      </c>
      <c r="W949" t="str">
        <f>"400900"</f>
        <v>400900</v>
      </c>
      <c r="X949" t="s">
        <v>37</v>
      </c>
      <c r="AD949" s="2">
        <v>46229.469965277778</v>
      </c>
    </row>
    <row r="950" spans="1:30" x14ac:dyDescent="0.35">
      <c r="A950" t="s">
        <v>2182</v>
      </c>
      <c r="B950" t="s">
        <v>31</v>
      </c>
      <c r="C950" t="s">
        <v>2901</v>
      </c>
      <c r="D950" t="s">
        <v>33</v>
      </c>
      <c r="E950" t="str">
        <f>"400900"</f>
        <v>400900</v>
      </c>
      <c r="F950" t="s">
        <v>1702</v>
      </c>
      <c r="G950">
        <v>32</v>
      </c>
      <c r="H950">
        <v>0</v>
      </c>
      <c r="I950" t="s">
        <v>2902</v>
      </c>
      <c r="J950" t="str">
        <f>"950001506"</f>
        <v>950001506</v>
      </c>
      <c r="K950" s="1">
        <v>48049</v>
      </c>
      <c r="M950" s="1">
        <v>46224</v>
      </c>
      <c r="N950" t="str">
        <f t="shared" si="166"/>
        <v>1329001989</v>
      </c>
      <c r="O950">
        <v>32</v>
      </c>
      <c r="P950" s="2">
        <v>46228.567372685182</v>
      </c>
      <c r="Q950" s="2">
        <v>46229.472754629627</v>
      </c>
      <c r="R950" s="2">
        <v>46228.567372685182</v>
      </c>
      <c r="S950">
        <v>0</v>
      </c>
      <c r="T950" t="s">
        <v>2079</v>
      </c>
      <c r="U950" t="s">
        <v>2079</v>
      </c>
      <c r="W950" t="str">
        <f>"400900"</f>
        <v>400900</v>
      </c>
      <c r="X950" t="s">
        <v>37</v>
      </c>
      <c r="AD950" s="2">
        <v>46229.472754629627</v>
      </c>
    </row>
    <row r="951" spans="1:30" x14ac:dyDescent="0.35">
      <c r="A951" t="s">
        <v>2182</v>
      </c>
      <c r="B951" t="s">
        <v>31</v>
      </c>
      <c r="C951" t="s">
        <v>2903</v>
      </c>
      <c r="D951" t="s">
        <v>33</v>
      </c>
      <c r="E951" t="str">
        <f>"400900"</f>
        <v>400900</v>
      </c>
      <c r="F951" t="s">
        <v>1702</v>
      </c>
      <c r="G951">
        <v>32</v>
      </c>
      <c r="H951">
        <v>0</v>
      </c>
      <c r="I951" t="s">
        <v>2904</v>
      </c>
      <c r="J951" t="str">
        <f>"950001506"</f>
        <v>950001506</v>
      </c>
      <c r="K951" s="1">
        <v>48049</v>
      </c>
      <c r="M951" s="1">
        <v>46224</v>
      </c>
      <c r="N951" t="str">
        <f t="shared" si="166"/>
        <v>1329001989</v>
      </c>
      <c r="O951">
        <v>32</v>
      </c>
      <c r="P951" s="2">
        <v>46228.570034722223</v>
      </c>
      <c r="Q951" s="2">
        <v>46229.476631944446</v>
      </c>
      <c r="R951" s="2">
        <v>46228.570034722223</v>
      </c>
      <c r="S951">
        <v>0</v>
      </c>
      <c r="T951" t="s">
        <v>2079</v>
      </c>
      <c r="U951" t="s">
        <v>2079</v>
      </c>
      <c r="W951" t="str">
        <f>"400900"</f>
        <v>400900</v>
      </c>
      <c r="X951" t="s">
        <v>37</v>
      </c>
      <c r="AD951" s="2">
        <v>46229.476631944446</v>
      </c>
    </row>
    <row r="952" spans="1:30" x14ac:dyDescent="0.35">
      <c r="A952" t="s">
        <v>2182</v>
      </c>
      <c r="B952" t="s">
        <v>31</v>
      </c>
      <c r="C952" t="s">
        <v>2905</v>
      </c>
      <c r="D952" t="s">
        <v>33</v>
      </c>
      <c r="E952" t="str">
        <f>"400902"</f>
        <v>400902</v>
      </c>
      <c r="F952" t="s">
        <v>1627</v>
      </c>
      <c r="G952">
        <v>32</v>
      </c>
      <c r="H952">
        <v>0</v>
      </c>
      <c r="I952" t="s">
        <v>2533</v>
      </c>
      <c r="J952" t="str">
        <f>"950001504"</f>
        <v>950001504</v>
      </c>
      <c r="K952" s="1">
        <v>48042</v>
      </c>
      <c r="M952" s="1">
        <v>46217</v>
      </c>
      <c r="N952" t="str">
        <f t="shared" si="166"/>
        <v>1329001989</v>
      </c>
      <c r="O952">
        <v>32</v>
      </c>
      <c r="P952" s="2">
        <v>46228.571435185186</v>
      </c>
      <c r="Q952" s="2">
        <v>46229.479513888888</v>
      </c>
      <c r="R952" s="2">
        <v>46228.571435185186</v>
      </c>
      <c r="S952">
        <v>0</v>
      </c>
      <c r="T952" t="s">
        <v>2079</v>
      </c>
      <c r="U952" t="s">
        <v>2079</v>
      </c>
      <c r="W952" t="str">
        <f>"400902"</f>
        <v>400902</v>
      </c>
      <c r="X952" t="s">
        <v>37</v>
      </c>
      <c r="AD952" s="2">
        <v>46229.479513888888</v>
      </c>
    </row>
    <row r="953" spans="1:30" x14ac:dyDescent="0.35">
      <c r="A953" t="s">
        <v>2182</v>
      </c>
      <c r="B953" t="s">
        <v>31</v>
      </c>
      <c r="C953" t="s">
        <v>2906</v>
      </c>
      <c r="D953" t="s">
        <v>33</v>
      </c>
      <c r="E953" t="str">
        <f>"400902"</f>
        <v>400902</v>
      </c>
      <c r="F953" t="s">
        <v>1627</v>
      </c>
      <c r="G953">
        <v>32</v>
      </c>
      <c r="H953">
        <v>0</v>
      </c>
      <c r="I953" t="s">
        <v>2907</v>
      </c>
      <c r="J953" t="str">
        <f>"950001504"</f>
        <v>950001504</v>
      </c>
      <c r="K953" s="1">
        <v>48042</v>
      </c>
      <c r="M953" s="1">
        <v>46217</v>
      </c>
      <c r="N953" t="str">
        <f t="shared" si="166"/>
        <v>1329001989</v>
      </c>
      <c r="O953">
        <v>32</v>
      </c>
      <c r="P953" s="2">
        <v>46228.572442129633</v>
      </c>
      <c r="Q953" s="2">
        <v>46229.487500000003</v>
      </c>
      <c r="R953" s="2">
        <v>46228.572442129633</v>
      </c>
      <c r="S953">
        <v>0</v>
      </c>
      <c r="T953" t="s">
        <v>2079</v>
      </c>
      <c r="U953" t="s">
        <v>2079</v>
      </c>
      <c r="W953" t="str">
        <f>"400902"</f>
        <v>400902</v>
      </c>
      <c r="X953" t="s">
        <v>37</v>
      </c>
      <c r="AD953" s="2">
        <v>46229.487500000003</v>
      </c>
    </row>
    <row r="954" spans="1:30" x14ac:dyDescent="0.35">
      <c r="A954" t="s">
        <v>2182</v>
      </c>
      <c r="B954" t="s">
        <v>31</v>
      </c>
      <c r="C954" t="s">
        <v>2908</v>
      </c>
      <c r="D954" t="s">
        <v>33</v>
      </c>
      <c r="E954" t="str">
        <f>"400902"</f>
        <v>400902</v>
      </c>
      <c r="F954" t="s">
        <v>1627</v>
      </c>
      <c r="G954">
        <v>32</v>
      </c>
      <c r="H954">
        <v>0</v>
      </c>
      <c r="I954" t="s">
        <v>2909</v>
      </c>
      <c r="J954" t="str">
        <f>"950001504"</f>
        <v>950001504</v>
      </c>
      <c r="K954" s="1">
        <v>48042</v>
      </c>
      <c r="M954" s="1">
        <v>46217</v>
      </c>
      <c r="N954" t="str">
        <f t="shared" si="166"/>
        <v>1329001989</v>
      </c>
      <c r="O954">
        <v>32</v>
      </c>
      <c r="P954" s="2">
        <v>46228.572800925926</v>
      </c>
      <c r="Q954" s="2">
        <v>46229.487569444442</v>
      </c>
      <c r="R954" s="2">
        <v>46228.572800925926</v>
      </c>
      <c r="S954">
        <v>0</v>
      </c>
      <c r="T954" t="s">
        <v>2079</v>
      </c>
      <c r="U954" t="s">
        <v>2079</v>
      </c>
      <c r="W954" t="str">
        <f>"400902"</f>
        <v>400902</v>
      </c>
      <c r="X954" t="s">
        <v>37</v>
      </c>
      <c r="AD954" s="2">
        <v>46229.487569444442</v>
      </c>
    </row>
    <row r="955" spans="1:30" x14ac:dyDescent="0.35">
      <c r="A955" t="s">
        <v>2182</v>
      </c>
      <c r="B955" t="s">
        <v>31</v>
      </c>
      <c r="C955" t="s">
        <v>2910</v>
      </c>
      <c r="D955" t="s">
        <v>33</v>
      </c>
      <c r="E955" t="str">
        <f>"400902"</f>
        <v>400902</v>
      </c>
      <c r="F955" t="s">
        <v>1627</v>
      </c>
      <c r="G955">
        <v>32</v>
      </c>
      <c r="H955">
        <v>0</v>
      </c>
      <c r="I955" t="s">
        <v>2911</v>
      </c>
      <c r="J955" t="str">
        <f>"950001504"</f>
        <v>950001504</v>
      </c>
      <c r="K955" s="1">
        <v>48042</v>
      </c>
      <c r="M955" s="1">
        <v>46217</v>
      </c>
      <c r="N955" t="str">
        <f t="shared" si="166"/>
        <v>1329001989</v>
      </c>
      <c r="O955">
        <v>32</v>
      </c>
      <c r="P955" s="2">
        <v>46228.573298611111</v>
      </c>
      <c r="Q955" s="2">
        <v>46229.490995370368</v>
      </c>
      <c r="R955" s="2">
        <v>46228.573298611111</v>
      </c>
      <c r="S955">
        <v>0</v>
      </c>
      <c r="T955" t="s">
        <v>2079</v>
      </c>
      <c r="U955" t="s">
        <v>2079</v>
      </c>
      <c r="W955" t="str">
        <f>"400902"</f>
        <v>400902</v>
      </c>
      <c r="X955" t="s">
        <v>37</v>
      </c>
      <c r="AD955" s="2">
        <v>46229.490995370368</v>
      </c>
    </row>
    <row r="956" spans="1:30" x14ac:dyDescent="0.35">
      <c r="A956" t="s">
        <v>2182</v>
      </c>
      <c r="B956" t="s">
        <v>31</v>
      </c>
      <c r="C956" t="s">
        <v>2912</v>
      </c>
      <c r="D956" t="s">
        <v>33</v>
      </c>
      <c r="E956" t="str">
        <f>"400900"</f>
        <v>400900</v>
      </c>
      <c r="F956" t="s">
        <v>1702</v>
      </c>
      <c r="G956">
        <v>32</v>
      </c>
      <c r="H956">
        <v>0</v>
      </c>
      <c r="I956" t="s">
        <v>2591</v>
      </c>
      <c r="J956" t="str">
        <f>"950001506"</f>
        <v>950001506</v>
      </c>
      <c r="K956" s="1">
        <v>48049</v>
      </c>
      <c r="M956" s="1">
        <v>46224</v>
      </c>
      <c r="N956" t="str">
        <f t="shared" si="166"/>
        <v>1329001989</v>
      </c>
      <c r="O956">
        <v>32</v>
      </c>
      <c r="P956" s="2">
        <v>46228.564074074071</v>
      </c>
      <c r="Q956" s="2">
        <v>46229.555347222224</v>
      </c>
      <c r="R956" s="2">
        <v>46228.564074074071</v>
      </c>
      <c r="S956">
        <v>0</v>
      </c>
      <c r="T956" t="s">
        <v>2079</v>
      </c>
      <c r="U956" t="s">
        <v>2079</v>
      </c>
      <c r="W956" t="str">
        <f>"400900"</f>
        <v>400900</v>
      </c>
      <c r="X956" t="s">
        <v>37</v>
      </c>
      <c r="AD956" s="2">
        <v>46229.555347222224</v>
      </c>
    </row>
    <row r="957" spans="1:30" x14ac:dyDescent="0.35">
      <c r="A957" t="s">
        <v>2182</v>
      </c>
      <c r="B957" t="s">
        <v>31</v>
      </c>
      <c r="C957" t="s">
        <v>2913</v>
      </c>
      <c r="D957" t="s">
        <v>33</v>
      </c>
      <c r="E957" t="str">
        <f>"400902"</f>
        <v>400902</v>
      </c>
      <c r="F957" t="s">
        <v>1627</v>
      </c>
      <c r="G957">
        <v>32</v>
      </c>
      <c r="H957">
        <v>0</v>
      </c>
      <c r="I957" t="s">
        <v>2914</v>
      </c>
      <c r="J957" t="str">
        <f>"950001504"</f>
        <v>950001504</v>
      </c>
      <c r="K957" s="1">
        <v>48042</v>
      </c>
      <c r="M957" s="1">
        <v>46217</v>
      </c>
      <c r="N957" t="str">
        <f t="shared" si="166"/>
        <v>1329001989</v>
      </c>
      <c r="O957">
        <v>32</v>
      </c>
      <c r="P957" s="2">
        <v>46228.573923611111</v>
      </c>
      <c r="Q957" s="2">
        <v>46229.558587962965</v>
      </c>
      <c r="R957" s="2">
        <v>46228.573923611111</v>
      </c>
      <c r="S957">
        <v>0</v>
      </c>
      <c r="T957" t="s">
        <v>2079</v>
      </c>
      <c r="U957" t="s">
        <v>2079</v>
      </c>
      <c r="W957" t="str">
        <f>"400902"</f>
        <v>400902</v>
      </c>
      <c r="X957" t="s">
        <v>37</v>
      </c>
      <c r="AD957" s="2">
        <v>46229.558587962965</v>
      </c>
    </row>
    <row r="958" spans="1:30" x14ac:dyDescent="0.35">
      <c r="A958" t="s">
        <v>2182</v>
      </c>
      <c r="B958" t="s">
        <v>31</v>
      </c>
      <c r="C958" t="s">
        <v>2915</v>
      </c>
      <c r="D958" t="s">
        <v>33</v>
      </c>
      <c r="E958" t="str">
        <f>"400902"</f>
        <v>400902</v>
      </c>
      <c r="F958" t="s">
        <v>1627</v>
      </c>
      <c r="G958">
        <v>32</v>
      </c>
      <c r="H958">
        <v>0</v>
      </c>
      <c r="I958" t="s">
        <v>2916</v>
      </c>
      <c r="J958" t="str">
        <f>"950001504"</f>
        <v>950001504</v>
      </c>
      <c r="K958" s="1">
        <v>48042</v>
      </c>
      <c r="M958" s="1">
        <v>46217</v>
      </c>
      <c r="N958" t="str">
        <f t="shared" si="166"/>
        <v>1329001989</v>
      </c>
      <c r="O958">
        <v>32</v>
      </c>
      <c r="P958" s="2">
        <v>46228.575023148151</v>
      </c>
      <c r="Q958" s="2">
        <v>46229.559745370374</v>
      </c>
      <c r="R958" s="2">
        <v>46228.575023148151</v>
      </c>
      <c r="S958">
        <v>0</v>
      </c>
      <c r="T958" t="s">
        <v>2079</v>
      </c>
      <c r="U958" t="s">
        <v>2079</v>
      </c>
      <c r="W958" t="str">
        <f>"400902"</f>
        <v>400902</v>
      </c>
      <c r="X958" t="s">
        <v>37</v>
      </c>
      <c r="AD958" s="2">
        <v>46229.559745370374</v>
      </c>
    </row>
    <row r="959" spans="1:30" x14ac:dyDescent="0.35">
      <c r="A959" t="s">
        <v>2182</v>
      </c>
      <c r="B959" t="s">
        <v>31</v>
      </c>
      <c r="C959" t="s">
        <v>2917</v>
      </c>
      <c r="D959" t="s">
        <v>33</v>
      </c>
      <c r="E959" t="str">
        <f>"400902"</f>
        <v>400902</v>
      </c>
      <c r="F959" t="s">
        <v>1627</v>
      </c>
      <c r="G959">
        <v>32</v>
      </c>
      <c r="H959">
        <v>0</v>
      </c>
      <c r="I959" t="s">
        <v>2918</v>
      </c>
      <c r="J959" t="str">
        <f>"950001504"</f>
        <v>950001504</v>
      </c>
      <c r="K959" s="1">
        <v>48042</v>
      </c>
      <c r="M959" s="1">
        <v>46217</v>
      </c>
      <c r="N959" t="str">
        <f t="shared" si="166"/>
        <v>1329001989</v>
      </c>
      <c r="O959">
        <v>32</v>
      </c>
      <c r="P959" s="2">
        <v>46228.575844907406</v>
      </c>
      <c r="Q959" s="2">
        <v>46229.561261574076</v>
      </c>
      <c r="R959" s="2">
        <v>46228.575844907406</v>
      </c>
      <c r="S959">
        <v>0</v>
      </c>
      <c r="T959" t="s">
        <v>2079</v>
      </c>
      <c r="U959" t="s">
        <v>2079</v>
      </c>
      <c r="W959" t="str">
        <f>"400902"</f>
        <v>400902</v>
      </c>
      <c r="X959" t="s">
        <v>37</v>
      </c>
      <c r="AD959" s="2">
        <v>46229.561261574076</v>
      </c>
    </row>
    <row r="960" spans="1:30" x14ac:dyDescent="0.35">
      <c r="A960" t="s">
        <v>2182</v>
      </c>
      <c r="B960" t="s">
        <v>31</v>
      </c>
      <c r="C960" t="s">
        <v>2919</v>
      </c>
      <c r="D960" t="s">
        <v>33</v>
      </c>
      <c r="E960" t="str">
        <f>"400900"</f>
        <v>400900</v>
      </c>
      <c r="F960" t="s">
        <v>1702</v>
      </c>
      <c r="G960">
        <v>32</v>
      </c>
      <c r="H960">
        <v>0</v>
      </c>
      <c r="I960" t="s">
        <v>2920</v>
      </c>
      <c r="J960" t="str">
        <f>"950001506"</f>
        <v>950001506</v>
      </c>
      <c r="K960" s="1">
        <v>48049</v>
      </c>
      <c r="M960" s="1">
        <v>46224</v>
      </c>
      <c r="N960" t="str">
        <f t="shared" si="166"/>
        <v>1329001989</v>
      </c>
      <c r="O960">
        <v>32</v>
      </c>
      <c r="P960" s="2">
        <v>46228.563402777778</v>
      </c>
      <c r="Q960" s="2">
        <v>46229.562650462962</v>
      </c>
      <c r="R960" s="2">
        <v>46228.563391203701</v>
      </c>
      <c r="S960">
        <v>0</v>
      </c>
      <c r="T960" t="s">
        <v>2079</v>
      </c>
      <c r="U960" t="s">
        <v>2079</v>
      </c>
      <c r="W960" t="str">
        <f>"400900"</f>
        <v>400900</v>
      </c>
      <c r="X960" t="s">
        <v>37</v>
      </c>
      <c r="AD960" s="2">
        <v>46229.562650462962</v>
      </c>
    </row>
    <row r="961" spans="1:30" x14ac:dyDescent="0.35">
      <c r="A961" t="s">
        <v>2182</v>
      </c>
      <c r="B961" t="s">
        <v>31</v>
      </c>
      <c r="C961" t="s">
        <v>2921</v>
      </c>
      <c r="D961" t="s">
        <v>33</v>
      </c>
      <c r="E961" t="str">
        <f>"400902"</f>
        <v>400902</v>
      </c>
      <c r="F961" t="s">
        <v>1627</v>
      </c>
      <c r="G961">
        <v>32</v>
      </c>
      <c r="H961">
        <v>0</v>
      </c>
      <c r="I961" t="s">
        <v>2592</v>
      </c>
      <c r="J961" t="str">
        <f>"950001505"</f>
        <v>950001505</v>
      </c>
      <c r="K961" s="1">
        <v>48042</v>
      </c>
      <c r="M961" s="1">
        <v>46217</v>
      </c>
      <c r="N961" t="str">
        <f t="shared" si="166"/>
        <v>1329001989</v>
      </c>
      <c r="O961">
        <v>32</v>
      </c>
      <c r="P961" s="2">
        <v>46228.568495370368</v>
      </c>
      <c r="Q961" s="2">
        <v>46229.564201388886</v>
      </c>
      <c r="R961" s="2">
        <v>46228.568495370368</v>
      </c>
      <c r="S961">
        <v>0</v>
      </c>
      <c r="T961" t="s">
        <v>2079</v>
      </c>
      <c r="U961" t="s">
        <v>2079</v>
      </c>
      <c r="W961" t="str">
        <f>"400902"</f>
        <v>400902</v>
      </c>
      <c r="X961" t="s">
        <v>37</v>
      </c>
      <c r="AD961" s="2">
        <v>46229.564201388886</v>
      </c>
    </row>
    <row r="962" spans="1:30" x14ac:dyDescent="0.35">
      <c r="A962" t="s">
        <v>2182</v>
      </c>
      <c r="B962" t="s">
        <v>31</v>
      </c>
      <c r="C962" t="s">
        <v>2922</v>
      </c>
      <c r="D962" t="s">
        <v>33</v>
      </c>
      <c r="E962" t="str">
        <f>"400930"</f>
        <v>400930</v>
      </c>
      <c r="F962" t="s">
        <v>1024</v>
      </c>
      <c r="G962">
        <v>24</v>
      </c>
      <c r="H962">
        <v>0</v>
      </c>
      <c r="I962" t="s">
        <v>2923</v>
      </c>
      <c r="J962" t="str">
        <f>"153000462"</f>
        <v>153000462</v>
      </c>
      <c r="K962" s="1">
        <v>48044</v>
      </c>
      <c r="M962" s="1">
        <v>46219</v>
      </c>
      <c r="N962" t="str">
        <f t="shared" ref="N962:N967" si="167">"1329001979"</f>
        <v>1329001979</v>
      </c>
      <c r="O962">
        <v>24</v>
      </c>
      <c r="P962" s="2">
        <v>46229.569074074076</v>
      </c>
      <c r="Q962" s="2">
        <v>46229.582511574074</v>
      </c>
      <c r="R962" s="2">
        <v>46229.569074074076</v>
      </c>
      <c r="S962">
        <v>0</v>
      </c>
      <c r="T962" t="s">
        <v>2079</v>
      </c>
      <c r="U962" t="s">
        <v>2079</v>
      </c>
      <c r="W962" t="str">
        <f>"400930"</f>
        <v>400930</v>
      </c>
      <c r="X962" t="s">
        <v>37</v>
      </c>
      <c r="AD962" s="2">
        <v>46229.582511574074</v>
      </c>
    </row>
    <row r="963" spans="1:30" x14ac:dyDescent="0.35">
      <c r="A963" t="s">
        <v>2182</v>
      </c>
      <c r="B963" t="s">
        <v>31</v>
      </c>
      <c r="C963" t="s">
        <v>2924</v>
      </c>
      <c r="D963" t="s">
        <v>33</v>
      </c>
      <c r="E963" t="str">
        <f>"401299"</f>
        <v>401299</v>
      </c>
      <c r="F963" t="s">
        <v>2925</v>
      </c>
      <c r="G963">
        <v>16</v>
      </c>
      <c r="H963">
        <v>0</v>
      </c>
      <c r="I963" t="s">
        <v>2926</v>
      </c>
      <c r="J963" t="str">
        <f>"153000463"</f>
        <v>153000463</v>
      </c>
      <c r="K963" s="1">
        <v>48044</v>
      </c>
      <c r="M963" s="1">
        <v>46219</v>
      </c>
      <c r="N963" t="str">
        <f t="shared" si="167"/>
        <v>1329001979</v>
      </c>
      <c r="O963">
        <v>16</v>
      </c>
      <c r="P963" s="2">
        <v>46229.569652777776</v>
      </c>
      <c r="Q963" s="2">
        <v>46229.585196759261</v>
      </c>
      <c r="R963" s="2">
        <v>46229.569652777776</v>
      </c>
      <c r="S963">
        <v>0</v>
      </c>
      <c r="T963" t="s">
        <v>2079</v>
      </c>
      <c r="U963" t="s">
        <v>2079</v>
      </c>
      <c r="W963" t="str">
        <f>"401299"</f>
        <v>401299</v>
      </c>
      <c r="X963" t="s">
        <v>378</v>
      </c>
      <c r="AD963" s="2">
        <v>46229.585185185184</v>
      </c>
    </row>
    <row r="964" spans="1:30" x14ac:dyDescent="0.35">
      <c r="A964" t="s">
        <v>2182</v>
      </c>
      <c r="B964" t="s">
        <v>31</v>
      </c>
      <c r="C964" t="s">
        <v>2927</v>
      </c>
      <c r="D964" t="s">
        <v>33</v>
      </c>
      <c r="E964" t="str">
        <f>"400930"</f>
        <v>400930</v>
      </c>
      <c r="F964" t="s">
        <v>1024</v>
      </c>
      <c r="G964">
        <v>24</v>
      </c>
      <c r="H964">
        <v>0</v>
      </c>
      <c r="I964" t="s">
        <v>2928</v>
      </c>
      <c r="J964" t="str">
        <f>"153000462"</f>
        <v>153000462</v>
      </c>
      <c r="K964" s="1">
        <v>48044</v>
      </c>
      <c r="M964" s="1">
        <v>46219</v>
      </c>
      <c r="N964" t="str">
        <f t="shared" si="167"/>
        <v>1329001979</v>
      </c>
      <c r="O964">
        <v>24</v>
      </c>
      <c r="P964" s="2">
        <v>46229.57</v>
      </c>
      <c r="Q964" s="2">
        <v>46229.588090277779</v>
      </c>
      <c r="R964" s="2">
        <v>46229.57</v>
      </c>
      <c r="S964">
        <v>0</v>
      </c>
      <c r="T964" t="s">
        <v>2079</v>
      </c>
      <c r="U964" t="s">
        <v>2079</v>
      </c>
      <c r="W964" t="str">
        <f>"400930"</f>
        <v>400930</v>
      </c>
      <c r="X964" t="s">
        <v>37</v>
      </c>
      <c r="AD964" s="2">
        <v>46229.588090277779</v>
      </c>
    </row>
    <row r="965" spans="1:30" x14ac:dyDescent="0.35">
      <c r="A965" t="s">
        <v>2182</v>
      </c>
      <c r="B965" t="s">
        <v>31</v>
      </c>
      <c r="C965" t="s">
        <v>2929</v>
      </c>
      <c r="D965" t="s">
        <v>33</v>
      </c>
      <c r="E965" t="str">
        <f>"400930"</f>
        <v>400930</v>
      </c>
      <c r="F965" t="s">
        <v>1024</v>
      </c>
      <c r="G965">
        <v>24</v>
      </c>
      <c r="H965">
        <v>0</v>
      </c>
      <c r="I965" t="s">
        <v>2930</v>
      </c>
      <c r="J965" t="str">
        <f>"153000462"</f>
        <v>153000462</v>
      </c>
      <c r="K965" s="1">
        <v>48044</v>
      </c>
      <c r="M965" s="1">
        <v>46219</v>
      </c>
      <c r="N965" t="str">
        <f t="shared" si="167"/>
        <v>1329001979</v>
      </c>
      <c r="O965">
        <v>24</v>
      </c>
      <c r="P965" s="2">
        <v>46229.5702662037</v>
      </c>
      <c r="Q965" s="2">
        <v>46229.590370370373</v>
      </c>
      <c r="R965" s="2">
        <v>46229.5702662037</v>
      </c>
      <c r="S965">
        <v>0</v>
      </c>
      <c r="T965" t="s">
        <v>2079</v>
      </c>
      <c r="U965" t="s">
        <v>2079</v>
      </c>
      <c r="W965" t="str">
        <f>"400930"</f>
        <v>400930</v>
      </c>
      <c r="X965" t="s">
        <v>37</v>
      </c>
      <c r="AD965" s="2">
        <v>46229.590370370373</v>
      </c>
    </row>
    <row r="966" spans="1:30" x14ac:dyDescent="0.35">
      <c r="A966" t="s">
        <v>2182</v>
      </c>
      <c r="B966" t="s">
        <v>31</v>
      </c>
      <c r="C966" t="s">
        <v>2931</v>
      </c>
      <c r="D966" t="s">
        <v>33</v>
      </c>
      <c r="E966" t="str">
        <f>"400930"</f>
        <v>400930</v>
      </c>
      <c r="F966" t="s">
        <v>1024</v>
      </c>
      <c r="G966">
        <v>24</v>
      </c>
      <c r="H966">
        <v>0</v>
      </c>
      <c r="I966" t="s">
        <v>2932</v>
      </c>
      <c r="J966" t="str">
        <f>"153000462"</f>
        <v>153000462</v>
      </c>
      <c r="K966" s="1">
        <v>48044</v>
      </c>
      <c r="M966" s="1">
        <v>46219</v>
      </c>
      <c r="N966" t="str">
        <f t="shared" si="167"/>
        <v>1329001979</v>
      </c>
      <c r="O966">
        <v>24</v>
      </c>
      <c r="P966" s="2">
        <v>46229.570567129631</v>
      </c>
      <c r="Q966" s="2">
        <v>46229.592499999999</v>
      </c>
      <c r="R966" s="2">
        <v>46229.570567129631</v>
      </c>
      <c r="S966">
        <v>0</v>
      </c>
      <c r="T966" t="s">
        <v>2079</v>
      </c>
      <c r="U966" t="s">
        <v>2079</v>
      </c>
      <c r="W966" t="str">
        <f>"400930"</f>
        <v>400930</v>
      </c>
      <c r="X966" t="s">
        <v>37</v>
      </c>
      <c r="AD966" s="2">
        <v>46229.592499999999</v>
      </c>
    </row>
    <row r="967" spans="1:30" x14ac:dyDescent="0.35">
      <c r="A967" t="s">
        <v>2182</v>
      </c>
      <c r="B967" t="s">
        <v>31</v>
      </c>
      <c r="C967" t="s">
        <v>2933</v>
      </c>
      <c r="D967" t="s">
        <v>33</v>
      </c>
      <c r="E967" t="str">
        <f>"400930"</f>
        <v>400930</v>
      </c>
      <c r="F967" t="s">
        <v>1024</v>
      </c>
      <c r="G967">
        <v>24</v>
      </c>
      <c r="H967">
        <v>0</v>
      </c>
      <c r="I967" t="s">
        <v>2934</v>
      </c>
      <c r="J967" t="str">
        <f>"153000462"</f>
        <v>153000462</v>
      </c>
      <c r="K967" s="1">
        <v>48044</v>
      </c>
      <c r="M967" s="1">
        <v>46219</v>
      </c>
      <c r="N967" t="str">
        <f t="shared" si="167"/>
        <v>1329001979</v>
      </c>
      <c r="O967">
        <v>24</v>
      </c>
      <c r="P967" s="2">
        <v>46229.570879629631</v>
      </c>
      <c r="Q967" s="2">
        <v>46229.594918981478</v>
      </c>
      <c r="R967" s="2">
        <v>46229.570879629631</v>
      </c>
      <c r="S967">
        <v>0</v>
      </c>
      <c r="T967" t="s">
        <v>2079</v>
      </c>
      <c r="U967" t="s">
        <v>2079</v>
      </c>
      <c r="W967" t="str">
        <f>"400930"</f>
        <v>400930</v>
      </c>
      <c r="X967" t="s">
        <v>37</v>
      </c>
      <c r="AD967" s="2">
        <v>46229.594918981478</v>
      </c>
    </row>
    <row r="968" spans="1:30" x14ac:dyDescent="0.35">
      <c r="A968" t="s">
        <v>2182</v>
      </c>
      <c r="B968" t="s">
        <v>31</v>
      </c>
      <c r="C968" t="s">
        <v>2935</v>
      </c>
      <c r="D968" t="s">
        <v>2883</v>
      </c>
      <c r="E968" t="str">
        <f>"401047"</f>
        <v>401047</v>
      </c>
      <c r="F968" t="s">
        <v>1730</v>
      </c>
      <c r="G968">
        <v>4</v>
      </c>
      <c r="H968">
        <v>0</v>
      </c>
      <c r="J968" t="str">
        <f>"153000449"</f>
        <v>153000449</v>
      </c>
      <c r="K968" s="1">
        <v>48040</v>
      </c>
      <c r="M968" s="1">
        <v>46215</v>
      </c>
      <c r="N968" t="str">
        <f t="shared" ref="N968:N974" si="168">"1329001986"</f>
        <v>1329001986</v>
      </c>
      <c r="O968">
        <v>4</v>
      </c>
      <c r="P968" s="2">
        <v>46229.653495370374</v>
      </c>
      <c r="Q968" s="2">
        <v>46229.653506944444</v>
      </c>
      <c r="R968" s="2">
        <v>46229.653495370374</v>
      </c>
      <c r="S968">
        <v>0</v>
      </c>
      <c r="T968" t="s">
        <v>2079</v>
      </c>
      <c r="U968" t="s">
        <v>2079</v>
      </c>
      <c r="W968" t="str">
        <f>"401047"</f>
        <v>401047</v>
      </c>
      <c r="X968" t="s">
        <v>41</v>
      </c>
    </row>
    <row r="969" spans="1:30" x14ac:dyDescent="0.35">
      <c r="A969" t="s">
        <v>2182</v>
      </c>
      <c r="B969" t="s">
        <v>31</v>
      </c>
      <c r="C969" t="s">
        <v>2936</v>
      </c>
      <c r="D969" t="s">
        <v>2883</v>
      </c>
      <c r="E969" t="str">
        <f>"401047"</f>
        <v>401047</v>
      </c>
      <c r="F969" t="s">
        <v>1730</v>
      </c>
      <c r="G969">
        <v>4</v>
      </c>
      <c r="H969">
        <v>0</v>
      </c>
      <c r="J969" t="str">
        <f>"153000449"</f>
        <v>153000449</v>
      </c>
      <c r="K969" s="1">
        <v>48040</v>
      </c>
      <c r="M969" s="1">
        <v>46215</v>
      </c>
      <c r="N969" t="str">
        <f t="shared" si="168"/>
        <v>1329001986</v>
      </c>
      <c r="O969">
        <v>4</v>
      </c>
      <c r="P969" s="2">
        <v>46229.654988425929</v>
      </c>
      <c r="Q969" s="2">
        <v>46229.654988425929</v>
      </c>
      <c r="R969" s="2">
        <v>46229.654988425929</v>
      </c>
      <c r="S969">
        <v>0</v>
      </c>
      <c r="T969" t="s">
        <v>2079</v>
      </c>
      <c r="U969" t="s">
        <v>2079</v>
      </c>
      <c r="W969" t="str">
        <f>"401047"</f>
        <v>401047</v>
      </c>
      <c r="X969" t="s">
        <v>41</v>
      </c>
    </row>
    <row r="970" spans="1:30" x14ac:dyDescent="0.35">
      <c r="A970" t="s">
        <v>2182</v>
      </c>
      <c r="B970" t="s">
        <v>31</v>
      </c>
      <c r="C970" t="s">
        <v>2937</v>
      </c>
      <c r="D970" t="s">
        <v>2883</v>
      </c>
      <c r="E970" t="str">
        <f>"401047"</f>
        <v>401047</v>
      </c>
      <c r="F970" t="s">
        <v>1730</v>
      </c>
      <c r="G970">
        <v>4</v>
      </c>
      <c r="H970">
        <v>0</v>
      </c>
      <c r="J970" t="str">
        <f>"153000449"</f>
        <v>153000449</v>
      </c>
      <c r="K970" s="1">
        <v>48040</v>
      </c>
      <c r="M970" s="1">
        <v>46215</v>
      </c>
      <c r="N970" t="str">
        <f t="shared" si="168"/>
        <v>1329001986</v>
      </c>
      <c r="O970">
        <v>4</v>
      </c>
      <c r="P970" s="2">
        <v>46229.655358796299</v>
      </c>
      <c r="Q970" s="2">
        <v>46229.655358796299</v>
      </c>
      <c r="R970" s="2">
        <v>46229.655358796299</v>
      </c>
      <c r="S970">
        <v>0</v>
      </c>
      <c r="T970" t="s">
        <v>2079</v>
      </c>
      <c r="U970" t="s">
        <v>2079</v>
      </c>
      <c r="W970" t="str">
        <f>"401047"</f>
        <v>401047</v>
      </c>
      <c r="X970" t="s">
        <v>41</v>
      </c>
    </row>
    <row r="971" spans="1:30" x14ac:dyDescent="0.35">
      <c r="A971" t="s">
        <v>2182</v>
      </c>
      <c r="B971" t="s">
        <v>31</v>
      </c>
      <c r="C971" t="s">
        <v>2938</v>
      </c>
      <c r="D971" t="s">
        <v>2883</v>
      </c>
      <c r="E971" t="str">
        <f>"401047"</f>
        <v>401047</v>
      </c>
      <c r="F971" t="s">
        <v>1730</v>
      </c>
      <c r="G971">
        <v>4</v>
      </c>
      <c r="H971">
        <v>0</v>
      </c>
      <c r="J971" t="str">
        <f>"153000449"</f>
        <v>153000449</v>
      </c>
      <c r="K971" s="1">
        <v>48040</v>
      </c>
      <c r="M971" s="1">
        <v>46215</v>
      </c>
      <c r="N971" t="str">
        <f t="shared" si="168"/>
        <v>1329001986</v>
      </c>
      <c r="O971">
        <v>4</v>
      </c>
      <c r="P971" s="2">
        <v>46229.657939814817</v>
      </c>
      <c r="Q971" s="2">
        <v>46229.657939814817</v>
      </c>
      <c r="R971" s="2">
        <v>46229.657939814817</v>
      </c>
      <c r="S971">
        <v>0</v>
      </c>
      <c r="T971" t="s">
        <v>2079</v>
      </c>
      <c r="U971" t="s">
        <v>2079</v>
      </c>
      <c r="W971" t="str">
        <f>"401047"</f>
        <v>401047</v>
      </c>
      <c r="X971" t="s">
        <v>41</v>
      </c>
    </row>
    <row r="972" spans="1:30" x14ac:dyDescent="0.35">
      <c r="A972" t="s">
        <v>2182</v>
      </c>
      <c r="B972" t="s">
        <v>31</v>
      </c>
      <c r="C972" t="s">
        <v>2939</v>
      </c>
      <c r="D972" t="s">
        <v>2883</v>
      </c>
      <c r="E972" t="str">
        <f>"401149"</f>
        <v>401149</v>
      </c>
      <c r="F972" t="s">
        <v>1051</v>
      </c>
      <c r="G972">
        <v>4</v>
      </c>
      <c r="H972">
        <v>0</v>
      </c>
      <c r="J972" t="str">
        <f>"153000305"</f>
        <v>153000305</v>
      </c>
      <c r="K972" s="1">
        <v>47976</v>
      </c>
      <c r="M972" s="1">
        <v>46151</v>
      </c>
      <c r="N972" t="str">
        <f t="shared" si="168"/>
        <v>1329001986</v>
      </c>
      <c r="O972">
        <v>4</v>
      </c>
      <c r="P972" s="2">
        <v>46229.662511574075</v>
      </c>
      <c r="Q972" s="2">
        <v>46229.662511574075</v>
      </c>
      <c r="R972" s="2">
        <v>46229.662511574075</v>
      </c>
      <c r="S972">
        <v>0</v>
      </c>
      <c r="T972" t="s">
        <v>2079</v>
      </c>
      <c r="U972" t="s">
        <v>2079</v>
      </c>
      <c r="W972" t="str">
        <f>"401149"</f>
        <v>401149</v>
      </c>
      <c r="X972" t="s">
        <v>41</v>
      </c>
    </row>
    <row r="973" spans="1:30" x14ac:dyDescent="0.35">
      <c r="A973" t="s">
        <v>2182</v>
      </c>
      <c r="B973" t="s">
        <v>31</v>
      </c>
      <c r="C973" t="s">
        <v>2940</v>
      </c>
      <c r="D973" t="s">
        <v>2883</v>
      </c>
      <c r="E973" t="str">
        <f>"401149"</f>
        <v>401149</v>
      </c>
      <c r="F973" t="s">
        <v>1051</v>
      </c>
      <c r="G973">
        <v>4</v>
      </c>
      <c r="H973">
        <v>0</v>
      </c>
      <c r="J973" t="str">
        <f>"153000305"</f>
        <v>153000305</v>
      </c>
      <c r="K973" s="1">
        <v>47976</v>
      </c>
      <c r="M973" s="1">
        <v>46151</v>
      </c>
      <c r="N973" t="str">
        <f t="shared" si="168"/>
        <v>1329001986</v>
      </c>
      <c r="O973">
        <v>4</v>
      </c>
      <c r="P973" s="2">
        <v>46229.665208333332</v>
      </c>
      <c r="Q973" s="2">
        <v>46229.665208333332</v>
      </c>
      <c r="R973" s="2">
        <v>46229.665208333332</v>
      </c>
      <c r="S973">
        <v>0</v>
      </c>
      <c r="T973" t="s">
        <v>2079</v>
      </c>
      <c r="U973" t="s">
        <v>2079</v>
      </c>
      <c r="W973" t="str">
        <f>"401149"</f>
        <v>401149</v>
      </c>
      <c r="X973" t="s">
        <v>41</v>
      </c>
    </row>
    <row r="974" spans="1:30" x14ac:dyDescent="0.35">
      <c r="A974" t="s">
        <v>2182</v>
      </c>
      <c r="B974" t="s">
        <v>31</v>
      </c>
      <c r="C974" t="s">
        <v>2941</v>
      </c>
      <c r="D974" t="s">
        <v>2883</v>
      </c>
      <c r="E974" t="str">
        <f>"401047"</f>
        <v>401047</v>
      </c>
      <c r="F974" t="s">
        <v>1730</v>
      </c>
      <c r="G974">
        <v>4</v>
      </c>
      <c r="H974">
        <v>0</v>
      </c>
      <c r="J974" t="str">
        <f>"153000449"</f>
        <v>153000449</v>
      </c>
      <c r="K974" s="1">
        <v>48040</v>
      </c>
      <c r="M974" s="1">
        <v>46215</v>
      </c>
      <c r="N974" t="str">
        <f t="shared" si="168"/>
        <v>1329001986</v>
      </c>
      <c r="O974">
        <v>4</v>
      </c>
      <c r="P974" s="2">
        <v>46229.666250000002</v>
      </c>
      <c r="Q974" s="2">
        <v>46229.666250000002</v>
      </c>
      <c r="R974" s="2">
        <v>46229.666250000002</v>
      </c>
      <c r="S974">
        <v>0</v>
      </c>
      <c r="T974" t="s">
        <v>2079</v>
      </c>
      <c r="U974" t="s">
        <v>2079</v>
      </c>
      <c r="W974" t="str">
        <f>"401047"</f>
        <v>401047</v>
      </c>
      <c r="X974" t="s">
        <v>41</v>
      </c>
    </row>
    <row r="975" spans="1:30" x14ac:dyDescent="0.35">
      <c r="A975" t="s">
        <v>2182</v>
      </c>
      <c r="B975" t="s">
        <v>31</v>
      </c>
      <c r="C975" t="s">
        <v>2942</v>
      </c>
      <c r="D975" t="s">
        <v>33</v>
      </c>
      <c r="E975" t="str">
        <f>"400900"</f>
        <v>400900</v>
      </c>
      <c r="F975" t="s">
        <v>1702</v>
      </c>
      <c r="G975">
        <v>30</v>
      </c>
      <c r="H975">
        <v>0</v>
      </c>
      <c r="I975" t="s">
        <v>2454</v>
      </c>
      <c r="J975" t="str">
        <f>"950001506"</f>
        <v>950001506</v>
      </c>
      <c r="K975" s="1">
        <v>48049</v>
      </c>
      <c r="M975" s="1">
        <v>46224</v>
      </c>
      <c r="N975" t="str">
        <f>"1329001989"</f>
        <v>1329001989</v>
      </c>
      <c r="O975">
        <v>32</v>
      </c>
      <c r="P975" s="2">
        <v>46228.56517361111</v>
      </c>
      <c r="Q975" s="2">
        <v>46231.343831018516</v>
      </c>
      <c r="R975" s="2">
        <v>46228.56517361111</v>
      </c>
      <c r="S975">
        <v>0</v>
      </c>
      <c r="T975" t="s">
        <v>2079</v>
      </c>
      <c r="U975" t="s">
        <v>2079</v>
      </c>
      <c r="W975" t="str">
        <f>"400900"</f>
        <v>400900</v>
      </c>
      <c r="X975" t="s">
        <v>37</v>
      </c>
      <c r="AD975" s="2">
        <v>46229.45988425926</v>
      </c>
    </row>
    <row r="976" spans="1:30" x14ac:dyDescent="0.35">
      <c r="A976" t="s">
        <v>2182</v>
      </c>
      <c r="B976" t="s">
        <v>31</v>
      </c>
      <c r="C976" t="s">
        <v>2943</v>
      </c>
      <c r="D976" t="s">
        <v>33</v>
      </c>
      <c r="E976" t="str">
        <f>"400474"</f>
        <v>400474</v>
      </c>
      <c r="F976" t="s">
        <v>1689</v>
      </c>
      <c r="G976">
        <v>19</v>
      </c>
      <c r="H976">
        <v>0</v>
      </c>
      <c r="I976" t="s">
        <v>2453</v>
      </c>
      <c r="J976" t="str">
        <f>"153000419"</f>
        <v>153000419</v>
      </c>
      <c r="K976" s="1">
        <v>48025</v>
      </c>
      <c r="M976" s="1">
        <v>46200</v>
      </c>
      <c r="N976" t="str">
        <f>"1329001951"</f>
        <v>1329001951</v>
      </c>
      <c r="O976">
        <v>39</v>
      </c>
      <c r="P976" s="2">
        <v>46218.573877314811</v>
      </c>
      <c r="Q976" s="2">
        <v>46231.343865740739</v>
      </c>
      <c r="R976" s="2">
        <v>46218.573877314811</v>
      </c>
      <c r="S976">
        <v>0</v>
      </c>
      <c r="T976" t="s">
        <v>2079</v>
      </c>
      <c r="U976" t="s">
        <v>2079</v>
      </c>
      <c r="W976" t="str">
        <f>"400474"</f>
        <v>400474</v>
      </c>
      <c r="X976" t="s">
        <v>37</v>
      </c>
      <c r="AD976" s="2">
        <v>46219.382152777776</v>
      </c>
    </row>
    <row r="977" spans="1:30" x14ac:dyDescent="0.35">
      <c r="A977" t="s">
        <v>2182</v>
      </c>
      <c r="B977" t="s">
        <v>31</v>
      </c>
      <c r="C977" t="s">
        <v>2944</v>
      </c>
      <c r="D977" t="s">
        <v>2883</v>
      </c>
      <c r="E977" t="str">
        <f>"400914"</f>
        <v>400914</v>
      </c>
      <c r="F977" t="s">
        <v>2205</v>
      </c>
      <c r="G977">
        <v>4</v>
      </c>
      <c r="H977">
        <v>0</v>
      </c>
      <c r="J977" t="str">
        <f>"400004620"</f>
        <v>400004620</v>
      </c>
      <c r="K977" s="1">
        <v>48036</v>
      </c>
      <c r="M977" s="1">
        <v>46211</v>
      </c>
      <c r="N977" t="str">
        <f>"1329001991"</f>
        <v>1329001991</v>
      </c>
      <c r="O977">
        <v>4</v>
      </c>
      <c r="P977" s="2">
        <v>46231.574143518519</v>
      </c>
      <c r="Q977" s="2">
        <v>46231.574143518519</v>
      </c>
      <c r="R977" s="2">
        <v>46231.574143518519</v>
      </c>
      <c r="S977">
        <v>0</v>
      </c>
      <c r="T977" t="s">
        <v>2079</v>
      </c>
      <c r="U977" t="s">
        <v>2079</v>
      </c>
      <c r="W977" t="str">
        <f>"400914"</f>
        <v>400914</v>
      </c>
      <c r="X977" t="s">
        <v>41</v>
      </c>
    </row>
    <row r="978" spans="1:30" x14ac:dyDescent="0.35">
      <c r="A978" t="s">
        <v>2182</v>
      </c>
      <c r="B978" t="s">
        <v>31</v>
      </c>
      <c r="C978" t="s">
        <v>2945</v>
      </c>
      <c r="D978" t="s">
        <v>33</v>
      </c>
      <c r="E978" t="str">
        <f t="shared" ref="E978:E992" si="169">"400445"</f>
        <v>400445</v>
      </c>
      <c r="F978" t="s">
        <v>424</v>
      </c>
      <c r="G978">
        <v>4</v>
      </c>
      <c r="H978">
        <v>0</v>
      </c>
      <c r="I978" t="s">
        <v>2462</v>
      </c>
      <c r="J978" t="str">
        <f t="shared" ref="J978:J992" si="170">"153000452"</f>
        <v>153000452</v>
      </c>
      <c r="K978" s="1">
        <v>48041</v>
      </c>
      <c r="M978" s="1">
        <v>46216</v>
      </c>
      <c r="N978" t="str">
        <f t="shared" ref="N978:N992" si="171">"1329001969"</f>
        <v>1329001969</v>
      </c>
      <c r="O978">
        <v>4</v>
      </c>
      <c r="P978" s="2">
        <v>46225.641701388886</v>
      </c>
      <c r="Q978" s="2">
        <v>46232.445960648147</v>
      </c>
      <c r="R978" s="2">
        <v>46225.641701388886</v>
      </c>
      <c r="S978">
        <v>0</v>
      </c>
      <c r="T978" t="s">
        <v>2079</v>
      </c>
      <c r="U978" t="s">
        <v>2079</v>
      </c>
      <c r="V978" t="s">
        <v>2946</v>
      </c>
      <c r="W978" t="str">
        <f t="shared" ref="W978:W992" si="172">"400445"</f>
        <v>400445</v>
      </c>
      <c r="X978" t="s">
        <v>41</v>
      </c>
      <c r="AD978" s="2">
        <v>46228.475381944445</v>
      </c>
    </row>
    <row r="979" spans="1:30" x14ac:dyDescent="0.35">
      <c r="A979" t="s">
        <v>2182</v>
      </c>
      <c r="B979" t="s">
        <v>31</v>
      </c>
      <c r="C979" t="s">
        <v>2947</v>
      </c>
      <c r="D979" t="s">
        <v>33</v>
      </c>
      <c r="E979" t="str">
        <f t="shared" si="169"/>
        <v>400445</v>
      </c>
      <c r="F979" t="s">
        <v>424</v>
      </c>
      <c r="G979">
        <v>4</v>
      </c>
      <c r="H979">
        <v>0</v>
      </c>
      <c r="I979" t="s">
        <v>2462</v>
      </c>
      <c r="J979" t="str">
        <f t="shared" si="170"/>
        <v>153000452</v>
      </c>
      <c r="K979" s="1">
        <v>48041</v>
      </c>
      <c r="M979" s="1">
        <v>46216</v>
      </c>
      <c r="N979" t="str">
        <f t="shared" si="171"/>
        <v>1329001969</v>
      </c>
      <c r="O979">
        <v>4</v>
      </c>
      <c r="P979" s="2">
        <v>46225.641122685185</v>
      </c>
      <c r="Q979" s="2">
        <v>46232.44903935185</v>
      </c>
      <c r="R979" s="2">
        <v>46225.641122685185</v>
      </c>
      <c r="S979">
        <v>0</v>
      </c>
      <c r="T979" t="s">
        <v>2079</v>
      </c>
      <c r="U979" t="s">
        <v>2079</v>
      </c>
      <c r="V979" t="s">
        <v>2697</v>
      </c>
      <c r="W979" t="str">
        <f t="shared" si="172"/>
        <v>400445</v>
      </c>
      <c r="X979" t="s">
        <v>41</v>
      </c>
      <c r="AD979" s="2">
        <v>46228.475138888891</v>
      </c>
    </row>
    <row r="980" spans="1:30" x14ac:dyDescent="0.35">
      <c r="A980" t="s">
        <v>2182</v>
      </c>
      <c r="B980" t="s">
        <v>31</v>
      </c>
      <c r="C980" t="s">
        <v>2948</v>
      </c>
      <c r="D980" t="s">
        <v>33</v>
      </c>
      <c r="E980" t="str">
        <f t="shared" si="169"/>
        <v>400445</v>
      </c>
      <c r="F980" t="s">
        <v>424</v>
      </c>
      <c r="G980">
        <v>4</v>
      </c>
      <c r="H980">
        <v>0</v>
      </c>
      <c r="I980" t="s">
        <v>2462</v>
      </c>
      <c r="J980" t="str">
        <f t="shared" si="170"/>
        <v>153000452</v>
      </c>
      <c r="K980" s="1">
        <v>48041</v>
      </c>
      <c r="M980" s="1">
        <v>46216</v>
      </c>
      <c r="N980" t="str">
        <f t="shared" si="171"/>
        <v>1329001969</v>
      </c>
      <c r="O980">
        <v>4</v>
      </c>
      <c r="P980" s="2">
        <v>46225.640219907407</v>
      </c>
      <c r="Q980" s="2">
        <v>46232.451423611114</v>
      </c>
      <c r="R980" s="2">
        <v>46225.640219907407</v>
      </c>
      <c r="S980">
        <v>0</v>
      </c>
      <c r="T980" t="s">
        <v>2079</v>
      </c>
      <c r="U980" t="s">
        <v>2079</v>
      </c>
      <c r="V980" t="s">
        <v>2949</v>
      </c>
      <c r="W980" t="str">
        <f t="shared" si="172"/>
        <v>400445</v>
      </c>
      <c r="X980" t="s">
        <v>41</v>
      </c>
      <c r="AD980" s="2">
        <v>46228.474409722221</v>
      </c>
    </row>
    <row r="981" spans="1:30" x14ac:dyDescent="0.35">
      <c r="A981" t="s">
        <v>2182</v>
      </c>
      <c r="B981" t="s">
        <v>31</v>
      </c>
      <c r="C981" t="s">
        <v>2950</v>
      </c>
      <c r="D981" t="s">
        <v>33</v>
      </c>
      <c r="E981" t="str">
        <f t="shared" si="169"/>
        <v>400445</v>
      </c>
      <c r="F981" t="s">
        <v>424</v>
      </c>
      <c r="G981">
        <v>4</v>
      </c>
      <c r="H981">
        <v>0</v>
      </c>
      <c r="I981" t="s">
        <v>2462</v>
      </c>
      <c r="J981" t="str">
        <f t="shared" si="170"/>
        <v>153000452</v>
      </c>
      <c r="K981" s="1">
        <v>48041</v>
      </c>
      <c r="M981" s="1">
        <v>46216</v>
      </c>
      <c r="N981" t="str">
        <f t="shared" si="171"/>
        <v>1329001969</v>
      </c>
      <c r="O981">
        <v>4</v>
      </c>
      <c r="P981" s="2">
        <v>46225.63989583333</v>
      </c>
      <c r="Q981" s="2">
        <v>46232.453576388885</v>
      </c>
      <c r="R981" s="2">
        <v>46225.63989583333</v>
      </c>
      <c r="S981">
        <v>0</v>
      </c>
      <c r="T981" t="s">
        <v>2079</v>
      </c>
      <c r="U981" t="s">
        <v>2079</v>
      </c>
      <c r="V981" t="s">
        <v>2951</v>
      </c>
      <c r="W981" t="str">
        <f t="shared" si="172"/>
        <v>400445</v>
      </c>
      <c r="X981" t="s">
        <v>41</v>
      </c>
      <c r="AD981" s="2">
        <v>46228.474178240744</v>
      </c>
    </row>
    <row r="982" spans="1:30" x14ac:dyDescent="0.35">
      <c r="A982" t="s">
        <v>2182</v>
      </c>
      <c r="B982" t="s">
        <v>31</v>
      </c>
      <c r="C982" t="s">
        <v>2952</v>
      </c>
      <c r="D982" t="s">
        <v>33</v>
      </c>
      <c r="E982" t="str">
        <f t="shared" si="169"/>
        <v>400445</v>
      </c>
      <c r="F982" t="s">
        <v>424</v>
      </c>
      <c r="G982">
        <v>4</v>
      </c>
      <c r="H982">
        <v>0</v>
      </c>
      <c r="I982" t="s">
        <v>2462</v>
      </c>
      <c r="J982" t="str">
        <f t="shared" si="170"/>
        <v>153000452</v>
      </c>
      <c r="K982" s="1">
        <v>48041</v>
      </c>
      <c r="M982" s="1">
        <v>46216</v>
      </c>
      <c r="N982" t="str">
        <f t="shared" si="171"/>
        <v>1329001969</v>
      </c>
      <c r="O982">
        <v>4</v>
      </c>
      <c r="P982" s="2">
        <v>46225.63957175926</v>
      </c>
      <c r="Q982" s="2">
        <v>46232.457708333335</v>
      </c>
      <c r="R982" s="2">
        <v>46225.63957175926</v>
      </c>
      <c r="S982">
        <v>0</v>
      </c>
      <c r="T982" t="s">
        <v>2079</v>
      </c>
      <c r="U982" t="s">
        <v>2079</v>
      </c>
      <c r="V982" t="s">
        <v>2953</v>
      </c>
      <c r="W982" t="str">
        <f t="shared" si="172"/>
        <v>400445</v>
      </c>
      <c r="X982" t="s">
        <v>41</v>
      </c>
      <c r="AD982" s="2">
        <v>46228.473958333336</v>
      </c>
    </row>
    <row r="983" spans="1:30" x14ac:dyDescent="0.35">
      <c r="A983" t="s">
        <v>2182</v>
      </c>
      <c r="B983" t="s">
        <v>31</v>
      </c>
      <c r="C983" t="s">
        <v>2954</v>
      </c>
      <c r="D983" t="s">
        <v>33</v>
      </c>
      <c r="E983" t="str">
        <f t="shared" si="169"/>
        <v>400445</v>
      </c>
      <c r="F983" t="s">
        <v>424</v>
      </c>
      <c r="G983">
        <v>4</v>
      </c>
      <c r="H983">
        <v>0</v>
      </c>
      <c r="I983" t="s">
        <v>2463</v>
      </c>
      <c r="J983" t="str">
        <f t="shared" si="170"/>
        <v>153000452</v>
      </c>
      <c r="K983" s="1">
        <v>48041</v>
      </c>
      <c r="M983" s="1">
        <v>46216</v>
      </c>
      <c r="N983" t="str">
        <f t="shared" si="171"/>
        <v>1329001969</v>
      </c>
      <c r="O983">
        <v>4</v>
      </c>
      <c r="P983" s="2">
        <v>46225.639293981483</v>
      </c>
      <c r="Q983" s="2">
        <v>46232.461319444446</v>
      </c>
      <c r="R983" s="2">
        <v>46225.639293981483</v>
      </c>
      <c r="S983">
        <v>0</v>
      </c>
      <c r="T983" t="s">
        <v>2079</v>
      </c>
      <c r="U983" t="s">
        <v>2079</v>
      </c>
      <c r="V983" t="s">
        <v>2955</v>
      </c>
      <c r="W983" t="str">
        <f t="shared" si="172"/>
        <v>400445</v>
      </c>
      <c r="X983" t="s">
        <v>41</v>
      </c>
      <c r="AD983" s="2">
        <v>46228.472546296296</v>
      </c>
    </row>
    <row r="984" spans="1:30" x14ac:dyDescent="0.35">
      <c r="A984" t="s">
        <v>2182</v>
      </c>
      <c r="B984" t="s">
        <v>31</v>
      </c>
      <c r="C984" t="s">
        <v>2956</v>
      </c>
      <c r="D984" t="s">
        <v>33</v>
      </c>
      <c r="E984" t="str">
        <f t="shared" si="169"/>
        <v>400445</v>
      </c>
      <c r="F984" t="s">
        <v>424</v>
      </c>
      <c r="G984">
        <v>4</v>
      </c>
      <c r="H984">
        <v>0</v>
      </c>
      <c r="I984" t="s">
        <v>2463</v>
      </c>
      <c r="J984" t="str">
        <f t="shared" si="170"/>
        <v>153000452</v>
      </c>
      <c r="K984" s="1">
        <v>48041</v>
      </c>
      <c r="M984" s="1">
        <v>46216</v>
      </c>
      <c r="N984" t="str">
        <f t="shared" si="171"/>
        <v>1329001969</v>
      </c>
      <c r="O984">
        <v>4</v>
      </c>
      <c r="P984" s="2">
        <v>46225.641469907408</v>
      </c>
      <c r="Q984" s="2">
        <v>46232.46503472222</v>
      </c>
      <c r="R984" s="2">
        <v>46225.641469907408</v>
      </c>
      <c r="S984">
        <v>0</v>
      </c>
      <c r="T984" t="s">
        <v>2079</v>
      </c>
      <c r="U984" t="s">
        <v>2079</v>
      </c>
      <c r="V984" t="s">
        <v>2957</v>
      </c>
      <c r="W984" t="str">
        <f t="shared" si="172"/>
        <v>400445</v>
      </c>
      <c r="X984" t="s">
        <v>41</v>
      </c>
      <c r="AD984" s="2">
        <v>46228.474930555552</v>
      </c>
    </row>
    <row r="985" spans="1:30" x14ac:dyDescent="0.35">
      <c r="A985" t="s">
        <v>2182</v>
      </c>
      <c r="B985" t="s">
        <v>31</v>
      </c>
      <c r="C985" t="s">
        <v>2958</v>
      </c>
      <c r="D985" t="s">
        <v>33</v>
      </c>
      <c r="E985" t="str">
        <f t="shared" si="169"/>
        <v>400445</v>
      </c>
      <c r="F985" t="s">
        <v>424</v>
      </c>
      <c r="G985">
        <v>4</v>
      </c>
      <c r="H985">
        <v>0</v>
      </c>
      <c r="I985" t="s">
        <v>2463</v>
      </c>
      <c r="J985" t="str">
        <f t="shared" si="170"/>
        <v>153000452</v>
      </c>
      <c r="K985" s="1">
        <v>48041</v>
      </c>
      <c r="M985" s="1">
        <v>46216</v>
      </c>
      <c r="N985" t="str">
        <f t="shared" si="171"/>
        <v>1329001969</v>
      </c>
      <c r="O985">
        <v>4</v>
      </c>
      <c r="P985" s="2">
        <v>46225.640567129631</v>
      </c>
      <c r="Q985" s="2">
        <v>46232.466574074075</v>
      </c>
      <c r="R985" s="2">
        <v>46225.640567129631</v>
      </c>
      <c r="S985">
        <v>0</v>
      </c>
      <c r="T985" t="s">
        <v>2079</v>
      </c>
      <c r="U985" t="s">
        <v>2079</v>
      </c>
      <c r="V985" t="s">
        <v>2959</v>
      </c>
      <c r="W985" t="str">
        <f t="shared" si="172"/>
        <v>400445</v>
      </c>
      <c r="X985" t="s">
        <v>41</v>
      </c>
      <c r="AD985" s="2">
        <v>46228.474699074075</v>
      </c>
    </row>
    <row r="986" spans="1:30" x14ac:dyDescent="0.35">
      <c r="A986" t="s">
        <v>2182</v>
      </c>
      <c r="B986" t="s">
        <v>31</v>
      </c>
      <c r="C986" t="s">
        <v>2960</v>
      </c>
      <c r="D986" t="s">
        <v>33</v>
      </c>
      <c r="E986" t="str">
        <f t="shared" si="169"/>
        <v>400445</v>
      </c>
      <c r="F986" t="s">
        <v>424</v>
      </c>
      <c r="G986">
        <v>4</v>
      </c>
      <c r="H986">
        <v>0</v>
      </c>
      <c r="I986" t="s">
        <v>2463</v>
      </c>
      <c r="J986" t="str">
        <f t="shared" si="170"/>
        <v>153000452</v>
      </c>
      <c r="K986" s="1">
        <v>48041</v>
      </c>
      <c r="M986" s="1">
        <v>46216</v>
      </c>
      <c r="N986" t="str">
        <f t="shared" si="171"/>
        <v>1329001969</v>
      </c>
      <c r="O986">
        <v>4</v>
      </c>
      <c r="P986" s="2">
        <v>46225.642384259256</v>
      </c>
      <c r="Q986" s="2">
        <v>46232.47347222222</v>
      </c>
      <c r="R986" s="2">
        <v>46225.642384259256</v>
      </c>
      <c r="S986">
        <v>0</v>
      </c>
      <c r="T986" t="s">
        <v>2079</v>
      </c>
      <c r="U986" t="s">
        <v>2079</v>
      </c>
      <c r="V986" t="s">
        <v>2961</v>
      </c>
      <c r="W986" t="str">
        <f t="shared" si="172"/>
        <v>400445</v>
      </c>
      <c r="X986" t="s">
        <v>41</v>
      </c>
      <c r="AD986" s="2">
        <v>46228.475902777776</v>
      </c>
    </row>
    <row r="987" spans="1:30" x14ac:dyDescent="0.35">
      <c r="A987" t="s">
        <v>2182</v>
      </c>
      <c r="B987" t="s">
        <v>31</v>
      </c>
      <c r="C987" t="s">
        <v>2962</v>
      </c>
      <c r="D987" t="s">
        <v>33</v>
      </c>
      <c r="E987" t="str">
        <f t="shared" si="169"/>
        <v>400445</v>
      </c>
      <c r="F987" t="s">
        <v>424</v>
      </c>
      <c r="G987">
        <v>4</v>
      </c>
      <c r="H987">
        <v>0</v>
      </c>
      <c r="I987" t="s">
        <v>2463</v>
      </c>
      <c r="J987" t="str">
        <f t="shared" si="170"/>
        <v>153000452</v>
      </c>
      <c r="K987" s="1">
        <v>48041</v>
      </c>
      <c r="M987" s="1">
        <v>46216</v>
      </c>
      <c r="N987" t="str">
        <f t="shared" si="171"/>
        <v>1329001969</v>
      </c>
      <c r="O987">
        <v>4</v>
      </c>
      <c r="P987" s="2">
        <v>46225.642048611109</v>
      </c>
      <c r="Q987" s="2">
        <v>46232.478541666664</v>
      </c>
      <c r="R987" s="2">
        <v>46225.642048611109</v>
      </c>
      <c r="S987">
        <v>0</v>
      </c>
      <c r="T987" t="s">
        <v>2079</v>
      </c>
      <c r="U987" t="s">
        <v>2079</v>
      </c>
      <c r="V987" t="s">
        <v>2963</v>
      </c>
      <c r="W987" t="str">
        <f t="shared" si="172"/>
        <v>400445</v>
      </c>
      <c r="X987" t="s">
        <v>41</v>
      </c>
      <c r="AD987" s="2">
        <v>46228.475659722222</v>
      </c>
    </row>
    <row r="988" spans="1:30" x14ac:dyDescent="0.35">
      <c r="A988" t="s">
        <v>2182</v>
      </c>
      <c r="B988" t="s">
        <v>31</v>
      </c>
      <c r="C988" t="s">
        <v>2964</v>
      </c>
      <c r="D988" t="s">
        <v>33</v>
      </c>
      <c r="E988" t="str">
        <f t="shared" si="169"/>
        <v>400445</v>
      </c>
      <c r="F988" t="s">
        <v>424</v>
      </c>
      <c r="G988">
        <v>4</v>
      </c>
      <c r="H988">
        <v>0</v>
      </c>
      <c r="I988" t="s">
        <v>2442</v>
      </c>
      <c r="J988" t="str">
        <f t="shared" si="170"/>
        <v>153000452</v>
      </c>
      <c r="K988" s="1">
        <v>48041</v>
      </c>
      <c r="M988" s="1">
        <v>46216</v>
      </c>
      <c r="N988" t="str">
        <f t="shared" si="171"/>
        <v>1329001969</v>
      </c>
      <c r="O988">
        <v>4</v>
      </c>
      <c r="P988" s="2">
        <v>46225.64261574074</v>
      </c>
      <c r="Q988" s="2">
        <v>46232.48269675926</v>
      </c>
      <c r="R988" s="2">
        <v>46225.64261574074</v>
      </c>
      <c r="S988">
        <v>0</v>
      </c>
      <c r="T988" t="s">
        <v>2079</v>
      </c>
      <c r="U988" t="s">
        <v>2079</v>
      </c>
      <c r="V988" t="s">
        <v>2965</v>
      </c>
      <c r="W988" t="str">
        <f t="shared" si="172"/>
        <v>400445</v>
      </c>
      <c r="X988" t="s">
        <v>41</v>
      </c>
      <c r="AD988" s="2">
        <v>46228.476099537038</v>
      </c>
    </row>
    <row r="989" spans="1:30" x14ac:dyDescent="0.35">
      <c r="A989" t="s">
        <v>2182</v>
      </c>
      <c r="B989" t="s">
        <v>31</v>
      </c>
      <c r="C989" t="s">
        <v>2966</v>
      </c>
      <c r="D989" t="s">
        <v>33</v>
      </c>
      <c r="E989" t="str">
        <f t="shared" si="169"/>
        <v>400445</v>
      </c>
      <c r="F989" t="s">
        <v>424</v>
      </c>
      <c r="G989">
        <v>4</v>
      </c>
      <c r="H989">
        <v>0</v>
      </c>
      <c r="I989" t="s">
        <v>2442</v>
      </c>
      <c r="J989" t="str">
        <f t="shared" si="170"/>
        <v>153000452</v>
      </c>
      <c r="K989" s="1">
        <v>48041</v>
      </c>
      <c r="M989" s="1">
        <v>46216</v>
      </c>
      <c r="N989" t="str">
        <f t="shared" si="171"/>
        <v>1329001969</v>
      </c>
      <c r="O989">
        <v>4</v>
      </c>
      <c r="P989" s="2">
        <v>46225.637164351851</v>
      </c>
      <c r="Q989" s="2">
        <v>46232.484398148146</v>
      </c>
      <c r="R989" s="2">
        <v>46225.637164351851</v>
      </c>
      <c r="S989">
        <v>0</v>
      </c>
      <c r="T989" t="s">
        <v>2079</v>
      </c>
      <c r="U989" t="s">
        <v>2079</v>
      </c>
      <c r="V989" t="s">
        <v>2967</v>
      </c>
      <c r="W989" t="str">
        <f t="shared" si="172"/>
        <v>400445</v>
      </c>
      <c r="X989" t="s">
        <v>41</v>
      </c>
      <c r="AD989" s="2">
        <v>46228.470636574071</v>
      </c>
    </row>
    <row r="990" spans="1:30" x14ac:dyDescent="0.35">
      <c r="A990" t="s">
        <v>2182</v>
      </c>
      <c r="B990" t="s">
        <v>31</v>
      </c>
      <c r="C990" t="s">
        <v>2968</v>
      </c>
      <c r="D990" t="s">
        <v>33</v>
      </c>
      <c r="E990" t="str">
        <f t="shared" si="169"/>
        <v>400445</v>
      </c>
      <c r="F990" t="s">
        <v>424</v>
      </c>
      <c r="G990">
        <v>4</v>
      </c>
      <c r="H990">
        <v>0</v>
      </c>
      <c r="I990" t="s">
        <v>2442</v>
      </c>
      <c r="J990" t="str">
        <f t="shared" si="170"/>
        <v>153000452</v>
      </c>
      <c r="K990" s="1">
        <v>48041</v>
      </c>
      <c r="M990" s="1">
        <v>46216</v>
      </c>
      <c r="N990" t="str">
        <f t="shared" si="171"/>
        <v>1329001969</v>
      </c>
      <c r="O990">
        <v>4</v>
      </c>
      <c r="P990" s="2">
        <v>46225.643090277779</v>
      </c>
      <c r="Q990" s="2">
        <v>46232.487071759257</v>
      </c>
      <c r="R990" s="2">
        <v>46225.643090277779</v>
      </c>
      <c r="S990">
        <v>0</v>
      </c>
      <c r="T990" t="s">
        <v>2079</v>
      </c>
      <c r="U990" t="s">
        <v>2079</v>
      </c>
      <c r="V990" t="s">
        <v>2969</v>
      </c>
      <c r="W990" t="str">
        <f t="shared" si="172"/>
        <v>400445</v>
      </c>
      <c r="X990" t="s">
        <v>41</v>
      </c>
      <c r="AD990" s="2">
        <v>46228.476504629631</v>
      </c>
    </row>
    <row r="991" spans="1:30" x14ac:dyDescent="0.35">
      <c r="A991" t="s">
        <v>2182</v>
      </c>
      <c r="B991" t="s">
        <v>31</v>
      </c>
      <c r="C991" t="s">
        <v>2970</v>
      </c>
      <c r="D991" t="s">
        <v>33</v>
      </c>
      <c r="E991" t="str">
        <f t="shared" si="169"/>
        <v>400445</v>
      </c>
      <c r="F991" t="s">
        <v>424</v>
      </c>
      <c r="G991">
        <v>4</v>
      </c>
      <c r="H991">
        <v>0</v>
      </c>
      <c r="I991" t="s">
        <v>2442</v>
      </c>
      <c r="J991" t="str">
        <f t="shared" si="170"/>
        <v>153000452</v>
      </c>
      <c r="K991" s="1">
        <v>48041</v>
      </c>
      <c r="M991" s="1">
        <v>46216</v>
      </c>
      <c r="N991" t="str">
        <f t="shared" si="171"/>
        <v>1329001969</v>
      </c>
      <c r="O991">
        <v>4</v>
      </c>
      <c r="P991" s="2">
        <v>46225.637812499997</v>
      </c>
      <c r="Q991" s="2">
        <v>46232.48914351852</v>
      </c>
      <c r="R991" s="2">
        <v>46225.637812499997</v>
      </c>
      <c r="S991">
        <v>0</v>
      </c>
      <c r="T991" t="s">
        <v>2079</v>
      </c>
      <c r="U991" t="s">
        <v>2079</v>
      </c>
      <c r="V991" t="s">
        <v>2223</v>
      </c>
      <c r="W991" t="str">
        <f t="shared" si="172"/>
        <v>400445</v>
      </c>
      <c r="X991" t="s">
        <v>41</v>
      </c>
      <c r="AD991" s="2">
        <v>46228.471087962964</v>
      </c>
    </row>
    <row r="992" spans="1:30" x14ac:dyDescent="0.35">
      <c r="A992" t="s">
        <v>2182</v>
      </c>
      <c r="B992" t="s">
        <v>31</v>
      </c>
      <c r="C992" t="s">
        <v>2971</v>
      </c>
      <c r="D992" t="s">
        <v>33</v>
      </c>
      <c r="E992" t="str">
        <f t="shared" si="169"/>
        <v>400445</v>
      </c>
      <c r="F992" t="s">
        <v>424</v>
      </c>
      <c r="G992">
        <v>4</v>
      </c>
      <c r="H992">
        <v>0</v>
      </c>
      <c r="I992" t="s">
        <v>2442</v>
      </c>
      <c r="J992" t="str">
        <f t="shared" si="170"/>
        <v>153000452</v>
      </c>
      <c r="K992" s="1">
        <v>48041</v>
      </c>
      <c r="M992" s="1">
        <v>46216</v>
      </c>
      <c r="N992" t="str">
        <f t="shared" si="171"/>
        <v>1329001969</v>
      </c>
      <c r="O992">
        <v>4</v>
      </c>
      <c r="P992" s="2">
        <v>46225.637453703705</v>
      </c>
      <c r="Q992" s="2">
        <v>46232.493009259262</v>
      </c>
      <c r="R992" s="2">
        <v>46225.637453703705</v>
      </c>
      <c r="S992">
        <v>0</v>
      </c>
      <c r="T992" t="s">
        <v>2079</v>
      </c>
      <c r="U992" t="s">
        <v>2079</v>
      </c>
      <c r="V992" t="s">
        <v>2972</v>
      </c>
      <c r="W992" t="str">
        <f t="shared" si="172"/>
        <v>400445</v>
      </c>
      <c r="X992" t="s">
        <v>41</v>
      </c>
      <c r="AD992" s="2">
        <v>46228.47084490741</v>
      </c>
    </row>
    <row r="993" spans="1:30" x14ac:dyDescent="0.35">
      <c r="A993" t="s">
        <v>2182</v>
      </c>
      <c r="B993" t="s">
        <v>31</v>
      </c>
      <c r="C993" t="s">
        <v>2973</v>
      </c>
      <c r="D993" t="s">
        <v>33</v>
      </c>
      <c r="E993" t="str">
        <f t="shared" ref="E993:E1002" si="173">"400441"</f>
        <v>400441</v>
      </c>
      <c r="F993" t="s">
        <v>65</v>
      </c>
      <c r="G993">
        <v>4</v>
      </c>
      <c r="H993">
        <v>0</v>
      </c>
      <c r="I993" t="s">
        <v>2974</v>
      </c>
      <c r="J993" t="str">
        <f t="shared" ref="J993:J998" si="174">"153000408"</f>
        <v>153000408</v>
      </c>
      <c r="K993" s="1">
        <v>48020</v>
      </c>
      <c r="M993" s="1">
        <v>46195</v>
      </c>
      <c r="N993" t="str">
        <f t="shared" ref="N993:N998" si="175">"1329001975"</f>
        <v>1329001975</v>
      </c>
      <c r="O993">
        <v>4</v>
      </c>
      <c r="P993" s="2">
        <v>46225.645057870373</v>
      </c>
      <c r="Q993" s="2">
        <v>46232.583113425928</v>
      </c>
      <c r="R993" s="2">
        <v>46225.645057870373</v>
      </c>
      <c r="S993">
        <v>0</v>
      </c>
      <c r="T993" t="s">
        <v>2079</v>
      </c>
      <c r="U993" t="s">
        <v>2079</v>
      </c>
      <c r="V993" t="s">
        <v>2975</v>
      </c>
      <c r="W993" t="str">
        <f t="shared" ref="W993:W1002" si="176">"400441"</f>
        <v>400441</v>
      </c>
      <c r="X993" t="s">
        <v>41</v>
      </c>
      <c r="AD993" s="2">
        <v>46228.485821759263</v>
      </c>
    </row>
    <row r="994" spans="1:30" x14ac:dyDescent="0.35">
      <c r="A994" t="s">
        <v>2182</v>
      </c>
      <c r="B994" t="s">
        <v>31</v>
      </c>
      <c r="C994" t="s">
        <v>2976</v>
      </c>
      <c r="D994" t="s">
        <v>33</v>
      </c>
      <c r="E994" t="str">
        <f t="shared" si="173"/>
        <v>400441</v>
      </c>
      <c r="F994" t="s">
        <v>65</v>
      </c>
      <c r="G994">
        <v>4</v>
      </c>
      <c r="H994">
        <v>0</v>
      </c>
      <c r="I994" t="s">
        <v>2974</v>
      </c>
      <c r="J994" t="str">
        <f t="shared" si="174"/>
        <v>153000408</v>
      </c>
      <c r="K994" s="1">
        <v>48020</v>
      </c>
      <c r="M994" s="1">
        <v>46195</v>
      </c>
      <c r="N994" t="str">
        <f t="shared" si="175"/>
        <v>1329001975</v>
      </c>
      <c r="O994">
        <v>4</v>
      </c>
      <c r="P994" s="2">
        <v>46225.649594907409</v>
      </c>
      <c r="Q994" s="2">
        <v>46232.587500000001</v>
      </c>
      <c r="R994" s="2">
        <v>46225.649594907409</v>
      </c>
      <c r="S994">
        <v>0</v>
      </c>
      <c r="T994" t="s">
        <v>2079</v>
      </c>
      <c r="U994" t="s">
        <v>2079</v>
      </c>
      <c r="V994" t="s">
        <v>2977</v>
      </c>
      <c r="W994" t="str">
        <f t="shared" si="176"/>
        <v>400441</v>
      </c>
      <c r="X994" t="s">
        <v>41</v>
      </c>
      <c r="AD994" s="2">
        <v>46228.487511574072</v>
      </c>
    </row>
    <row r="995" spans="1:30" x14ac:dyDescent="0.35">
      <c r="A995" t="s">
        <v>2182</v>
      </c>
      <c r="B995" t="s">
        <v>31</v>
      </c>
      <c r="C995" t="s">
        <v>2978</v>
      </c>
      <c r="D995" t="s">
        <v>33</v>
      </c>
      <c r="E995" t="str">
        <f t="shared" si="173"/>
        <v>400441</v>
      </c>
      <c r="F995" t="s">
        <v>65</v>
      </c>
      <c r="G995">
        <v>4</v>
      </c>
      <c r="H995">
        <v>0</v>
      </c>
      <c r="I995" t="s">
        <v>2974</v>
      </c>
      <c r="J995" t="str">
        <f t="shared" si="174"/>
        <v>153000408</v>
      </c>
      <c r="K995" s="1">
        <v>48020</v>
      </c>
      <c r="M995" s="1">
        <v>46195</v>
      </c>
      <c r="N995" t="str">
        <f t="shared" si="175"/>
        <v>1329001975</v>
      </c>
      <c r="O995">
        <v>4</v>
      </c>
      <c r="P995" s="2">
        <v>46225.644375000003</v>
      </c>
      <c r="Q995" s="2">
        <v>46232.588599537034</v>
      </c>
      <c r="R995" s="2">
        <v>46225.644375000003</v>
      </c>
      <c r="S995">
        <v>0</v>
      </c>
      <c r="T995" t="s">
        <v>2079</v>
      </c>
      <c r="U995" t="s">
        <v>2079</v>
      </c>
      <c r="V995" t="s">
        <v>2979</v>
      </c>
      <c r="W995" t="str">
        <f t="shared" si="176"/>
        <v>400441</v>
      </c>
      <c r="X995" t="s">
        <v>41</v>
      </c>
      <c r="AD995" s="2">
        <v>46228.48542824074</v>
      </c>
    </row>
    <row r="996" spans="1:30" x14ac:dyDescent="0.35">
      <c r="A996" t="s">
        <v>2182</v>
      </c>
      <c r="B996" t="s">
        <v>31</v>
      </c>
      <c r="C996" t="s">
        <v>2980</v>
      </c>
      <c r="D996" t="s">
        <v>33</v>
      </c>
      <c r="E996" t="str">
        <f t="shared" si="173"/>
        <v>400441</v>
      </c>
      <c r="F996" t="s">
        <v>65</v>
      </c>
      <c r="G996">
        <v>4</v>
      </c>
      <c r="H996">
        <v>0</v>
      </c>
      <c r="I996" t="s">
        <v>2974</v>
      </c>
      <c r="J996" t="str">
        <f t="shared" si="174"/>
        <v>153000408</v>
      </c>
      <c r="K996" s="1">
        <v>48020</v>
      </c>
      <c r="M996" s="1">
        <v>46195</v>
      </c>
      <c r="N996" t="str">
        <f t="shared" si="175"/>
        <v>1329001975</v>
      </c>
      <c r="O996">
        <v>4</v>
      </c>
      <c r="P996" s="2">
        <v>46225.645335648151</v>
      </c>
      <c r="Q996" s="2">
        <v>46232.588807870372</v>
      </c>
      <c r="R996" s="2">
        <v>46225.645335648151</v>
      </c>
      <c r="S996">
        <v>0</v>
      </c>
      <c r="T996" t="s">
        <v>2079</v>
      </c>
      <c r="U996" t="s">
        <v>2079</v>
      </c>
      <c r="V996" t="s">
        <v>2981</v>
      </c>
      <c r="W996" t="str">
        <f t="shared" si="176"/>
        <v>400441</v>
      </c>
      <c r="X996" t="s">
        <v>41</v>
      </c>
      <c r="AD996" s="2">
        <v>46228.485532407409</v>
      </c>
    </row>
    <row r="997" spans="1:30" x14ac:dyDescent="0.35">
      <c r="A997" t="s">
        <v>2182</v>
      </c>
      <c r="B997" t="s">
        <v>31</v>
      </c>
      <c r="C997" t="s">
        <v>2982</v>
      </c>
      <c r="D997" t="s">
        <v>33</v>
      </c>
      <c r="E997" t="str">
        <f t="shared" si="173"/>
        <v>400441</v>
      </c>
      <c r="F997" t="s">
        <v>65</v>
      </c>
      <c r="G997">
        <v>4</v>
      </c>
      <c r="H997">
        <v>0</v>
      </c>
      <c r="I997" t="s">
        <v>2974</v>
      </c>
      <c r="J997" t="str">
        <f t="shared" si="174"/>
        <v>153000408</v>
      </c>
      <c r="K997" s="1">
        <v>48020</v>
      </c>
      <c r="M997" s="1">
        <v>46195</v>
      </c>
      <c r="N997" t="str">
        <f t="shared" si="175"/>
        <v>1329001975</v>
      </c>
      <c r="O997">
        <v>4</v>
      </c>
      <c r="P997" s="2">
        <v>46225.644745370373</v>
      </c>
      <c r="Q997" s="2">
        <v>46232.589074074072</v>
      </c>
      <c r="R997" s="2">
        <v>46225.644745370373</v>
      </c>
      <c r="S997">
        <v>0</v>
      </c>
      <c r="T997" t="s">
        <v>2079</v>
      </c>
      <c r="U997" t="s">
        <v>2079</v>
      </c>
      <c r="V997" t="s">
        <v>2983</v>
      </c>
      <c r="W997" t="str">
        <f t="shared" si="176"/>
        <v>400441</v>
      </c>
      <c r="X997" t="s">
        <v>41</v>
      </c>
      <c r="AD997" s="2">
        <v>46228.48537037037</v>
      </c>
    </row>
    <row r="998" spans="1:30" x14ac:dyDescent="0.35">
      <c r="A998" t="s">
        <v>2182</v>
      </c>
      <c r="B998" t="s">
        <v>31</v>
      </c>
      <c r="C998" t="s">
        <v>2984</v>
      </c>
      <c r="D998" t="s">
        <v>33</v>
      </c>
      <c r="E998" t="str">
        <f t="shared" si="173"/>
        <v>400441</v>
      </c>
      <c r="F998" t="s">
        <v>65</v>
      </c>
      <c r="G998">
        <v>4</v>
      </c>
      <c r="H998">
        <v>0</v>
      </c>
      <c r="I998" t="s">
        <v>2458</v>
      </c>
      <c r="J998" t="str">
        <f t="shared" si="174"/>
        <v>153000408</v>
      </c>
      <c r="K998" s="1">
        <v>48020</v>
      </c>
      <c r="M998" s="1">
        <v>46195</v>
      </c>
      <c r="N998" t="str">
        <f t="shared" si="175"/>
        <v>1329001975</v>
      </c>
      <c r="O998">
        <v>4</v>
      </c>
      <c r="P998" s="2">
        <v>46225.647685185184</v>
      </c>
      <c r="Q998" s="2">
        <v>46232.589317129627</v>
      </c>
      <c r="R998" s="2">
        <v>46225.647685185184</v>
      </c>
      <c r="S998">
        <v>0</v>
      </c>
      <c r="T998" t="s">
        <v>2079</v>
      </c>
      <c r="U998" t="s">
        <v>2079</v>
      </c>
      <c r="V998" t="s">
        <v>2985</v>
      </c>
      <c r="W998" t="str">
        <f t="shared" si="176"/>
        <v>400441</v>
      </c>
      <c r="X998" t="s">
        <v>41</v>
      </c>
      <c r="AD998" s="2">
        <v>46228.486608796295</v>
      </c>
    </row>
    <row r="999" spans="1:30" x14ac:dyDescent="0.35">
      <c r="A999" t="s">
        <v>2182</v>
      </c>
      <c r="B999" t="s">
        <v>31</v>
      </c>
      <c r="C999" t="s">
        <v>2986</v>
      </c>
      <c r="D999" t="s">
        <v>33</v>
      </c>
      <c r="E999" t="str">
        <f t="shared" si="173"/>
        <v>400441</v>
      </c>
      <c r="F999" t="s">
        <v>65</v>
      </c>
      <c r="G999">
        <v>4</v>
      </c>
      <c r="H999">
        <v>0</v>
      </c>
      <c r="I999" t="s">
        <v>2458</v>
      </c>
      <c r="J999" t="str">
        <f>"153000416"</f>
        <v>153000416</v>
      </c>
      <c r="K999" s="1">
        <v>48025</v>
      </c>
      <c r="M999" s="1">
        <v>46200</v>
      </c>
      <c r="N999" t="str">
        <f>"1329001967"</f>
        <v>1329001967</v>
      </c>
      <c r="O999">
        <v>4</v>
      </c>
      <c r="P999" s="2">
        <v>46223.445405092592</v>
      </c>
      <c r="Q999" s="2">
        <v>46232.589537037034</v>
      </c>
      <c r="R999" s="2">
        <v>46223.445405092592</v>
      </c>
      <c r="S999">
        <v>0</v>
      </c>
      <c r="T999" t="s">
        <v>2079</v>
      </c>
      <c r="U999" t="s">
        <v>2079</v>
      </c>
      <c r="V999" t="s">
        <v>2987</v>
      </c>
      <c r="W999" t="str">
        <f t="shared" si="176"/>
        <v>400441</v>
      </c>
      <c r="X999" t="s">
        <v>41</v>
      </c>
      <c r="AD999" s="2">
        <v>46228.477048611108</v>
      </c>
    </row>
    <row r="1000" spans="1:30" x14ac:dyDescent="0.35">
      <c r="A1000" t="s">
        <v>2182</v>
      </c>
      <c r="B1000" t="s">
        <v>31</v>
      </c>
      <c r="C1000" t="s">
        <v>2988</v>
      </c>
      <c r="D1000" t="s">
        <v>33</v>
      </c>
      <c r="E1000" t="str">
        <f t="shared" si="173"/>
        <v>400441</v>
      </c>
      <c r="F1000" t="s">
        <v>65</v>
      </c>
      <c r="G1000">
        <v>4</v>
      </c>
      <c r="H1000">
        <v>0</v>
      </c>
      <c r="I1000" t="s">
        <v>2458</v>
      </c>
      <c r="J1000" t="str">
        <f>"153000408"</f>
        <v>153000408</v>
      </c>
      <c r="K1000" s="1">
        <v>48020</v>
      </c>
      <c r="M1000" s="1">
        <v>46195</v>
      </c>
      <c r="N1000" t="str">
        <f>"1329001975"</f>
        <v>1329001975</v>
      </c>
      <c r="O1000">
        <v>4</v>
      </c>
      <c r="P1000" s="2">
        <v>46225.645694444444</v>
      </c>
      <c r="Q1000" s="2">
        <v>46232.589768518519</v>
      </c>
      <c r="R1000" s="2">
        <v>46225.645694444444</v>
      </c>
      <c r="S1000">
        <v>0</v>
      </c>
      <c r="T1000" t="s">
        <v>2079</v>
      </c>
      <c r="U1000" t="s">
        <v>2079</v>
      </c>
      <c r="V1000" t="s">
        <v>2989</v>
      </c>
      <c r="W1000" t="str">
        <f t="shared" si="176"/>
        <v>400441</v>
      </c>
      <c r="X1000" t="s">
        <v>41</v>
      </c>
      <c r="AD1000" s="2">
        <v>46228.48636574074</v>
      </c>
    </row>
    <row r="1001" spans="1:30" x14ac:dyDescent="0.35">
      <c r="A1001" t="s">
        <v>2182</v>
      </c>
      <c r="B1001" t="s">
        <v>31</v>
      </c>
      <c r="C1001" t="s">
        <v>2990</v>
      </c>
      <c r="D1001" t="s">
        <v>33</v>
      </c>
      <c r="E1001" t="str">
        <f t="shared" si="173"/>
        <v>400441</v>
      </c>
      <c r="F1001" t="s">
        <v>65</v>
      </c>
      <c r="G1001">
        <v>4</v>
      </c>
      <c r="H1001">
        <v>0</v>
      </c>
      <c r="I1001" t="s">
        <v>2458</v>
      </c>
      <c r="J1001" t="str">
        <f>"153000408"</f>
        <v>153000408</v>
      </c>
      <c r="K1001" s="1">
        <v>48020</v>
      </c>
      <c r="M1001" s="1">
        <v>46195</v>
      </c>
      <c r="N1001" t="str">
        <f>"1329001975"</f>
        <v>1329001975</v>
      </c>
      <c r="O1001">
        <v>4</v>
      </c>
      <c r="P1001" s="2">
        <v>46225.647314814814</v>
      </c>
      <c r="Q1001" s="2">
        <v>46232.589965277781</v>
      </c>
      <c r="R1001" s="2">
        <v>46225.647314814814</v>
      </c>
      <c r="S1001">
        <v>0</v>
      </c>
      <c r="T1001" t="s">
        <v>2079</v>
      </c>
      <c r="U1001" t="s">
        <v>2079</v>
      </c>
      <c r="V1001" t="s">
        <v>2292</v>
      </c>
      <c r="W1001" t="str">
        <f t="shared" si="176"/>
        <v>400441</v>
      </c>
      <c r="X1001" t="s">
        <v>41</v>
      </c>
      <c r="AD1001" s="2">
        <v>46228.48642361111</v>
      </c>
    </row>
    <row r="1002" spans="1:30" x14ac:dyDescent="0.35">
      <c r="A1002" t="s">
        <v>2182</v>
      </c>
      <c r="B1002" t="s">
        <v>31</v>
      </c>
      <c r="C1002" t="s">
        <v>2991</v>
      </c>
      <c r="D1002" t="s">
        <v>33</v>
      </c>
      <c r="E1002" t="str">
        <f t="shared" si="173"/>
        <v>400441</v>
      </c>
      <c r="F1002" t="s">
        <v>65</v>
      </c>
      <c r="G1002">
        <v>4</v>
      </c>
      <c r="H1002">
        <v>0</v>
      </c>
      <c r="I1002" t="s">
        <v>2458</v>
      </c>
      <c r="J1002" t="str">
        <f>"153000408"</f>
        <v>153000408</v>
      </c>
      <c r="K1002" s="1">
        <v>48020</v>
      </c>
      <c r="M1002" s="1">
        <v>46195</v>
      </c>
      <c r="N1002" t="str">
        <f>"1329001975"</f>
        <v>1329001975</v>
      </c>
      <c r="O1002">
        <v>4</v>
      </c>
      <c r="P1002" s="2">
        <v>46225.647916666669</v>
      </c>
      <c r="Q1002" s="2">
        <v>46232.590254629627</v>
      </c>
      <c r="R1002" s="2">
        <v>46225.647916666669</v>
      </c>
      <c r="S1002">
        <v>0</v>
      </c>
      <c r="T1002" t="s">
        <v>2079</v>
      </c>
      <c r="U1002" t="s">
        <v>2079</v>
      </c>
      <c r="V1002" t="s">
        <v>2992</v>
      </c>
      <c r="W1002" t="str">
        <f t="shared" si="176"/>
        <v>400441</v>
      </c>
      <c r="X1002" t="s">
        <v>41</v>
      </c>
      <c r="AD1002" s="2">
        <v>46228.486701388887</v>
      </c>
    </row>
    <row r="1003" spans="1:30" x14ac:dyDescent="0.35">
      <c r="A1003" t="s">
        <v>2182</v>
      </c>
      <c r="B1003" t="s">
        <v>31</v>
      </c>
      <c r="C1003" t="s">
        <v>2993</v>
      </c>
      <c r="D1003" t="s">
        <v>33</v>
      </c>
      <c r="E1003" t="str">
        <f t="shared" ref="E1003:E1010" si="177">"401299"</f>
        <v>401299</v>
      </c>
      <c r="F1003" t="s">
        <v>2925</v>
      </c>
      <c r="G1003">
        <v>24</v>
      </c>
      <c r="H1003">
        <v>0</v>
      </c>
      <c r="I1003" t="s">
        <v>2395</v>
      </c>
      <c r="J1003" t="str">
        <f t="shared" ref="J1003:J1010" si="178">"153000463"</f>
        <v>153000463</v>
      </c>
      <c r="K1003" s="1">
        <v>48044</v>
      </c>
      <c r="M1003" s="1">
        <v>46219</v>
      </c>
      <c r="N1003" t="str">
        <f t="shared" ref="N1003:N1010" si="179">"1329001979"</f>
        <v>1329001979</v>
      </c>
      <c r="O1003">
        <v>24</v>
      </c>
      <c r="P1003" s="2">
        <v>46229.571168981478</v>
      </c>
      <c r="Q1003" s="2">
        <v>46233.387361111112</v>
      </c>
      <c r="R1003" s="2">
        <v>46229.571168981478</v>
      </c>
      <c r="S1003">
        <v>0</v>
      </c>
      <c r="T1003" t="s">
        <v>2079</v>
      </c>
      <c r="U1003" t="s">
        <v>2079</v>
      </c>
      <c r="W1003" t="str">
        <f t="shared" ref="W1003:W1010" si="180">"401299"</f>
        <v>401299</v>
      </c>
      <c r="X1003" t="s">
        <v>378</v>
      </c>
      <c r="AD1003" s="2">
        <v>46233.387361111112</v>
      </c>
    </row>
    <row r="1004" spans="1:30" x14ac:dyDescent="0.35">
      <c r="A1004" t="s">
        <v>2182</v>
      </c>
      <c r="B1004" t="s">
        <v>31</v>
      </c>
      <c r="C1004" t="s">
        <v>2994</v>
      </c>
      <c r="D1004" t="s">
        <v>33</v>
      </c>
      <c r="E1004" t="str">
        <f t="shared" si="177"/>
        <v>401299</v>
      </c>
      <c r="F1004" t="s">
        <v>2925</v>
      </c>
      <c r="G1004">
        <v>24</v>
      </c>
      <c r="H1004">
        <v>0</v>
      </c>
      <c r="I1004" t="s">
        <v>2396</v>
      </c>
      <c r="J1004" t="str">
        <f t="shared" si="178"/>
        <v>153000463</v>
      </c>
      <c r="K1004" s="1">
        <v>48044</v>
      </c>
      <c r="M1004" s="1">
        <v>46219</v>
      </c>
      <c r="N1004" t="str">
        <f t="shared" si="179"/>
        <v>1329001979</v>
      </c>
      <c r="O1004">
        <v>24</v>
      </c>
      <c r="P1004" s="2">
        <v>46229.571446759262</v>
      </c>
      <c r="Q1004" s="2">
        <v>46233.388935185183</v>
      </c>
      <c r="R1004" s="2">
        <v>46229.571446759262</v>
      </c>
      <c r="S1004">
        <v>0</v>
      </c>
      <c r="T1004" t="s">
        <v>2079</v>
      </c>
      <c r="U1004" t="s">
        <v>2079</v>
      </c>
      <c r="W1004" t="str">
        <f t="shared" si="180"/>
        <v>401299</v>
      </c>
      <c r="X1004" t="s">
        <v>378</v>
      </c>
      <c r="AD1004" s="2">
        <v>46233.388935185183</v>
      </c>
    </row>
    <row r="1005" spans="1:30" x14ac:dyDescent="0.35">
      <c r="A1005" t="s">
        <v>2182</v>
      </c>
      <c r="B1005" t="s">
        <v>31</v>
      </c>
      <c r="C1005" t="s">
        <v>2995</v>
      </c>
      <c r="D1005" t="s">
        <v>33</v>
      </c>
      <c r="E1005" t="str">
        <f t="shared" si="177"/>
        <v>401299</v>
      </c>
      <c r="F1005" t="s">
        <v>2925</v>
      </c>
      <c r="G1005">
        <v>24</v>
      </c>
      <c r="H1005">
        <v>0</v>
      </c>
      <c r="I1005" t="s">
        <v>2400</v>
      </c>
      <c r="J1005" t="str">
        <f t="shared" si="178"/>
        <v>153000463</v>
      </c>
      <c r="K1005" s="1">
        <v>48044</v>
      </c>
      <c r="M1005" s="1">
        <v>46219</v>
      </c>
      <c r="N1005" t="str">
        <f t="shared" si="179"/>
        <v>1329001979</v>
      </c>
      <c r="O1005">
        <v>24</v>
      </c>
      <c r="P1005" s="2">
        <v>46229.571828703702</v>
      </c>
      <c r="Q1005" s="2">
        <v>46233.390150462961</v>
      </c>
      <c r="R1005" s="2">
        <v>46229.571828703702</v>
      </c>
      <c r="S1005">
        <v>0</v>
      </c>
      <c r="T1005" t="s">
        <v>2079</v>
      </c>
      <c r="U1005" t="s">
        <v>2079</v>
      </c>
      <c r="W1005" t="str">
        <f t="shared" si="180"/>
        <v>401299</v>
      </c>
      <c r="X1005" t="s">
        <v>378</v>
      </c>
      <c r="AD1005" s="2">
        <v>46233.390150462961</v>
      </c>
    </row>
    <row r="1006" spans="1:30" x14ac:dyDescent="0.35">
      <c r="A1006" t="s">
        <v>2182</v>
      </c>
      <c r="B1006" t="s">
        <v>31</v>
      </c>
      <c r="C1006" t="s">
        <v>2996</v>
      </c>
      <c r="D1006" t="s">
        <v>33</v>
      </c>
      <c r="E1006" t="str">
        <f t="shared" si="177"/>
        <v>401299</v>
      </c>
      <c r="F1006" t="s">
        <v>2925</v>
      </c>
      <c r="G1006">
        <v>24</v>
      </c>
      <c r="H1006">
        <v>0</v>
      </c>
      <c r="I1006" t="s">
        <v>2398</v>
      </c>
      <c r="J1006" t="str">
        <f t="shared" si="178"/>
        <v>153000463</v>
      </c>
      <c r="K1006" s="1">
        <v>48044</v>
      </c>
      <c r="M1006" s="1">
        <v>46219</v>
      </c>
      <c r="N1006" t="str">
        <f t="shared" si="179"/>
        <v>1329001979</v>
      </c>
      <c r="O1006">
        <v>24</v>
      </c>
      <c r="P1006" s="2">
        <v>46229.572129629632</v>
      </c>
      <c r="Q1006" s="2">
        <v>46233.391539351855</v>
      </c>
      <c r="R1006" s="2">
        <v>46229.572129629632</v>
      </c>
      <c r="S1006">
        <v>0</v>
      </c>
      <c r="T1006" t="s">
        <v>2079</v>
      </c>
      <c r="U1006" t="s">
        <v>2079</v>
      </c>
      <c r="W1006" t="str">
        <f t="shared" si="180"/>
        <v>401299</v>
      </c>
      <c r="X1006" t="s">
        <v>378</v>
      </c>
      <c r="AD1006" s="2">
        <v>46233.391539351855</v>
      </c>
    </row>
    <row r="1007" spans="1:30" x14ac:dyDescent="0.35">
      <c r="A1007" t="s">
        <v>2182</v>
      </c>
      <c r="B1007" t="s">
        <v>31</v>
      </c>
      <c r="C1007" t="s">
        <v>2997</v>
      </c>
      <c r="D1007" t="s">
        <v>33</v>
      </c>
      <c r="E1007" t="str">
        <f t="shared" si="177"/>
        <v>401299</v>
      </c>
      <c r="F1007" t="s">
        <v>2925</v>
      </c>
      <c r="G1007">
        <v>24</v>
      </c>
      <c r="H1007">
        <v>0</v>
      </c>
      <c r="I1007" t="s">
        <v>2399</v>
      </c>
      <c r="J1007" t="str">
        <f t="shared" si="178"/>
        <v>153000463</v>
      </c>
      <c r="K1007" s="1">
        <v>48044</v>
      </c>
      <c r="M1007" s="1">
        <v>46219</v>
      </c>
      <c r="N1007" t="str">
        <f t="shared" si="179"/>
        <v>1329001979</v>
      </c>
      <c r="O1007">
        <v>24</v>
      </c>
      <c r="P1007" s="2">
        <v>46229.572372685187</v>
      </c>
      <c r="Q1007" s="2">
        <v>46233.393043981479</v>
      </c>
      <c r="R1007" s="2">
        <v>46229.572372685187</v>
      </c>
      <c r="S1007">
        <v>0</v>
      </c>
      <c r="T1007" t="s">
        <v>2079</v>
      </c>
      <c r="U1007" t="s">
        <v>2079</v>
      </c>
      <c r="W1007" t="str">
        <f t="shared" si="180"/>
        <v>401299</v>
      </c>
      <c r="X1007" t="s">
        <v>378</v>
      </c>
      <c r="AD1007" s="2">
        <v>46233.393043981479</v>
      </c>
    </row>
    <row r="1008" spans="1:30" x14ac:dyDescent="0.35">
      <c r="A1008" t="s">
        <v>2182</v>
      </c>
      <c r="B1008" t="s">
        <v>31</v>
      </c>
      <c r="C1008" t="s">
        <v>2998</v>
      </c>
      <c r="D1008" t="s">
        <v>33</v>
      </c>
      <c r="E1008" t="str">
        <f t="shared" si="177"/>
        <v>401299</v>
      </c>
      <c r="F1008" t="s">
        <v>2925</v>
      </c>
      <c r="G1008">
        <v>24</v>
      </c>
      <c r="H1008">
        <v>0</v>
      </c>
      <c r="I1008" t="s">
        <v>2397</v>
      </c>
      <c r="J1008" t="str">
        <f t="shared" si="178"/>
        <v>153000463</v>
      </c>
      <c r="K1008" s="1">
        <v>48044</v>
      </c>
      <c r="M1008" s="1">
        <v>46219</v>
      </c>
      <c r="N1008" t="str">
        <f t="shared" si="179"/>
        <v>1329001979</v>
      </c>
      <c r="O1008">
        <v>24</v>
      </c>
      <c r="P1008" s="2">
        <v>46229.572812500002</v>
      </c>
      <c r="Q1008" s="2">
        <v>46233.394432870373</v>
      </c>
      <c r="R1008" s="2">
        <v>46229.572812500002</v>
      </c>
      <c r="S1008">
        <v>0</v>
      </c>
      <c r="T1008" t="s">
        <v>2079</v>
      </c>
      <c r="U1008" t="s">
        <v>2079</v>
      </c>
      <c r="W1008" t="str">
        <f t="shared" si="180"/>
        <v>401299</v>
      </c>
      <c r="X1008" t="s">
        <v>378</v>
      </c>
      <c r="AD1008" s="2">
        <v>46233.394432870373</v>
      </c>
    </row>
    <row r="1009" spans="1:30" x14ac:dyDescent="0.35">
      <c r="A1009" t="s">
        <v>2182</v>
      </c>
      <c r="B1009" t="s">
        <v>31</v>
      </c>
      <c r="C1009" t="s">
        <v>2999</v>
      </c>
      <c r="D1009" t="s">
        <v>33</v>
      </c>
      <c r="E1009" t="str">
        <f t="shared" si="177"/>
        <v>401299</v>
      </c>
      <c r="F1009" t="s">
        <v>2925</v>
      </c>
      <c r="G1009">
        <v>24</v>
      </c>
      <c r="H1009">
        <v>0</v>
      </c>
      <c r="I1009" t="s">
        <v>2402</v>
      </c>
      <c r="J1009" t="str">
        <f t="shared" si="178"/>
        <v>153000463</v>
      </c>
      <c r="K1009" s="1">
        <v>48044</v>
      </c>
      <c r="M1009" s="1">
        <v>46219</v>
      </c>
      <c r="N1009" t="str">
        <f t="shared" si="179"/>
        <v>1329001979</v>
      </c>
      <c r="O1009">
        <v>24</v>
      </c>
      <c r="P1009" s="2">
        <v>46229.573483796295</v>
      </c>
      <c r="Q1009" s="2">
        <v>46233.395497685182</v>
      </c>
      <c r="R1009" s="2">
        <v>46229.573483796295</v>
      </c>
      <c r="S1009">
        <v>0</v>
      </c>
      <c r="T1009" t="s">
        <v>2079</v>
      </c>
      <c r="U1009" t="s">
        <v>2079</v>
      </c>
      <c r="W1009" t="str">
        <f t="shared" si="180"/>
        <v>401299</v>
      </c>
      <c r="X1009" t="s">
        <v>378</v>
      </c>
      <c r="AD1009" s="2">
        <v>46233.395497685182</v>
      </c>
    </row>
    <row r="1010" spans="1:30" x14ac:dyDescent="0.35">
      <c r="A1010" t="s">
        <v>2182</v>
      </c>
      <c r="B1010" t="s">
        <v>31</v>
      </c>
      <c r="C1010" t="s">
        <v>3000</v>
      </c>
      <c r="D1010" t="s">
        <v>33</v>
      </c>
      <c r="E1010" t="str">
        <f t="shared" si="177"/>
        <v>401299</v>
      </c>
      <c r="F1010" t="s">
        <v>2925</v>
      </c>
      <c r="G1010">
        <v>24</v>
      </c>
      <c r="H1010">
        <v>0</v>
      </c>
      <c r="I1010" t="s">
        <v>2401</v>
      </c>
      <c r="J1010" t="str">
        <f t="shared" si="178"/>
        <v>153000463</v>
      </c>
      <c r="K1010" s="1">
        <v>48044</v>
      </c>
      <c r="M1010" s="1">
        <v>46219</v>
      </c>
      <c r="N1010" t="str">
        <f t="shared" si="179"/>
        <v>1329001979</v>
      </c>
      <c r="O1010">
        <v>24</v>
      </c>
      <c r="P1010" s="2">
        <v>46229.573159722226</v>
      </c>
      <c r="Q1010" s="2">
        <v>46233.396261574075</v>
      </c>
      <c r="R1010" s="2">
        <v>46229.573159722226</v>
      </c>
      <c r="S1010">
        <v>0</v>
      </c>
      <c r="T1010" t="s">
        <v>2079</v>
      </c>
      <c r="U1010" t="s">
        <v>2079</v>
      </c>
      <c r="W1010" t="str">
        <f t="shared" si="180"/>
        <v>401299</v>
      </c>
      <c r="X1010" t="s">
        <v>378</v>
      </c>
      <c r="AD1010" s="2">
        <v>46233.396261574075</v>
      </c>
    </row>
    <row r="1011" spans="1:30" x14ac:dyDescent="0.35">
      <c r="A1011" t="s">
        <v>2182</v>
      </c>
      <c r="B1011" t="s">
        <v>31</v>
      </c>
      <c r="C1011" t="s">
        <v>3001</v>
      </c>
      <c r="D1011" t="s">
        <v>33</v>
      </c>
      <c r="E1011" t="str">
        <f>"400913"</f>
        <v>400913</v>
      </c>
      <c r="F1011" t="s">
        <v>3002</v>
      </c>
      <c r="G1011">
        <v>42</v>
      </c>
      <c r="H1011">
        <v>0</v>
      </c>
      <c r="I1011" t="s">
        <v>3003</v>
      </c>
      <c r="J1011" t="str">
        <f>"400004626"</f>
        <v>400004626</v>
      </c>
      <c r="K1011" s="1">
        <v>48039</v>
      </c>
      <c r="M1011" s="1">
        <v>46214</v>
      </c>
      <c r="N1011" t="str">
        <f>"1329001991"</f>
        <v>1329001991</v>
      </c>
      <c r="O1011">
        <v>42</v>
      </c>
      <c r="P1011" s="2">
        <v>46231.573483796295</v>
      </c>
      <c r="Q1011" s="2">
        <v>46233.403587962966</v>
      </c>
      <c r="R1011" s="2">
        <v>46231.573483796295</v>
      </c>
      <c r="S1011">
        <v>0</v>
      </c>
      <c r="T1011" t="s">
        <v>2079</v>
      </c>
      <c r="U1011" t="s">
        <v>2079</v>
      </c>
      <c r="W1011" t="str">
        <f>"400913"</f>
        <v>400913</v>
      </c>
      <c r="X1011" t="s">
        <v>41</v>
      </c>
      <c r="AD1011" s="2">
        <v>46233.403587962966</v>
      </c>
    </row>
    <row r="1012" spans="1:30" x14ac:dyDescent="0.35">
      <c r="A1012" t="s">
        <v>2182</v>
      </c>
      <c r="B1012" t="s">
        <v>31</v>
      </c>
      <c r="C1012" t="s">
        <v>3004</v>
      </c>
      <c r="D1012" t="s">
        <v>33</v>
      </c>
      <c r="E1012" t="str">
        <f>"400913"</f>
        <v>400913</v>
      </c>
      <c r="F1012" t="s">
        <v>3002</v>
      </c>
      <c r="G1012">
        <v>32</v>
      </c>
      <c r="H1012">
        <v>0</v>
      </c>
      <c r="I1012" t="s">
        <v>2389</v>
      </c>
      <c r="J1012" t="str">
        <f>"400004626"</f>
        <v>400004626</v>
      </c>
      <c r="K1012" s="1">
        <v>48039</v>
      </c>
      <c r="M1012" s="1">
        <v>46214</v>
      </c>
      <c r="N1012" t="str">
        <f>"1329001991"</f>
        <v>1329001991</v>
      </c>
      <c r="O1012">
        <v>32</v>
      </c>
      <c r="P1012" s="2">
        <v>46231.572847222225</v>
      </c>
      <c r="Q1012" s="2">
        <v>46233.532129629632</v>
      </c>
      <c r="R1012" s="2">
        <v>46231.572847222225</v>
      </c>
      <c r="S1012">
        <v>0</v>
      </c>
      <c r="T1012" t="s">
        <v>2079</v>
      </c>
      <c r="U1012" t="s">
        <v>2079</v>
      </c>
      <c r="W1012" t="str">
        <f>"400913"</f>
        <v>400913</v>
      </c>
      <c r="X1012" t="s">
        <v>41</v>
      </c>
      <c r="AD1012" s="2">
        <v>46233.532129629632</v>
      </c>
    </row>
    <row r="1013" spans="1:30" x14ac:dyDescent="0.35">
      <c r="A1013" t="s">
        <v>2182</v>
      </c>
      <c r="B1013" t="s">
        <v>31</v>
      </c>
      <c r="C1013" t="s">
        <v>3005</v>
      </c>
      <c r="D1013" t="s">
        <v>33</v>
      </c>
      <c r="E1013" t="str">
        <f>"400913"</f>
        <v>400913</v>
      </c>
      <c r="F1013" t="s">
        <v>3002</v>
      </c>
      <c r="G1013">
        <v>42</v>
      </c>
      <c r="H1013">
        <v>0</v>
      </c>
      <c r="I1013" t="s">
        <v>3006</v>
      </c>
      <c r="J1013" t="str">
        <f>"400004626"</f>
        <v>400004626</v>
      </c>
      <c r="K1013" s="1">
        <v>48039</v>
      </c>
      <c r="M1013" s="1">
        <v>46214</v>
      </c>
      <c r="N1013" t="str">
        <f>"1329001991"</f>
        <v>1329001991</v>
      </c>
      <c r="O1013">
        <v>42</v>
      </c>
      <c r="P1013" s="2">
        <v>46231.573125000003</v>
      </c>
      <c r="Q1013" s="2">
        <v>46233.534259259257</v>
      </c>
      <c r="R1013" s="2">
        <v>46231.573125000003</v>
      </c>
      <c r="S1013">
        <v>0</v>
      </c>
      <c r="T1013" t="s">
        <v>2079</v>
      </c>
      <c r="U1013" t="s">
        <v>2079</v>
      </c>
      <c r="W1013" t="str">
        <f>"400913"</f>
        <v>400913</v>
      </c>
      <c r="X1013" t="s">
        <v>41</v>
      </c>
      <c r="AD1013" s="2">
        <v>46233.534259259257</v>
      </c>
    </row>
    <row r="1014" spans="1:30" x14ac:dyDescent="0.35">
      <c r="A1014" t="s">
        <v>2182</v>
      </c>
      <c r="B1014" t="s">
        <v>31</v>
      </c>
      <c r="C1014" t="s">
        <v>3007</v>
      </c>
      <c r="D1014" t="s">
        <v>33</v>
      </c>
      <c r="E1014" t="str">
        <f>"400913"</f>
        <v>400913</v>
      </c>
      <c r="F1014" t="s">
        <v>3002</v>
      </c>
      <c r="G1014">
        <v>42</v>
      </c>
      <c r="H1014">
        <v>0</v>
      </c>
      <c r="I1014" t="s">
        <v>3008</v>
      </c>
      <c r="J1014" t="str">
        <f>"400004626"</f>
        <v>400004626</v>
      </c>
      <c r="K1014" s="1">
        <v>48039</v>
      </c>
      <c r="M1014" s="1">
        <v>46214</v>
      </c>
      <c r="N1014" t="str">
        <f>"1329001991"</f>
        <v>1329001991</v>
      </c>
      <c r="O1014">
        <v>42</v>
      </c>
      <c r="P1014" s="2">
        <v>46231.572430555556</v>
      </c>
      <c r="Q1014" s="2">
        <v>46233.540393518517</v>
      </c>
      <c r="R1014" s="2">
        <v>46231.572430555556</v>
      </c>
      <c r="S1014">
        <v>0</v>
      </c>
      <c r="T1014" t="s">
        <v>2079</v>
      </c>
      <c r="U1014" t="s">
        <v>2079</v>
      </c>
      <c r="W1014" t="str">
        <f>"400913"</f>
        <v>400913</v>
      </c>
      <c r="X1014" t="s">
        <v>41</v>
      </c>
      <c r="AD1014" s="2">
        <v>46233.540393518517</v>
      </c>
    </row>
    <row r="1015" spans="1:30" x14ac:dyDescent="0.35">
      <c r="A1015" t="s">
        <v>2182</v>
      </c>
      <c r="B1015" t="s">
        <v>31</v>
      </c>
      <c r="C1015" t="s">
        <v>3009</v>
      </c>
      <c r="D1015" t="s">
        <v>33</v>
      </c>
      <c r="E1015" t="str">
        <f>"401299"</f>
        <v>401299</v>
      </c>
      <c r="F1015" t="s">
        <v>2925</v>
      </c>
      <c r="G1015">
        <v>24</v>
      </c>
      <c r="H1015">
        <v>0</v>
      </c>
      <c r="I1015" t="s">
        <v>2448</v>
      </c>
      <c r="J1015" t="str">
        <f>"153000463"</f>
        <v>153000463</v>
      </c>
      <c r="K1015" s="1">
        <v>48044</v>
      </c>
      <c r="M1015" s="1">
        <v>46219</v>
      </c>
      <c r="N1015" t="str">
        <f>"1329001979"</f>
        <v>1329001979</v>
      </c>
      <c r="O1015">
        <v>24</v>
      </c>
      <c r="P1015" s="2">
        <v>46229.573761574073</v>
      </c>
      <c r="Q1015" s="2">
        <v>46233.570844907408</v>
      </c>
      <c r="R1015" s="2">
        <v>46229.573761574073</v>
      </c>
      <c r="S1015">
        <v>0</v>
      </c>
      <c r="T1015" t="s">
        <v>2079</v>
      </c>
      <c r="U1015" t="s">
        <v>2079</v>
      </c>
      <c r="W1015" t="str">
        <f>"401299"</f>
        <v>401299</v>
      </c>
      <c r="X1015" t="s">
        <v>378</v>
      </c>
      <c r="AD1015" s="2">
        <v>46233.570844907408</v>
      </c>
    </row>
    <row r="1016" spans="1:30" x14ac:dyDescent="0.35">
      <c r="A1016" t="s">
        <v>2182</v>
      </c>
      <c r="B1016" t="s">
        <v>31</v>
      </c>
      <c r="C1016" t="s">
        <v>3010</v>
      </c>
      <c r="D1016" t="s">
        <v>33</v>
      </c>
      <c r="E1016" t="str">
        <f>"401299"</f>
        <v>401299</v>
      </c>
      <c r="F1016" t="s">
        <v>2925</v>
      </c>
      <c r="G1016">
        <v>24</v>
      </c>
      <c r="H1016">
        <v>0</v>
      </c>
      <c r="I1016" t="s">
        <v>2420</v>
      </c>
      <c r="J1016" t="str">
        <f>"153000463"</f>
        <v>153000463</v>
      </c>
      <c r="K1016" s="1">
        <v>48044</v>
      </c>
      <c r="M1016" s="1">
        <v>46219</v>
      </c>
      <c r="N1016" t="str">
        <f>"1329001979"</f>
        <v>1329001979</v>
      </c>
      <c r="O1016">
        <v>24</v>
      </c>
      <c r="P1016" s="2">
        <v>46229.574652777781</v>
      </c>
      <c r="Q1016" s="2">
        <v>46233.575578703705</v>
      </c>
      <c r="R1016" s="2">
        <v>46229.574652777781</v>
      </c>
      <c r="S1016">
        <v>0</v>
      </c>
      <c r="T1016" t="s">
        <v>2079</v>
      </c>
      <c r="U1016" t="s">
        <v>2079</v>
      </c>
      <c r="W1016" t="str">
        <f>"401299"</f>
        <v>401299</v>
      </c>
      <c r="X1016" t="s">
        <v>378</v>
      </c>
      <c r="AD1016" s="2">
        <v>46233.575578703705</v>
      </c>
    </row>
    <row r="1017" spans="1:30" x14ac:dyDescent="0.35">
      <c r="A1017" t="s">
        <v>2182</v>
      </c>
      <c r="B1017" t="s">
        <v>31</v>
      </c>
      <c r="C1017" t="s">
        <v>3011</v>
      </c>
      <c r="D1017" t="s">
        <v>33</v>
      </c>
      <c r="E1017" t="str">
        <f>"401299"</f>
        <v>401299</v>
      </c>
      <c r="F1017" t="s">
        <v>2925</v>
      </c>
      <c r="G1017">
        <v>24</v>
      </c>
      <c r="H1017">
        <v>0</v>
      </c>
      <c r="I1017" t="s">
        <v>3012</v>
      </c>
      <c r="J1017" t="str">
        <f>"153000463"</f>
        <v>153000463</v>
      </c>
      <c r="K1017" s="1">
        <v>48044</v>
      </c>
      <c r="M1017" s="1">
        <v>46219</v>
      </c>
      <c r="N1017" t="str">
        <f>"1329001979"</f>
        <v>1329001979</v>
      </c>
      <c r="O1017">
        <v>24</v>
      </c>
      <c r="P1017" s="2">
        <v>46229.574976851851</v>
      </c>
      <c r="Q1017" s="2">
        <v>46233.578229166669</v>
      </c>
      <c r="R1017" s="2">
        <v>46229.574976851851</v>
      </c>
      <c r="S1017">
        <v>0</v>
      </c>
      <c r="T1017" t="s">
        <v>2079</v>
      </c>
      <c r="U1017" t="s">
        <v>2079</v>
      </c>
      <c r="W1017" t="str">
        <f>"401299"</f>
        <v>401299</v>
      </c>
      <c r="X1017" t="s">
        <v>378</v>
      </c>
      <c r="AD1017" s="2">
        <v>46233.578229166669</v>
      </c>
    </row>
    <row r="1018" spans="1:30" x14ac:dyDescent="0.35">
      <c r="A1018" t="s">
        <v>2182</v>
      </c>
      <c r="B1018" t="s">
        <v>31</v>
      </c>
      <c r="C1018" t="s">
        <v>3013</v>
      </c>
      <c r="D1018" t="s">
        <v>33</v>
      </c>
      <c r="E1018" t="str">
        <f>"401299"</f>
        <v>401299</v>
      </c>
      <c r="F1018" t="s">
        <v>2925</v>
      </c>
      <c r="G1018">
        <v>24</v>
      </c>
      <c r="H1018">
        <v>0</v>
      </c>
      <c r="I1018" t="s">
        <v>3014</v>
      </c>
      <c r="J1018" t="str">
        <f>"153000463"</f>
        <v>153000463</v>
      </c>
      <c r="K1018" s="1">
        <v>48044</v>
      </c>
      <c r="M1018" s="1">
        <v>46219</v>
      </c>
      <c r="N1018" t="str">
        <f>"1329001979"</f>
        <v>1329001979</v>
      </c>
      <c r="O1018">
        <v>24</v>
      </c>
      <c r="P1018" s="2">
        <v>46229.575752314813</v>
      </c>
      <c r="Q1018" s="2">
        <v>46233.580497685187</v>
      </c>
      <c r="R1018" s="2">
        <v>46229.575752314813</v>
      </c>
      <c r="S1018">
        <v>0</v>
      </c>
      <c r="T1018" t="s">
        <v>2079</v>
      </c>
      <c r="U1018" t="s">
        <v>2079</v>
      </c>
      <c r="W1018" t="str">
        <f>"401299"</f>
        <v>401299</v>
      </c>
      <c r="X1018" t="s">
        <v>378</v>
      </c>
      <c r="AD1018" s="2">
        <v>46233.580497685187</v>
      </c>
    </row>
    <row r="1019" spans="1:30" x14ac:dyDescent="0.35">
      <c r="A1019" t="s">
        <v>2182</v>
      </c>
      <c r="B1019" t="s">
        <v>31</v>
      </c>
      <c r="C1019" t="s">
        <v>3015</v>
      </c>
      <c r="D1019" t="s">
        <v>33</v>
      </c>
      <c r="E1019" t="str">
        <f>"401299"</f>
        <v>401299</v>
      </c>
      <c r="F1019" t="s">
        <v>2925</v>
      </c>
      <c r="G1019">
        <v>24</v>
      </c>
      <c r="H1019">
        <v>0</v>
      </c>
      <c r="I1019" t="s">
        <v>2450</v>
      </c>
      <c r="J1019" t="str">
        <f>"153000463"</f>
        <v>153000463</v>
      </c>
      <c r="K1019" s="1">
        <v>48044</v>
      </c>
      <c r="M1019" s="1">
        <v>46219</v>
      </c>
      <c r="N1019" t="str">
        <f>"1329001979"</f>
        <v>1329001979</v>
      </c>
      <c r="O1019">
        <v>24</v>
      </c>
      <c r="P1019" s="2">
        <v>46229.575474537036</v>
      </c>
      <c r="Q1019" s="2">
        <v>46233.58320601852</v>
      </c>
      <c r="R1019" s="2">
        <v>46229.575474537036</v>
      </c>
      <c r="S1019">
        <v>0</v>
      </c>
      <c r="T1019" t="s">
        <v>2079</v>
      </c>
      <c r="U1019" t="s">
        <v>2079</v>
      </c>
      <c r="W1019" t="str">
        <f>"401299"</f>
        <v>401299</v>
      </c>
      <c r="X1019" t="s">
        <v>378</v>
      </c>
      <c r="AD1019" s="2">
        <v>46233.58320601852</v>
      </c>
    </row>
    <row r="1020" spans="1:30" x14ac:dyDescent="0.35">
      <c r="A1020" t="s">
        <v>2182</v>
      </c>
      <c r="B1020" t="s">
        <v>31</v>
      </c>
      <c r="C1020" t="s">
        <v>3016</v>
      </c>
      <c r="D1020" t="s">
        <v>33</v>
      </c>
      <c r="E1020" t="str">
        <f>"401047"</f>
        <v>401047</v>
      </c>
      <c r="F1020" t="s">
        <v>1730</v>
      </c>
      <c r="G1020">
        <v>4</v>
      </c>
      <c r="H1020">
        <v>0</v>
      </c>
      <c r="I1020" t="s">
        <v>3017</v>
      </c>
      <c r="J1020" t="str">
        <f>"153000449"</f>
        <v>153000449</v>
      </c>
      <c r="K1020" s="1">
        <v>48040</v>
      </c>
      <c r="M1020" s="1">
        <v>46215</v>
      </c>
      <c r="N1020" t="str">
        <f>"1329001992"</f>
        <v>1329001992</v>
      </c>
      <c r="O1020">
        <v>4</v>
      </c>
      <c r="P1020" s="2">
        <v>46229.394502314812</v>
      </c>
      <c r="Q1020" s="2">
        <v>46233.588090277779</v>
      </c>
      <c r="R1020" s="2">
        <v>46229.394502314812</v>
      </c>
      <c r="S1020">
        <v>0</v>
      </c>
      <c r="T1020" t="s">
        <v>2079</v>
      </c>
      <c r="U1020" t="s">
        <v>2079</v>
      </c>
      <c r="W1020" t="str">
        <f>"401047"</f>
        <v>401047</v>
      </c>
      <c r="X1020" t="s">
        <v>41</v>
      </c>
      <c r="AD1020" s="2">
        <v>46233.588090277779</v>
      </c>
    </row>
    <row r="1021" spans="1:30" x14ac:dyDescent="0.35">
      <c r="A1021" t="s">
        <v>2182</v>
      </c>
      <c r="B1021" t="s">
        <v>31</v>
      </c>
      <c r="C1021" t="s">
        <v>3018</v>
      </c>
      <c r="D1021" t="s">
        <v>33</v>
      </c>
      <c r="E1021" t="str">
        <f>"401299"</f>
        <v>401299</v>
      </c>
      <c r="F1021" t="s">
        <v>2925</v>
      </c>
      <c r="G1021">
        <v>24</v>
      </c>
      <c r="H1021">
        <v>0</v>
      </c>
      <c r="I1021" t="s">
        <v>3019</v>
      </c>
      <c r="J1021" t="str">
        <f>"153000463"</f>
        <v>153000463</v>
      </c>
      <c r="K1021" s="1">
        <v>48044</v>
      </c>
      <c r="M1021" s="1">
        <v>46219</v>
      </c>
      <c r="N1021" t="str">
        <f>"1329001979"</f>
        <v>1329001979</v>
      </c>
      <c r="O1021">
        <v>24</v>
      </c>
      <c r="P1021" s="2">
        <v>46229.575254629628</v>
      </c>
      <c r="Q1021" s="2">
        <v>46233.590509259258</v>
      </c>
      <c r="R1021" s="2">
        <v>46229.575254629628</v>
      </c>
      <c r="S1021">
        <v>0</v>
      </c>
      <c r="T1021" t="s">
        <v>2079</v>
      </c>
      <c r="U1021" t="s">
        <v>2079</v>
      </c>
      <c r="W1021" t="str">
        <f>"401299"</f>
        <v>401299</v>
      </c>
      <c r="X1021" t="s">
        <v>378</v>
      </c>
      <c r="AD1021" s="2">
        <v>46233.590509259258</v>
      </c>
    </row>
    <row r="1022" spans="1:30" x14ac:dyDescent="0.35">
      <c r="A1022" t="s">
        <v>2182</v>
      </c>
      <c r="B1022" t="s">
        <v>31</v>
      </c>
      <c r="C1022" t="s">
        <v>3020</v>
      </c>
      <c r="D1022" t="s">
        <v>33</v>
      </c>
      <c r="E1022" t="str">
        <f>"400441"</f>
        <v>400441</v>
      </c>
      <c r="F1022" t="s">
        <v>65</v>
      </c>
      <c r="G1022">
        <v>4</v>
      </c>
      <c r="H1022">
        <v>0</v>
      </c>
      <c r="I1022" t="s">
        <v>2438</v>
      </c>
      <c r="J1022" t="str">
        <f>"153000408"</f>
        <v>153000408</v>
      </c>
      <c r="K1022" s="1">
        <v>48020</v>
      </c>
      <c r="M1022" s="1">
        <v>46195</v>
      </c>
      <c r="N1022" t="str">
        <f>"1329001975"</f>
        <v>1329001975</v>
      </c>
      <c r="O1022">
        <v>4</v>
      </c>
      <c r="P1022" s="2">
        <v>46225.648229166669</v>
      </c>
      <c r="Q1022" s="2">
        <v>46233.592847222222</v>
      </c>
      <c r="R1022" s="2">
        <v>46225.648229166669</v>
      </c>
      <c r="S1022">
        <v>0</v>
      </c>
      <c r="T1022" t="s">
        <v>2079</v>
      </c>
      <c r="U1022" t="s">
        <v>2079</v>
      </c>
      <c r="V1022" t="s">
        <v>3021</v>
      </c>
      <c r="W1022" t="str">
        <f>"400441"</f>
        <v>400441</v>
      </c>
      <c r="X1022" t="s">
        <v>41</v>
      </c>
      <c r="AD1022" s="2">
        <v>46228.486932870372</v>
      </c>
    </row>
    <row r="1023" spans="1:30" x14ac:dyDescent="0.35">
      <c r="A1023" t="s">
        <v>2182</v>
      </c>
      <c r="B1023" t="s">
        <v>31</v>
      </c>
      <c r="C1023" t="s">
        <v>3022</v>
      </c>
      <c r="D1023" t="s">
        <v>33</v>
      </c>
      <c r="E1023" t="str">
        <f>"400441"</f>
        <v>400441</v>
      </c>
      <c r="F1023" t="s">
        <v>65</v>
      </c>
      <c r="G1023">
        <v>4</v>
      </c>
      <c r="H1023">
        <v>0</v>
      </c>
      <c r="I1023" t="s">
        <v>3023</v>
      </c>
      <c r="J1023" t="str">
        <f>"153000408"</f>
        <v>153000408</v>
      </c>
      <c r="K1023" s="1">
        <v>48020</v>
      </c>
      <c r="M1023" s="1">
        <v>46195</v>
      </c>
      <c r="N1023" t="str">
        <f>"1329001975"</f>
        <v>1329001975</v>
      </c>
      <c r="O1023">
        <v>4</v>
      </c>
      <c r="P1023" s="2">
        <v>46225.648495370369</v>
      </c>
      <c r="Q1023" s="2">
        <v>46233.59302083333</v>
      </c>
      <c r="R1023" s="2">
        <v>46225.648495370369</v>
      </c>
      <c r="S1023">
        <v>0</v>
      </c>
      <c r="T1023" t="s">
        <v>2079</v>
      </c>
      <c r="U1023" t="s">
        <v>2079</v>
      </c>
      <c r="V1023" t="s">
        <v>3024</v>
      </c>
      <c r="W1023" t="str">
        <f>"400441"</f>
        <v>400441</v>
      </c>
      <c r="X1023" t="s">
        <v>41</v>
      </c>
      <c r="AD1023" s="2">
        <v>46228.487129629626</v>
      </c>
    </row>
    <row r="1024" spans="1:30" x14ac:dyDescent="0.35">
      <c r="A1024" t="s">
        <v>2182</v>
      </c>
      <c r="B1024" t="s">
        <v>31</v>
      </c>
      <c r="C1024" t="s">
        <v>3025</v>
      </c>
      <c r="D1024" t="s">
        <v>33</v>
      </c>
      <c r="E1024" t="str">
        <f>"400441"</f>
        <v>400441</v>
      </c>
      <c r="F1024" t="s">
        <v>65</v>
      </c>
      <c r="G1024">
        <v>4</v>
      </c>
      <c r="H1024">
        <v>0</v>
      </c>
      <c r="I1024" t="s">
        <v>3026</v>
      </c>
      <c r="J1024" t="str">
        <f>"153000408"</f>
        <v>153000408</v>
      </c>
      <c r="K1024" s="1">
        <v>48020</v>
      </c>
      <c r="M1024" s="1">
        <v>46195</v>
      </c>
      <c r="N1024" t="str">
        <f>"1329001975"</f>
        <v>1329001975</v>
      </c>
      <c r="O1024">
        <v>4</v>
      </c>
      <c r="P1024" s="2">
        <v>46225.649016203701</v>
      </c>
      <c r="Q1024" s="2">
        <v>46233.593206018515</v>
      </c>
      <c r="R1024" s="2">
        <v>46225.649016203701</v>
      </c>
      <c r="S1024">
        <v>0</v>
      </c>
      <c r="T1024" t="s">
        <v>2079</v>
      </c>
      <c r="U1024" t="s">
        <v>2079</v>
      </c>
      <c r="V1024" t="s">
        <v>3027</v>
      </c>
      <c r="W1024" t="str">
        <f>"400441"</f>
        <v>400441</v>
      </c>
      <c r="X1024" t="s">
        <v>41</v>
      </c>
      <c r="AD1024" s="2">
        <v>46228.487349537034</v>
      </c>
    </row>
    <row r="1025" spans="1:30" x14ac:dyDescent="0.35">
      <c r="A1025" t="s">
        <v>2182</v>
      </c>
      <c r="B1025" t="s">
        <v>31</v>
      </c>
      <c r="C1025" t="s">
        <v>3028</v>
      </c>
      <c r="D1025" t="s">
        <v>33</v>
      </c>
      <c r="E1025" t="str">
        <f>"400441"</f>
        <v>400441</v>
      </c>
      <c r="F1025" t="s">
        <v>65</v>
      </c>
      <c r="G1025">
        <v>4</v>
      </c>
      <c r="H1025">
        <v>0</v>
      </c>
      <c r="I1025" t="s">
        <v>3029</v>
      </c>
      <c r="J1025" t="str">
        <f>"153000408"</f>
        <v>153000408</v>
      </c>
      <c r="K1025" s="1">
        <v>48020</v>
      </c>
      <c r="M1025" s="1">
        <v>46195</v>
      </c>
      <c r="N1025" t="str">
        <f>"1329001975"</f>
        <v>1329001975</v>
      </c>
      <c r="O1025">
        <v>4</v>
      </c>
      <c r="P1025" s="2">
        <v>46225.649386574078</v>
      </c>
      <c r="Q1025" s="2">
        <v>46233.594328703701</v>
      </c>
      <c r="R1025" s="2">
        <v>46225.649386574078</v>
      </c>
      <c r="S1025">
        <v>0</v>
      </c>
      <c r="T1025" t="s">
        <v>2079</v>
      </c>
      <c r="U1025" t="s">
        <v>2079</v>
      </c>
      <c r="V1025" t="s">
        <v>3030</v>
      </c>
      <c r="W1025" t="str">
        <f>"400441"</f>
        <v>400441</v>
      </c>
      <c r="X1025" t="s">
        <v>41</v>
      </c>
      <c r="AD1025" s="2">
        <v>46228.487581018519</v>
      </c>
    </row>
    <row r="1026" spans="1:30" x14ac:dyDescent="0.35">
      <c r="A1026" t="s">
        <v>2182</v>
      </c>
      <c r="B1026" t="s">
        <v>31</v>
      </c>
      <c r="C1026" t="s">
        <v>3031</v>
      </c>
      <c r="D1026" t="s">
        <v>33</v>
      </c>
      <c r="E1026" t="str">
        <f>"400441"</f>
        <v>400441</v>
      </c>
      <c r="F1026" t="s">
        <v>65</v>
      </c>
      <c r="G1026">
        <v>4</v>
      </c>
      <c r="H1026">
        <v>0</v>
      </c>
      <c r="I1026" t="s">
        <v>3032</v>
      </c>
      <c r="J1026" t="str">
        <f>"153000408"</f>
        <v>153000408</v>
      </c>
      <c r="K1026" s="1">
        <v>48020</v>
      </c>
      <c r="M1026" s="1">
        <v>46195</v>
      </c>
      <c r="N1026" t="str">
        <f>"1329001975"</f>
        <v>1329001975</v>
      </c>
      <c r="O1026">
        <v>4</v>
      </c>
      <c r="P1026" s="2">
        <v>46225.648796296293</v>
      </c>
      <c r="Q1026" s="2">
        <v>46233.596956018519</v>
      </c>
      <c r="R1026" s="2">
        <v>46225.648796296293</v>
      </c>
      <c r="S1026">
        <v>0</v>
      </c>
      <c r="T1026" t="s">
        <v>2079</v>
      </c>
      <c r="U1026" t="s">
        <v>2079</v>
      </c>
      <c r="V1026" t="s">
        <v>3033</v>
      </c>
      <c r="W1026" t="str">
        <f>"400441"</f>
        <v>400441</v>
      </c>
      <c r="X1026" t="s">
        <v>41</v>
      </c>
      <c r="AD1026" s="2">
        <v>46228.487395833334</v>
      </c>
    </row>
    <row r="1027" spans="1:30" x14ac:dyDescent="0.35">
      <c r="A1027" t="s">
        <v>2182</v>
      </c>
      <c r="B1027" t="s">
        <v>31</v>
      </c>
      <c r="C1027" t="s">
        <v>3034</v>
      </c>
      <c r="D1027" t="s">
        <v>33</v>
      </c>
      <c r="E1027" t="str">
        <f>"400445"</f>
        <v>400445</v>
      </c>
      <c r="F1027" t="s">
        <v>424</v>
      </c>
      <c r="G1027">
        <v>4</v>
      </c>
      <c r="H1027">
        <v>0</v>
      </c>
      <c r="I1027" t="s">
        <v>2460</v>
      </c>
      <c r="J1027" t="str">
        <f>"153000452"</f>
        <v>153000452</v>
      </c>
      <c r="K1027" s="1">
        <v>48041</v>
      </c>
      <c r="M1027" s="1">
        <v>46216</v>
      </c>
      <c r="N1027" t="str">
        <f>"1329001969"</f>
        <v>1329001969</v>
      </c>
      <c r="O1027">
        <v>4</v>
      </c>
      <c r="P1027" s="2">
        <v>46225.642824074072</v>
      </c>
      <c r="Q1027" s="2">
        <v>46233.598912037036</v>
      </c>
      <c r="R1027" s="2">
        <v>46225.642824074072</v>
      </c>
      <c r="S1027">
        <v>0</v>
      </c>
      <c r="T1027" t="s">
        <v>2079</v>
      </c>
      <c r="U1027" t="s">
        <v>2079</v>
      </c>
      <c r="V1027" t="s">
        <v>3035</v>
      </c>
      <c r="W1027" t="str">
        <f>"400445"</f>
        <v>400445</v>
      </c>
      <c r="X1027" t="s">
        <v>41</v>
      </c>
      <c r="AD1027" s="2">
        <v>46228.4762962963</v>
      </c>
    </row>
    <row r="1028" spans="1:30" x14ac:dyDescent="0.35">
      <c r="A1028" t="s">
        <v>2182</v>
      </c>
      <c r="B1028" t="s">
        <v>31</v>
      </c>
      <c r="C1028" t="s">
        <v>3036</v>
      </c>
      <c r="D1028" t="s">
        <v>33</v>
      </c>
      <c r="E1028" t="str">
        <f>"400441"</f>
        <v>400441</v>
      </c>
      <c r="F1028" t="s">
        <v>65</v>
      </c>
      <c r="G1028">
        <v>4</v>
      </c>
      <c r="H1028">
        <v>0</v>
      </c>
      <c r="I1028" t="s">
        <v>2434</v>
      </c>
      <c r="J1028" t="str">
        <f>"153000465"</f>
        <v>153000465</v>
      </c>
      <c r="K1028" s="1">
        <v>48046</v>
      </c>
      <c r="M1028" s="1">
        <v>46221</v>
      </c>
      <c r="N1028" t="str">
        <f>"1329001992"</f>
        <v>1329001992</v>
      </c>
      <c r="O1028">
        <v>4</v>
      </c>
      <c r="P1028" s="2">
        <v>46229.395150462966</v>
      </c>
      <c r="Q1028" s="2">
        <v>46233.607638888891</v>
      </c>
      <c r="R1028" s="2">
        <v>46229.395150462966</v>
      </c>
      <c r="S1028">
        <v>0</v>
      </c>
      <c r="T1028" t="s">
        <v>2079</v>
      </c>
      <c r="U1028" t="s">
        <v>2079</v>
      </c>
      <c r="W1028" t="str">
        <f>"400441"</f>
        <v>400441</v>
      </c>
      <c r="X1028" t="s">
        <v>41</v>
      </c>
      <c r="AD1028" s="2">
        <v>46233.607638888891</v>
      </c>
    </row>
    <row r="1029" spans="1:30" x14ac:dyDescent="0.35">
      <c r="A1029" t="s">
        <v>2182</v>
      </c>
      <c r="B1029" t="s">
        <v>31</v>
      </c>
      <c r="C1029" t="s">
        <v>3037</v>
      </c>
      <c r="D1029" t="s">
        <v>33</v>
      </c>
      <c r="E1029" t="str">
        <f>"400441"</f>
        <v>400441</v>
      </c>
      <c r="F1029" t="s">
        <v>65</v>
      </c>
      <c r="G1029">
        <v>4</v>
      </c>
      <c r="H1029">
        <v>0</v>
      </c>
      <c r="I1029" t="s">
        <v>3038</v>
      </c>
      <c r="J1029" t="str">
        <f>"153000465"</f>
        <v>153000465</v>
      </c>
      <c r="K1029" s="1">
        <v>48046</v>
      </c>
      <c r="M1029" s="1">
        <v>46221</v>
      </c>
      <c r="N1029" t="str">
        <f>"1329001992"</f>
        <v>1329001992</v>
      </c>
      <c r="O1029">
        <v>4</v>
      </c>
      <c r="P1029" s="2">
        <v>46229.395474537036</v>
      </c>
      <c r="Q1029" s="2">
        <v>46233.625740740739</v>
      </c>
      <c r="R1029" s="2">
        <v>46229.395474537036</v>
      </c>
      <c r="S1029">
        <v>0</v>
      </c>
      <c r="T1029" t="s">
        <v>2079</v>
      </c>
      <c r="U1029" t="s">
        <v>2079</v>
      </c>
      <c r="W1029" t="str">
        <f>"400441"</f>
        <v>400441</v>
      </c>
      <c r="X1029" t="s">
        <v>41</v>
      </c>
      <c r="AD1029" s="2">
        <v>46233.625740740739</v>
      </c>
    </row>
    <row r="1030" spans="1:30" x14ac:dyDescent="0.35">
      <c r="A1030" t="s">
        <v>2182</v>
      </c>
      <c r="B1030" t="s">
        <v>31</v>
      </c>
      <c r="C1030" t="s">
        <v>3039</v>
      </c>
      <c r="D1030" t="s">
        <v>33</v>
      </c>
      <c r="E1030" t="str">
        <f>"400913"</f>
        <v>400913</v>
      </c>
      <c r="F1030" t="s">
        <v>3002</v>
      </c>
      <c r="G1030">
        <v>42</v>
      </c>
      <c r="H1030">
        <v>0</v>
      </c>
      <c r="I1030" t="s">
        <v>2435</v>
      </c>
      <c r="J1030" t="str">
        <f>"400004626"</f>
        <v>400004626</v>
      </c>
      <c r="K1030" s="1">
        <v>48039</v>
      </c>
      <c r="M1030" s="1">
        <v>46214</v>
      </c>
      <c r="N1030" t="str">
        <f>"1329001991"</f>
        <v>1329001991</v>
      </c>
      <c r="O1030">
        <v>42</v>
      </c>
      <c r="P1030" s="2">
        <v>46231.573854166665</v>
      </c>
      <c r="Q1030" s="2">
        <v>46233.637789351851</v>
      </c>
      <c r="R1030" s="2">
        <v>46231.573854166665</v>
      </c>
      <c r="S1030">
        <v>0</v>
      </c>
      <c r="T1030" t="s">
        <v>2079</v>
      </c>
      <c r="U1030" t="s">
        <v>2079</v>
      </c>
      <c r="W1030" t="str">
        <f>"400913"</f>
        <v>400913</v>
      </c>
      <c r="X1030" t="s">
        <v>41</v>
      </c>
      <c r="AD1030" s="2">
        <v>46233.637789351851</v>
      </c>
    </row>
    <row r="1031" spans="1:30" x14ac:dyDescent="0.35">
      <c r="A1031" t="s">
        <v>2182</v>
      </c>
      <c r="B1031" t="s">
        <v>31</v>
      </c>
      <c r="C1031" t="s">
        <v>3040</v>
      </c>
      <c r="D1031" t="s">
        <v>33</v>
      </c>
      <c r="E1031" t="str">
        <f>"401299"</f>
        <v>401299</v>
      </c>
      <c r="F1031" t="s">
        <v>2925</v>
      </c>
      <c r="G1031">
        <v>24</v>
      </c>
      <c r="H1031">
        <v>0</v>
      </c>
      <c r="I1031" t="s">
        <v>2419</v>
      </c>
      <c r="J1031" t="str">
        <f>"153000463"</f>
        <v>153000463</v>
      </c>
      <c r="K1031" s="1">
        <v>48044</v>
      </c>
      <c r="M1031" s="1">
        <v>46219</v>
      </c>
      <c r="N1031" t="str">
        <f>"1329001979"</f>
        <v>1329001979</v>
      </c>
      <c r="O1031">
        <v>24</v>
      </c>
      <c r="P1031" s="2">
        <v>46229.57403935185</v>
      </c>
      <c r="Q1031" s="2">
        <v>46235.409004629626</v>
      </c>
      <c r="R1031" s="2">
        <v>46229.57403935185</v>
      </c>
      <c r="S1031">
        <v>0</v>
      </c>
      <c r="T1031" t="s">
        <v>2079</v>
      </c>
      <c r="U1031" t="s">
        <v>2079</v>
      </c>
      <c r="V1031" t="s">
        <v>3041</v>
      </c>
      <c r="W1031" t="str">
        <f>"401299"</f>
        <v>401299</v>
      </c>
      <c r="X1031" t="s">
        <v>378</v>
      </c>
      <c r="AD1031" s="2">
        <v>46233.572523148148</v>
      </c>
    </row>
    <row r="1032" spans="1:30" x14ac:dyDescent="0.35">
      <c r="A1032" t="s">
        <v>2182</v>
      </c>
      <c r="B1032" t="s">
        <v>31</v>
      </c>
      <c r="C1032" t="s">
        <v>3042</v>
      </c>
      <c r="D1032" t="s">
        <v>33</v>
      </c>
      <c r="E1032" t="str">
        <f>"400445"</f>
        <v>400445</v>
      </c>
      <c r="F1032" t="s">
        <v>424</v>
      </c>
      <c r="G1032">
        <v>4</v>
      </c>
      <c r="H1032">
        <v>0</v>
      </c>
      <c r="I1032" t="s">
        <v>3043</v>
      </c>
      <c r="J1032" t="str">
        <f>"153000452"</f>
        <v>153000452</v>
      </c>
      <c r="K1032" s="1">
        <v>48041</v>
      </c>
      <c r="M1032" s="1">
        <v>46216</v>
      </c>
      <c r="N1032" t="str">
        <f>"1329001969"</f>
        <v>1329001969</v>
      </c>
      <c r="O1032">
        <v>4</v>
      </c>
      <c r="P1032" s="2">
        <v>46225.638402777775</v>
      </c>
      <c r="Q1032" s="2">
        <v>46236.635196759256</v>
      </c>
      <c r="R1032" s="2">
        <v>46225.638402777775</v>
      </c>
      <c r="S1032">
        <v>0</v>
      </c>
      <c r="T1032" t="s">
        <v>2079</v>
      </c>
      <c r="U1032" t="s">
        <v>2079</v>
      </c>
      <c r="V1032" t="s">
        <v>3044</v>
      </c>
      <c r="W1032" t="str">
        <f>"400445"</f>
        <v>400445</v>
      </c>
      <c r="X1032" t="s">
        <v>41</v>
      </c>
      <c r="AD1032" s="2">
        <v>46228.471712962964</v>
      </c>
    </row>
    <row r="1033" spans="1:30" x14ac:dyDescent="0.35">
      <c r="A1033" t="s">
        <v>2182</v>
      </c>
      <c r="B1033" t="s">
        <v>31</v>
      </c>
      <c r="C1033" t="s">
        <v>3045</v>
      </c>
      <c r="D1033" t="s">
        <v>33</v>
      </c>
      <c r="E1033" t="str">
        <f>"400445"</f>
        <v>400445</v>
      </c>
      <c r="F1033" t="s">
        <v>424</v>
      </c>
      <c r="G1033">
        <v>4</v>
      </c>
      <c r="H1033">
        <v>0</v>
      </c>
      <c r="I1033" t="s">
        <v>3043</v>
      </c>
      <c r="J1033" t="str">
        <f>"153000452"</f>
        <v>153000452</v>
      </c>
      <c r="K1033" s="1">
        <v>48041</v>
      </c>
      <c r="M1033" s="1">
        <v>46216</v>
      </c>
      <c r="N1033" t="str">
        <f>"1329001969"</f>
        <v>1329001969</v>
      </c>
      <c r="O1033">
        <v>4</v>
      </c>
      <c r="P1033" s="2">
        <v>46225.638148148151</v>
      </c>
      <c r="Q1033" s="2">
        <v>46236.637812499997</v>
      </c>
      <c r="R1033" s="2">
        <v>46225.638148148151</v>
      </c>
      <c r="S1033">
        <v>0</v>
      </c>
      <c r="T1033" t="s">
        <v>2079</v>
      </c>
      <c r="U1033" t="s">
        <v>2079</v>
      </c>
      <c r="V1033" t="s">
        <v>3046</v>
      </c>
      <c r="W1033" t="str">
        <f>"400445"</f>
        <v>400445</v>
      </c>
      <c r="X1033" t="s">
        <v>41</v>
      </c>
      <c r="AD1033" s="2">
        <v>46228.47146990741</v>
      </c>
    </row>
    <row r="1034" spans="1:30" x14ac:dyDescent="0.35">
      <c r="A1034" t="s">
        <v>2182</v>
      </c>
      <c r="B1034" t="s">
        <v>31</v>
      </c>
      <c r="C1034" t="s">
        <v>3047</v>
      </c>
      <c r="D1034" t="s">
        <v>33</v>
      </c>
      <c r="E1034" t="str">
        <f>"400445"</f>
        <v>400445</v>
      </c>
      <c r="F1034" t="s">
        <v>424</v>
      </c>
      <c r="G1034">
        <v>4</v>
      </c>
      <c r="H1034">
        <v>0</v>
      </c>
      <c r="I1034" t="s">
        <v>3043</v>
      </c>
      <c r="J1034" t="str">
        <f>"153000452"</f>
        <v>153000452</v>
      </c>
      <c r="K1034" s="1">
        <v>48041</v>
      </c>
      <c r="M1034" s="1">
        <v>46216</v>
      </c>
      <c r="N1034" t="str">
        <f>"1329001969"</f>
        <v>1329001969</v>
      </c>
      <c r="O1034">
        <v>4</v>
      </c>
      <c r="P1034" s="2">
        <v>46225.639039351852</v>
      </c>
      <c r="Q1034" s="2">
        <v>46236.640532407408</v>
      </c>
      <c r="R1034" s="2">
        <v>46225.639039351852</v>
      </c>
      <c r="S1034">
        <v>0</v>
      </c>
      <c r="T1034" t="s">
        <v>2079</v>
      </c>
      <c r="U1034" t="s">
        <v>2079</v>
      </c>
      <c r="V1034" t="s">
        <v>3048</v>
      </c>
      <c r="W1034" t="str">
        <f>"400445"</f>
        <v>400445</v>
      </c>
      <c r="X1034" t="s">
        <v>41</v>
      </c>
      <c r="AD1034" s="2">
        <v>46228.472291666665</v>
      </c>
    </row>
    <row r="1035" spans="1:30" x14ac:dyDescent="0.35">
      <c r="A1035" t="s">
        <v>2182</v>
      </c>
      <c r="B1035" t="s">
        <v>31</v>
      </c>
      <c r="C1035" t="s">
        <v>3049</v>
      </c>
      <c r="D1035" t="s">
        <v>33</v>
      </c>
      <c r="E1035" t="str">
        <f>"400445"</f>
        <v>400445</v>
      </c>
      <c r="F1035" t="s">
        <v>424</v>
      </c>
      <c r="G1035">
        <v>4</v>
      </c>
      <c r="H1035">
        <v>0</v>
      </c>
      <c r="I1035" t="s">
        <v>3043</v>
      </c>
      <c r="J1035" t="str">
        <f>"153000452"</f>
        <v>153000452</v>
      </c>
      <c r="K1035" s="1">
        <v>48041</v>
      </c>
      <c r="M1035" s="1">
        <v>46216</v>
      </c>
      <c r="N1035" t="str">
        <f>"1329001969"</f>
        <v>1329001969</v>
      </c>
      <c r="O1035">
        <v>4</v>
      </c>
      <c r="P1035" s="2">
        <v>46225.638773148145</v>
      </c>
      <c r="Q1035" s="2">
        <v>46236.643587962964</v>
      </c>
      <c r="R1035" s="2">
        <v>46225.638773148145</v>
      </c>
      <c r="S1035">
        <v>0</v>
      </c>
      <c r="T1035" t="s">
        <v>2079</v>
      </c>
      <c r="U1035" t="s">
        <v>2079</v>
      </c>
      <c r="V1035" t="s">
        <v>3050</v>
      </c>
      <c r="W1035" t="str">
        <f>"400445"</f>
        <v>400445</v>
      </c>
      <c r="X1035" t="s">
        <v>41</v>
      </c>
      <c r="AD1035" s="2">
        <v>46228.471944444442</v>
      </c>
    </row>
    <row r="1036" spans="1:30" x14ac:dyDescent="0.35">
      <c r="A1036" t="s">
        <v>2182</v>
      </c>
      <c r="B1036" t="s">
        <v>31</v>
      </c>
      <c r="C1036" t="s">
        <v>3051</v>
      </c>
      <c r="D1036" t="s">
        <v>33</v>
      </c>
      <c r="E1036" t="str">
        <f>"400445"</f>
        <v>400445</v>
      </c>
      <c r="F1036" t="s">
        <v>424</v>
      </c>
      <c r="G1036">
        <v>4</v>
      </c>
      <c r="H1036">
        <v>0</v>
      </c>
      <c r="I1036" t="s">
        <v>3043</v>
      </c>
      <c r="J1036" t="str">
        <f>"153000452"</f>
        <v>153000452</v>
      </c>
      <c r="K1036" s="1">
        <v>48041</v>
      </c>
      <c r="M1036" s="1">
        <v>46216</v>
      </c>
      <c r="N1036" t="str">
        <f>"1329001969"</f>
        <v>1329001969</v>
      </c>
      <c r="O1036">
        <v>4</v>
      </c>
      <c r="P1036" s="2">
        <v>46225.640856481485</v>
      </c>
      <c r="Q1036" s="2">
        <v>46236.64539351852</v>
      </c>
      <c r="R1036" s="2">
        <v>46225.640856481485</v>
      </c>
      <c r="S1036">
        <v>0</v>
      </c>
      <c r="T1036" t="s">
        <v>2079</v>
      </c>
      <c r="U1036" t="s">
        <v>2079</v>
      </c>
      <c r="V1036" t="s">
        <v>3052</v>
      </c>
      <c r="W1036" t="str">
        <f>"400445"</f>
        <v>400445</v>
      </c>
      <c r="X1036" t="s">
        <v>41</v>
      </c>
      <c r="AD1036" s="2">
        <v>46228.476863425924</v>
      </c>
    </row>
    <row r="1037" spans="1:30" x14ac:dyDescent="0.35">
      <c r="A1037" t="s">
        <v>2182</v>
      </c>
      <c r="B1037" t="s">
        <v>31</v>
      </c>
      <c r="C1037" t="s">
        <v>3053</v>
      </c>
      <c r="D1037" t="s">
        <v>33</v>
      </c>
      <c r="E1037" t="str">
        <f>"401047"</f>
        <v>401047</v>
      </c>
      <c r="F1037" t="s">
        <v>1730</v>
      </c>
      <c r="G1037">
        <v>4</v>
      </c>
      <c r="H1037">
        <v>0</v>
      </c>
      <c r="I1037" t="s">
        <v>2461</v>
      </c>
      <c r="J1037" t="str">
        <f>"153000449"</f>
        <v>153000449</v>
      </c>
      <c r="K1037" s="1">
        <v>48040</v>
      </c>
      <c r="M1037" s="1">
        <v>46215</v>
      </c>
      <c r="N1037" t="str">
        <f>"1329001986"</f>
        <v>1329001986</v>
      </c>
      <c r="O1037">
        <v>4</v>
      </c>
      <c r="P1037" s="2">
        <v>46229.665752314817</v>
      </c>
      <c r="Q1037" s="2">
        <v>46236.662615740737</v>
      </c>
      <c r="R1037" s="2">
        <v>46229.665752314817</v>
      </c>
      <c r="S1037">
        <v>0</v>
      </c>
      <c r="T1037" t="s">
        <v>2079</v>
      </c>
      <c r="U1037" t="s">
        <v>2079</v>
      </c>
      <c r="W1037" t="str">
        <f>"401047"</f>
        <v>401047</v>
      </c>
      <c r="X1037" t="s">
        <v>41</v>
      </c>
      <c r="AD1037" s="2">
        <v>46236.662615740737</v>
      </c>
    </row>
    <row r="1038" spans="1:30" x14ac:dyDescent="0.35">
      <c r="A1038" t="s">
        <v>2182</v>
      </c>
      <c r="B1038" t="s">
        <v>31</v>
      </c>
      <c r="C1038" t="s">
        <v>3054</v>
      </c>
      <c r="D1038" t="s">
        <v>33</v>
      </c>
      <c r="E1038" t="str">
        <f>"401047"</f>
        <v>401047</v>
      </c>
      <c r="F1038" t="s">
        <v>1730</v>
      </c>
      <c r="G1038">
        <v>4</v>
      </c>
      <c r="H1038">
        <v>0</v>
      </c>
      <c r="I1038" t="s">
        <v>2461</v>
      </c>
      <c r="J1038" t="str">
        <f>"153000449"</f>
        <v>153000449</v>
      </c>
      <c r="K1038" s="1">
        <v>48040</v>
      </c>
      <c r="M1038" s="1">
        <v>46215</v>
      </c>
      <c r="N1038" t="str">
        <f>"1329001986"</f>
        <v>1329001986</v>
      </c>
      <c r="O1038">
        <v>4</v>
      </c>
      <c r="P1038" s="2">
        <v>46229.657719907409</v>
      </c>
      <c r="Q1038" s="2">
        <v>46236.666967592595</v>
      </c>
      <c r="R1038" s="2">
        <v>46229.657719907409</v>
      </c>
      <c r="S1038">
        <v>0</v>
      </c>
      <c r="T1038" t="s">
        <v>2079</v>
      </c>
      <c r="U1038" t="s">
        <v>2079</v>
      </c>
      <c r="W1038" t="str">
        <f>"401047"</f>
        <v>401047</v>
      </c>
      <c r="X1038" t="s">
        <v>41</v>
      </c>
      <c r="AD1038" s="2">
        <v>46236.666967592595</v>
      </c>
    </row>
    <row r="1039" spans="1:30" x14ac:dyDescent="0.35">
      <c r="A1039" t="s">
        <v>2182</v>
      </c>
      <c r="B1039" t="s">
        <v>31</v>
      </c>
      <c r="C1039" t="s">
        <v>3055</v>
      </c>
      <c r="D1039" t="s">
        <v>33</v>
      </c>
      <c r="E1039" t="str">
        <f>"401047"</f>
        <v>401047</v>
      </c>
      <c r="F1039" t="s">
        <v>1730</v>
      </c>
      <c r="G1039">
        <v>4</v>
      </c>
      <c r="H1039">
        <v>0</v>
      </c>
      <c r="I1039" t="s">
        <v>2461</v>
      </c>
      <c r="J1039" t="str">
        <f>"153000449"</f>
        <v>153000449</v>
      </c>
      <c r="K1039" s="1">
        <v>48040</v>
      </c>
      <c r="M1039" s="1">
        <v>46215</v>
      </c>
      <c r="N1039" t="str">
        <f>"1329001986"</f>
        <v>1329001986</v>
      </c>
      <c r="O1039">
        <v>4</v>
      </c>
      <c r="P1039" s="2">
        <v>46229.657048611109</v>
      </c>
      <c r="Q1039" s="2">
        <v>46236.668449074074</v>
      </c>
      <c r="R1039" s="2">
        <v>46229.657048611109</v>
      </c>
      <c r="S1039">
        <v>0</v>
      </c>
      <c r="T1039" t="s">
        <v>2079</v>
      </c>
      <c r="U1039" t="s">
        <v>2079</v>
      </c>
      <c r="W1039" t="str">
        <f>"401047"</f>
        <v>401047</v>
      </c>
      <c r="X1039" t="s">
        <v>41</v>
      </c>
      <c r="AD1039" s="2">
        <v>46236.668449074074</v>
      </c>
    </row>
    <row r="1040" spans="1:30" x14ac:dyDescent="0.35">
      <c r="A1040" t="s">
        <v>2182</v>
      </c>
      <c r="B1040" t="s">
        <v>31</v>
      </c>
      <c r="C1040" t="s">
        <v>3056</v>
      </c>
      <c r="D1040" t="s">
        <v>33</v>
      </c>
      <c r="E1040" t="str">
        <f>"401047"</f>
        <v>401047</v>
      </c>
      <c r="F1040" t="s">
        <v>1730</v>
      </c>
      <c r="G1040">
        <v>4</v>
      </c>
      <c r="H1040">
        <v>0</v>
      </c>
      <c r="I1040" t="s">
        <v>2461</v>
      </c>
      <c r="J1040" t="str">
        <f>"153000449"</f>
        <v>153000449</v>
      </c>
      <c r="K1040" s="1">
        <v>48040</v>
      </c>
      <c r="M1040" s="1">
        <v>46215</v>
      </c>
      <c r="N1040" t="str">
        <f>"1329001986"</f>
        <v>1329001986</v>
      </c>
      <c r="O1040">
        <v>4</v>
      </c>
      <c r="P1040" s="2">
        <v>46229.653877314813</v>
      </c>
      <c r="Q1040" s="2">
        <v>46236.6719212963</v>
      </c>
      <c r="R1040" s="2">
        <v>46229.653877314813</v>
      </c>
      <c r="S1040">
        <v>0</v>
      </c>
      <c r="T1040" t="s">
        <v>2079</v>
      </c>
      <c r="U1040" t="s">
        <v>2079</v>
      </c>
      <c r="W1040" t="str">
        <f>"401047"</f>
        <v>401047</v>
      </c>
      <c r="X1040" t="s">
        <v>41</v>
      </c>
      <c r="AD1040" s="2">
        <v>46236.6719212963</v>
      </c>
    </row>
    <row r="1041" spans="1:30" x14ac:dyDescent="0.35">
      <c r="A1041" t="s">
        <v>2182</v>
      </c>
      <c r="B1041" t="s">
        <v>31</v>
      </c>
      <c r="C1041" t="s">
        <v>3057</v>
      </c>
      <c r="D1041" t="s">
        <v>33</v>
      </c>
      <c r="E1041" t="str">
        <f>"401047"</f>
        <v>401047</v>
      </c>
      <c r="F1041" t="s">
        <v>1730</v>
      </c>
      <c r="G1041">
        <v>4</v>
      </c>
      <c r="H1041">
        <v>0</v>
      </c>
      <c r="I1041" t="s">
        <v>2461</v>
      </c>
      <c r="J1041" t="str">
        <f>"153000449"</f>
        <v>153000449</v>
      </c>
      <c r="K1041" s="1">
        <v>48040</v>
      </c>
      <c r="M1041" s="1">
        <v>46215</v>
      </c>
      <c r="N1041" t="str">
        <f>"1329001986"</f>
        <v>1329001986</v>
      </c>
      <c r="O1041">
        <v>4</v>
      </c>
      <c r="P1041" s="2">
        <v>46229.654131944444</v>
      </c>
      <c r="Q1041" s="2">
        <v>46236.67386574074</v>
      </c>
      <c r="R1041" s="2">
        <v>46229.654131944444</v>
      </c>
      <c r="S1041">
        <v>0</v>
      </c>
      <c r="T1041" t="s">
        <v>2079</v>
      </c>
      <c r="U1041" t="s">
        <v>2079</v>
      </c>
      <c r="W1041" t="str">
        <f>"401047"</f>
        <v>401047</v>
      </c>
      <c r="X1041" t="s">
        <v>41</v>
      </c>
      <c r="AD1041" s="2">
        <v>46236.67386574074</v>
      </c>
    </row>
    <row r="1042" spans="1:30" x14ac:dyDescent="0.35">
      <c r="A1042" t="s">
        <v>2182</v>
      </c>
      <c r="B1042" t="s">
        <v>31</v>
      </c>
      <c r="C1042" t="s">
        <v>3058</v>
      </c>
      <c r="D1042" t="s">
        <v>33</v>
      </c>
      <c r="E1042" t="str">
        <f>"400902"</f>
        <v>400902</v>
      </c>
      <c r="F1042" t="s">
        <v>1627</v>
      </c>
      <c r="G1042">
        <v>6</v>
      </c>
      <c r="H1042">
        <v>0</v>
      </c>
      <c r="I1042" t="s">
        <v>2349</v>
      </c>
      <c r="J1042" t="str">
        <f>"950001504"</f>
        <v>950001504</v>
      </c>
      <c r="K1042" s="1">
        <v>48042</v>
      </c>
      <c r="M1042" s="1">
        <v>46217</v>
      </c>
      <c r="N1042" t="str">
        <f>"1329001989"</f>
        <v>1329001989</v>
      </c>
      <c r="O1042">
        <v>32</v>
      </c>
      <c r="P1042" s="2">
        <v>46228.571921296294</v>
      </c>
      <c r="Q1042" s="2">
        <v>46237.391898148147</v>
      </c>
      <c r="R1042" s="2">
        <v>46228.571921296294</v>
      </c>
      <c r="S1042">
        <v>0</v>
      </c>
      <c r="T1042" t="s">
        <v>2079</v>
      </c>
      <c r="U1042" t="s">
        <v>2079</v>
      </c>
      <c r="V1042" t="s">
        <v>3059</v>
      </c>
      <c r="W1042" t="str">
        <f>"400902"</f>
        <v>400902</v>
      </c>
      <c r="X1042" t="s">
        <v>37</v>
      </c>
      <c r="AD1042" s="2">
        <v>46229.483252314814</v>
      </c>
    </row>
    <row r="1043" spans="1:30" x14ac:dyDescent="0.35">
      <c r="A1043" t="s">
        <v>2182</v>
      </c>
      <c r="B1043" t="s">
        <v>31</v>
      </c>
      <c r="C1043" t="s">
        <v>3060</v>
      </c>
      <c r="D1043" t="s">
        <v>33</v>
      </c>
      <c r="E1043" t="str">
        <f>"401149"</f>
        <v>401149</v>
      </c>
      <c r="F1043" t="s">
        <v>1051</v>
      </c>
      <c r="G1043">
        <v>4</v>
      </c>
      <c r="H1043">
        <v>0</v>
      </c>
      <c r="I1043" t="s">
        <v>2372</v>
      </c>
      <c r="J1043" t="str">
        <f>"153000305"</f>
        <v>153000305</v>
      </c>
      <c r="K1043" s="1">
        <v>47976</v>
      </c>
      <c r="M1043" s="1">
        <v>46151</v>
      </c>
      <c r="N1043" t="str">
        <f>"1329001986"</f>
        <v>1329001986</v>
      </c>
      <c r="O1043">
        <v>4</v>
      </c>
      <c r="P1043" s="2">
        <v>46229.661932870367</v>
      </c>
      <c r="Q1043" s="2">
        <v>46237.395416666666</v>
      </c>
      <c r="R1043" s="2">
        <v>46229.661932870367</v>
      </c>
      <c r="S1043">
        <v>0</v>
      </c>
      <c r="T1043" t="s">
        <v>2079</v>
      </c>
      <c r="U1043" t="s">
        <v>2079</v>
      </c>
      <c r="W1043" t="str">
        <f>"401149"</f>
        <v>401149</v>
      </c>
      <c r="X1043" t="s">
        <v>41</v>
      </c>
      <c r="AD1043" s="2">
        <v>46237.395416666666</v>
      </c>
    </row>
    <row r="1044" spans="1:30" x14ac:dyDescent="0.35">
      <c r="A1044" t="s">
        <v>2182</v>
      </c>
      <c r="B1044" t="s">
        <v>31</v>
      </c>
      <c r="C1044" t="s">
        <v>3061</v>
      </c>
      <c r="D1044" t="s">
        <v>33</v>
      </c>
      <c r="E1044" t="str">
        <f>"400508"</f>
        <v>400508</v>
      </c>
      <c r="F1044" t="s">
        <v>586</v>
      </c>
      <c r="G1044">
        <v>4</v>
      </c>
      <c r="H1044">
        <v>0</v>
      </c>
      <c r="I1044" t="s">
        <v>2371</v>
      </c>
      <c r="J1044" t="str">
        <f>"153000431"</f>
        <v>153000431</v>
      </c>
      <c r="K1044" s="1">
        <v>48032</v>
      </c>
      <c r="M1044" s="1">
        <v>46207</v>
      </c>
      <c r="N1044" t="str">
        <f>"1329001991"</f>
        <v>1329001991</v>
      </c>
      <c r="O1044">
        <v>4</v>
      </c>
      <c r="P1044" s="2">
        <v>46231.577800925923</v>
      </c>
      <c r="Q1044" s="2">
        <v>46237.395486111112</v>
      </c>
      <c r="R1044" s="2">
        <v>46231.577800925923</v>
      </c>
      <c r="S1044">
        <v>0</v>
      </c>
      <c r="T1044" t="s">
        <v>2079</v>
      </c>
      <c r="U1044" t="s">
        <v>2079</v>
      </c>
      <c r="W1044" t="str">
        <f>"400508"</f>
        <v>400508</v>
      </c>
      <c r="X1044" t="s">
        <v>41</v>
      </c>
      <c r="AD1044" s="2">
        <v>46237.395486111112</v>
      </c>
    </row>
    <row r="1045" spans="1:30" x14ac:dyDescent="0.35">
      <c r="A1045" t="s">
        <v>2182</v>
      </c>
      <c r="B1045" t="s">
        <v>31</v>
      </c>
      <c r="C1045" t="s">
        <v>3062</v>
      </c>
      <c r="D1045" t="s">
        <v>33</v>
      </c>
      <c r="E1045" t="str">
        <f>"400508"</f>
        <v>400508</v>
      </c>
      <c r="F1045" t="s">
        <v>586</v>
      </c>
      <c r="G1045">
        <v>4</v>
      </c>
      <c r="H1045">
        <v>0</v>
      </c>
      <c r="I1045" t="s">
        <v>2370</v>
      </c>
      <c r="J1045" t="str">
        <f>"153000431"</f>
        <v>153000431</v>
      </c>
      <c r="K1045" s="1">
        <v>48032</v>
      </c>
      <c r="M1045" s="1">
        <v>46207</v>
      </c>
      <c r="N1045" t="str">
        <f>"1329001991"</f>
        <v>1329001991</v>
      </c>
      <c r="O1045">
        <v>4</v>
      </c>
      <c r="P1045" s="2">
        <v>46231.577534722222</v>
      </c>
      <c r="Q1045" s="2">
        <v>46237.395543981482</v>
      </c>
      <c r="R1045" s="2">
        <v>46231.577534722222</v>
      </c>
      <c r="S1045">
        <v>0</v>
      </c>
      <c r="T1045" t="s">
        <v>2079</v>
      </c>
      <c r="U1045" t="s">
        <v>2079</v>
      </c>
      <c r="W1045" t="str">
        <f>"400508"</f>
        <v>400508</v>
      </c>
      <c r="X1045" t="s">
        <v>41</v>
      </c>
      <c r="AD1045" s="2">
        <v>46237.395543981482</v>
      </c>
    </row>
    <row r="1046" spans="1:30" x14ac:dyDescent="0.35">
      <c r="A1046" t="s">
        <v>2182</v>
      </c>
      <c r="B1046" t="s">
        <v>31</v>
      </c>
      <c r="C1046" t="s">
        <v>3063</v>
      </c>
      <c r="D1046" t="s">
        <v>33</v>
      </c>
      <c r="E1046" t="str">
        <f>"401149"</f>
        <v>401149</v>
      </c>
      <c r="F1046" t="s">
        <v>1051</v>
      </c>
      <c r="G1046">
        <v>4</v>
      </c>
      <c r="H1046">
        <v>0</v>
      </c>
      <c r="I1046" t="s">
        <v>2362</v>
      </c>
      <c r="J1046" t="str">
        <f>"153000305"</f>
        <v>153000305</v>
      </c>
      <c r="K1046" s="1">
        <v>47976</v>
      </c>
      <c r="M1046" s="1">
        <v>46151</v>
      </c>
      <c r="N1046" t="str">
        <f t="shared" ref="N1046:N1051" si="181">"1329001986"</f>
        <v>1329001986</v>
      </c>
      <c r="O1046">
        <v>4</v>
      </c>
      <c r="P1046" s="2">
        <v>46229.661493055559</v>
      </c>
      <c r="Q1046" s="2">
        <v>46237.395624999997</v>
      </c>
      <c r="R1046" s="2">
        <v>46229.661493055559</v>
      </c>
      <c r="S1046">
        <v>0</v>
      </c>
      <c r="T1046" t="s">
        <v>2079</v>
      </c>
      <c r="U1046" t="s">
        <v>2079</v>
      </c>
      <c r="W1046" t="str">
        <f>"401149"</f>
        <v>401149</v>
      </c>
      <c r="X1046" t="s">
        <v>41</v>
      </c>
      <c r="AD1046" s="2">
        <v>46237.395624999997</v>
      </c>
    </row>
    <row r="1047" spans="1:30" x14ac:dyDescent="0.35">
      <c r="A1047" t="s">
        <v>2182</v>
      </c>
      <c r="B1047" t="s">
        <v>31</v>
      </c>
      <c r="C1047" t="s">
        <v>3064</v>
      </c>
      <c r="D1047" t="s">
        <v>33</v>
      </c>
      <c r="E1047" t="str">
        <f>"401047"</f>
        <v>401047</v>
      </c>
      <c r="F1047" t="s">
        <v>1730</v>
      </c>
      <c r="G1047">
        <v>4</v>
      </c>
      <c r="H1047">
        <v>0</v>
      </c>
      <c r="I1047" t="s">
        <v>2358</v>
      </c>
      <c r="J1047" t="str">
        <f>"153000449"</f>
        <v>153000449</v>
      </c>
      <c r="K1047" s="1">
        <v>48040</v>
      </c>
      <c r="M1047" s="1">
        <v>46215</v>
      </c>
      <c r="N1047" t="str">
        <f t="shared" si="181"/>
        <v>1329001986</v>
      </c>
      <c r="O1047">
        <v>4</v>
      </c>
      <c r="P1047" s="2">
        <v>46229.654502314814</v>
      </c>
      <c r="Q1047" s="2">
        <v>46237.439687500002</v>
      </c>
      <c r="R1047" s="2">
        <v>46229.654502314814</v>
      </c>
      <c r="S1047">
        <v>0</v>
      </c>
      <c r="T1047" t="s">
        <v>2079</v>
      </c>
      <c r="U1047" t="s">
        <v>2079</v>
      </c>
      <c r="W1047" t="str">
        <f>"401047"</f>
        <v>401047</v>
      </c>
      <c r="X1047" t="s">
        <v>41</v>
      </c>
      <c r="AD1047" s="2">
        <v>46237.439687500002</v>
      </c>
    </row>
    <row r="1048" spans="1:30" x14ac:dyDescent="0.35">
      <c r="A1048" t="s">
        <v>2182</v>
      </c>
      <c r="B1048" t="s">
        <v>31</v>
      </c>
      <c r="C1048" t="s">
        <v>3065</v>
      </c>
      <c r="D1048" t="s">
        <v>33</v>
      </c>
      <c r="E1048" t="str">
        <f>"401047"</f>
        <v>401047</v>
      </c>
      <c r="F1048" t="s">
        <v>1730</v>
      </c>
      <c r="G1048">
        <v>4</v>
      </c>
      <c r="H1048">
        <v>0</v>
      </c>
      <c r="I1048" t="s">
        <v>2358</v>
      </c>
      <c r="J1048" t="str">
        <f>"153000449"</f>
        <v>153000449</v>
      </c>
      <c r="K1048" s="1">
        <v>48040</v>
      </c>
      <c r="M1048" s="1">
        <v>46215</v>
      </c>
      <c r="N1048" t="str">
        <f t="shared" si="181"/>
        <v>1329001986</v>
      </c>
      <c r="O1048">
        <v>4</v>
      </c>
      <c r="P1048" s="2">
        <v>46229.654745370368</v>
      </c>
      <c r="Q1048" s="2">
        <v>46237.439768518518</v>
      </c>
      <c r="R1048" s="2">
        <v>46229.654745370368</v>
      </c>
      <c r="S1048">
        <v>0</v>
      </c>
      <c r="T1048" t="s">
        <v>2079</v>
      </c>
      <c r="U1048" t="s">
        <v>2079</v>
      </c>
      <c r="W1048" t="str">
        <f>"401047"</f>
        <v>401047</v>
      </c>
      <c r="X1048" t="s">
        <v>41</v>
      </c>
      <c r="AD1048" s="2">
        <v>46237.439768518518</v>
      </c>
    </row>
    <row r="1049" spans="1:30" x14ac:dyDescent="0.35">
      <c r="A1049" t="s">
        <v>2182</v>
      </c>
      <c r="B1049" t="s">
        <v>31</v>
      </c>
      <c r="C1049" t="s">
        <v>3066</v>
      </c>
      <c r="D1049" t="s">
        <v>33</v>
      </c>
      <c r="E1049" t="str">
        <f>"401047"</f>
        <v>401047</v>
      </c>
      <c r="F1049" t="s">
        <v>1730</v>
      </c>
      <c r="G1049">
        <v>4</v>
      </c>
      <c r="H1049">
        <v>0</v>
      </c>
      <c r="I1049" t="s">
        <v>2358</v>
      </c>
      <c r="J1049" t="str">
        <f>"153000449"</f>
        <v>153000449</v>
      </c>
      <c r="K1049" s="1">
        <v>48040</v>
      </c>
      <c r="M1049" s="1">
        <v>46215</v>
      </c>
      <c r="N1049" t="str">
        <f t="shared" si="181"/>
        <v>1329001986</v>
      </c>
      <c r="O1049">
        <v>4</v>
      </c>
      <c r="P1049" s="2">
        <v>46229.659259259257</v>
      </c>
      <c r="Q1049" s="2">
        <v>46237.44332175926</v>
      </c>
      <c r="R1049" s="2">
        <v>46229.659259259257</v>
      </c>
      <c r="S1049">
        <v>0</v>
      </c>
      <c r="T1049" t="s">
        <v>2079</v>
      </c>
      <c r="U1049" t="s">
        <v>2079</v>
      </c>
      <c r="W1049" t="str">
        <f>"401047"</f>
        <v>401047</v>
      </c>
      <c r="X1049" t="s">
        <v>41</v>
      </c>
      <c r="AD1049" s="2">
        <v>46237.44332175926</v>
      </c>
    </row>
    <row r="1050" spans="1:30" x14ac:dyDescent="0.35">
      <c r="A1050" t="s">
        <v>2182</v>
      </c>
      <c r="B1050" t="s">
        <v>31</v>
      </c>
      <c r="C1050" t="s">
        <v>3067</v>
      </c>
      <c r="D1050" t="s">
        <v>33</v>
      </c>
      <c r="E1050" t="str">
        <f>"401047"</f>
        <v>401047</v>
      </c>
      <c r="F1050" t="s">
        <v>1730</v>
      </c>
      <c r="G1050">
        <v>4</v>
      </c>
      <c r="H1050">
        <v>0</v>
      </c>
      <c r="I1050" t="s">
        <v>2358</v>
      </c>
      <c r="J1050" t="str">
        <f>"153000449"</f>
        <v>153000449</v>
      </c>
      <c r="K1050" s="1">
        <v>48040</v>
      </c>
      <c r="M1050" s="1">
        <v>46215</v>
      </c>
      <c r="N1050" t="str">
        <f t="shared" si="181"/>
        <v>1329001986</v>
      </c>
      <c r="O1050">
        <v>4</v>
      </c>
      <c r="P1050" s="2">
        <v>46229.655972222223</v>
      </c>
      <c r="Q1050" s="2">
        <v>46237.447326388887</v>
      </c>
      <c r="R1050" s="2">
        <v>46229.655972222223</v>
      </c>
      <c r="S1050">
        <v>0</v>
      </c>
      <c r="T1050" t="s">
        <v>2079</v>
      </c>
      <c r="U1050" t="s">
        <v>2079</v>
      </c>
      <c r="W1050" t="str">
        <f>"401047"</f>
        <v>401047</v>
      </c>
      <c r="X1050" t="s">
        <v>41</v>
      </c>
      <c r="AD1050" s="2">
        <v>46237.447326388887</v>
      </c>
    </row>
    <row r="1051" spans="1:30" x14ac:dyDescent="0.35">
      <c r="A1051" t="s">
        <v>2182</v>
      </c>
      <c r="B1051" t="s">
        <v>31</v>
      </c>
      <c r="C1051" t="s">
        <v>3068</v>
      </c>
      <c r="D1051" t="s">
        <v>33</v>
      </c>
      <c r="E1051" t="str">
        <f>"401047"</f>
        <v>401047</v>
      </c>
      <c r="F1051" t="s">
        <v>1730</v>
      </c>
      <c r="G1051">
        <v>4</v>
      </c>
      <c r="H1051">
        <v>0</v>
      </c>
      <c r="I1051" t="s">
        <v>2358</v>
      </c>
      <c r="J1051" t="str">
        <f>"153000449"</f>
        <v>153000449</v>
      </c>
      <c r="K1051" s="1">
        <v>48040</v>
      </c>
      <c r="M1051" s="1">
        <v>46215</v>
      </c>
      <c r="N1051" t="str">
        <f t="shared" si="181"/>
        <v>1329001986</v>
      </c>
      <c r="O1051">
        <v>4</v>
      </c>
      <c r="P1051" s="2">
        <v>46229.655659722222</v>
      </c>
      <c r="Q1051" s="2">
        <v>46237.447430555556</v>
      </c>
      <c r="R1051" s="2">
        <v>46229.655659722222</v>
      </c>
      <c r="S1051">
        <v>0</v>
      </c>
      <c r="T1051" t="s">
        <v>2079</v>
      </c>
      <c r="U1051" t="s">
        <v>2079</v>
      </c>
      <c r="W1051" t="str">
        <f>"401047"</f>
        <v>401047</v>
      </c>
      <c r="X1051" t="s">
        <v>41</v>
      </c>
      <c r="AD1051" s="2">
        <v>46237.447430555556</v>
      </c>
    </row>
    <row r="1052" spans="1:30" x14ac:dyDescent="0.35">
      <c r="A1052" t="s">
        <v>2182</v>
      </c>
      <c r="B1052" t="s">
        <v>31</v>
      </c>
      <c r="C1052" t="s">
        <v>3069</v>
      </c>
      <c r="D1052" t="s">
        <v>33</v>
      </c>
      <c r="E1052" t="str">
        <f>"400441"</f>
        <v>400441</v>
      </c>
      <c r="F1052" t="s">
        <v>65</v>
      </c>
      <c r="G1052">
        <v>4</v>
      </c>
      <c r="H1052">
        <v>0</v>
      </c>
      <c r="I1052" t="s">
        <v>2300</v>
      </c>
      <c r="J1052" t="str">
        <f>"153000397"</f>
        <v>153000397</v>
      </c>
      <c r="K1052" s="1">
        <v>48015</v>
      </c>
      <c r="M1052" s="1">
        <v>46190</v>
      </c>
      <c r="N1052" t="str">
        <f>"1329001980"</f>
        <v>1329001980</v>
      </c>
      <c r="O1052">
        <v>4</v>
      </c>
      <c r="P1052" s="2">
        <v>46229.35015046296</v>
      </c>
      <c r="Q1052" s="2">
        <v>46237.450740740744</v>
      </c>
      <c r="R1052" s="2">
        <v>46229.35015046296</v>
      </c>
      <c r="S1052">
        <v>0</v>
      </c>
      <c r="T1052" t="s">
        <v>2079</v>
      </c>
      <c r="U1052" t="s">
        <v>2079</v>
      </c>
      <c r="W1052" t="str">
        <f>"400441"</f>
        <v>400441</v>
      </c>
      <c r="X1052" t="s">
        <v>41</v>
      </c>
      <c r="AD1052" s="2">
        <v>46237.450740740744</v>
      </c>
    </row>
    <row r="1053" spans="1:30" x14ac:dyDescent="0.35">
      <c r="A1053" t="s">
        <v>2182</v>
      </c>
      <c r="B1053" t="s">
        <v>31</v>
      </c>
      <c r="C1053" t="s">
        <v>3070</v>
      </c>
      <c r="D1053" t="s">
        <v>33</v>
      </c>
      <c r="E1053" t="str">
        <f>"400441"</f>
        <v>400441</v>
      </c>
      <c r="F1053" t="s">
        <v>65</v>
      </c>
      <c r="G1053">
        <v>4</v>
      </c>
      <c r="H1053">
        <v>0</v>
      </c>
      <c r="I1053" t="s">
        <v>2300</v>
      </c>
      <c r="J1053" t="str">
        <f>"153000397"</f>
        <v>153000397</v>
      </c>
      <c r="K1053" s="1">
        <v>48015</v>
      </c>
      <c r="M1053" s="1">
        <v>46190</v>
      </c>
      <c r="N1053" t="str">
        <f>"1329001980"</f>
        <v>1329001980</v>
      </c>
      <c r="O1053">
        <v>4</v>
      </c>
      <c r="P1053" s="2">
        <v>46229.343564814815</v>
      </c>
      <c r="Q1053" s="2">
        <v>46237.451273148145</v>
      </c>
      <c r="R1053" s="2">
        <v>46229.343564814815</v>
      </c>
      <c r="S1053">
        <v>0</v>
      </c>
      <c r="T1053" t="s">
        <v>2079</v>
      </c>
      <c r="U1053" t="s">
        <v>2079</v>
      </c>
      <c r="W1053" t="str">
        <f>"400441"</f>
        <v>400441</v>
      </c>
      <c r="X1053" t="s">
        <v>41</v>
      </c>
      <c r="AD1053" s="2">
        <v>46237.451273148145</v>
      </c>
    </row>
    <row r="1054" spans="1:30" x14ac:dyDescent="0.35">
      <c r="A1054" t="s">
        <v>2182</v>
      </c>
      <c r="B1054" t="s">
        <v>31</v>
      </c>
      <c r="C1054" t="s">
        <v>3071</v>
      </c>
      <c r="D1054" t="s">
        <v>33</v>
      </c>
      <c r="E1054" t="str">
        <f>"401047"</f>
        <v>401047</v>
      </c>
      <c r="F1054" t="s">
        <v>1730</v>
      </c>
      <c r="G1054">
        <v>4</v>
      </c>
      <c r="H1054">
        <v>0</v>
      </c>
      <c r="I1054" t="s">
        <v>2359</v>
      </c>
      <c r="J1054" t="str">
        <f>"153000449"</f>
        <v>153000449</v>
      </c>
      <c r="K1054" s="1">
        <v>48040</v>
      </c>
      <c r="M1054" s="1">
        <v>46215</v>
      </c>
      <c r="N1054" t="str">
        <f t="shared" ref="N1054:N1064" si="182">"1329001986"</f>
        <v>1329001986</v>
      </c>
      <c r="O1054">
        <v>4</v>
      </c>
      <c r="P1054" s="2">
        <v>46229.6565625</v>
      </c>
      <c r="Q1054" s="2">
        <v>46237.454027777778</v>
      </c>
      <c r="R1054" s="2">
        <v>46229.6565625</v>
      </c>
      <c r="S1054">
        <v>0</v>
      </c>
      <c r="T1054" t="s">
        <v>2079</v>
      </c>
      <c r="U1054" t="s">
        <v>2079</v>
      </c>
      <c r="W1054" t="str">
        <f>"401047"</f>
        <v>401047</v>
      </c>
      <c r="X1054" t="s">
        <v>41</v>
      </c>
      <c r="AD1054" s="2">
        <v>46237.454027777778</v>
      </c>
    </row>
    <row r="1055" spans="1:30" x14ac:dyDescent="0.35">
      <c r="A1055" t="s">
        <v>2182</v>
      </c>
      <c r="B1055" t="s">
        <v>31</v>
      </c>
      <c r="C1055" t="s">
        <v>3072</v>
      </c>
      <c r="D1055" t="s">
        <v>33</v>
      </c>
      <c r="E1055" t="str">
        <f>"401047"</f>
        <v>401047</v>
      </c>
      <c r="F1055" t="s">
        <v>1730</v>
      </c>
      <c r="G1055">
        <v>4</v>
      </c>
      <c r="H1055">
        <v>0</v>
      </c>
      <c r="I1055" t="s">
        <v>2359</v>
      </c>
      <c r="J1055" t="str">
        <f>"153000449"</f>
        <v>153000449</v>
      </c>
      <c r="K1055" s="1">
        <v>48040</v>
      </c>
      <c r="M1055" s="1">
        <v>46215</v>
      </c>
      <c r="N1055" t="str">
        <f t="shared" si="182"/>
        <v>1329001986</v>
      </c>
      <c r="O1055">
        <v>4</v>
      </c>
      <c r="P1055" s="2">
        <v>46229.656215277777</v>
      </c>
      <c r="Q1055" s="2">
        <v>46237.457939814813</v>
      </c>
      <c r="R1055" s="2">
        <v>46229.656215277777</v>
      </c>
      <c r="S1055">
        <v>0</v>
      </c>
      <c r="T1055" t="s">
        <v>2079</v>
      </c>
      <c r="U1055" t="s">
        <v>2079</v>
      </c>
      <c r="W1055" t="str">
        <f>"401047"</f>
        <v>401047</v>
      </c>
      <c r="X1055" t="s">
        <v>41</v>
      </c>
      <c r="AD1055" s="2">
        <v>46237.457939814813</v>
      </c>
    </row>
    <row r="1056" spans="1:30" x14ac:dyDescent="0.35">
      <c r="A1056" t="s">
        <v>2182</v>
      </c>
      <c r="B1056" t="s">
        <v>31</v>
      </c>
      <c r="C1056" t="s">
        <v>3073</v>
      </c>
      <c r="D1056" t="s">
        <v>33</v>
      </c>
      <c r="E1056" t="str">
        <f>"401047"</f>
        <v>401047</v>
      </c>
      <c r="F1056" t="s">
        <v>1730</v>
      </c>
      <c r="G1056">
        <v>4</v>
      </c>
      <c r="H1056">
        <v>0</v>
      </c>
      <c r="I1056" t="s">
        <v>2359</v>
      </c>
      <c r="J1056" t="str">
        <f>"153000449"</f>
        <v>153000449</v>
      </c>
      <c r="K1056" s="1">
        <v>48040</v>
      </c>
      <c r="M1056" s="1">
        <v>46215</v>
      </c>
      <c r="N1056" t="str">
        <f t="shared" si="182"/>
        <v>1329001986</v>
      </c>
      <c r="O1056">
        <v>4</v>
      </c>
      <c r="P1056" s="2">
        <v>46229.657349537039</v>
      </c>
      <c r="Q1056" s="2">
        <v>46237.459861111114</v>
      </c>
      <c r="R1056" s="2">
        <v>46229.657349537039</v>
      </c>
      <c r="S1056">
        <v>0</v>
      </c>
      <c r="T1056" t="s">
        <v>2079</v>
      </c>
      <c r="U1056" t="s">
        <v>2079</v>
      </c>
      <c r="W1056" t="str">
        <f>"401047"</f>
        <v>401047</v>
      </c>
      <c r="X1056" t="s">
        <v>41</v>
      </c>
      <c r="AD1056" s="2">
        <v>46237.459861111114</v>
      </c>
    </row>
    <row r="1057" spans="1:30" x14ac:dyDescent="0.35">
      <c r="A1057" t="s">
        <v>2182</v>
      </c>
      <c r="B1057" t="s">
        <v>31</v>
      </c>
      <c r="C1057" t="s">
        <v>3074</v>
      </c>
      <c r="D1057" t="s">
        <v>33</v>
      </c>
      <c r="E1057" t="str">
        <f>"401047"</f>
        <v>401047</v>
      </c>
      <c r="F1057" t="s">
        <v>1730</v>
      </c>
      <c r="G1057">
        <v>4</v>
      </c>
      <c r="H1057">
        <v>0</v>
      </c>
      <c r="I1057" t="s">
        <v>2359</v>
      </c>
      <c r="J1057" t="str">
        <f>"153000449"</f>
        <v>153000449</v>
      </c>
      <c r="K1057" s="1">
        <v>48040</v>
      </c>
      <c r="M1057" s="1">
        <v>46215</v>
      </c>
      <c r="N1057" t="str">
        <f t="shared" si="182"/>
        <v>1329001986</v>
      </c>
      <c r="O1057">
        <v>4</v>
      </c>
      <c r="P1057" s="2">
        <v>46230.75408564815</v>
      </c>
      <c r="Q1057" s="2">
        <v>46237.462025462963</v>
      </c>
      <c r="R1057" s="2">
        <v>46230.75408564815</v>
      </c>
      <c r="S1057">
        <v>0</v>
      </c>
      <c r="T1057" t="s">
        <v>2079</v>
      </c>
      <c r="U1057" t="s">
        <v>2079</v>
      </c>
      <c r="W1057" t="str">
        <f>"401047"</f>
        <v>401047</v>
      </c>
      <c r="X1057" t="s">
        <v>41</v>
      </c>
      <c r="AD1057" s="2">
        <v>46237.462025462963</v>
      </c>
    </row>
    <row r="1058" spans="1:30" x14ac:dyDescent="0.35">
      <c r="A1058" t="s">
        <v>2182</v>
      </c>
      <c r="B1058" t="s">
        <v>31</v>
      </c>
      <c r="C1058" t="s">
        <v>3075</v>
      </c>
      <c r="D1058" t="s">
        <v>33</v>
      </c>
      <c r="E1058" t="str">
        <f>"401149"</f>
        <v>401149</v>
      </c>
      <c r="F1058" t="s">
        <v>1051</v>
      </c>
      <c r="G1058">
        <v>4</v>
      </c>
      <c r="H1058">
        <v>0</v>
      </c>
      <c r="I1058" t="s">
        <v>2364</v>
      </c>
      <c r="J1058" t="str">
        <f>"153000305"</f>
        <v>153000305</v>
      </c>
      <c r="K1058" s="1">
        <v>47976</v>
      </c>
      <c r="M1058" s="1">
        <v>46151</v>
      </c>
      <c r="N1058" t="str">
        <f t="shared" si="182"/>
        <v>1329001986</v>
      </c>
      <c r="O1058">
        <v>4</v>
      </c>
      <c r="P1058" s="2">
        <v>46229.664270833331</v>
      </c>
      <c r="Q1058" s="2">
        <v>46237.55332175926</v>
      </c>
      <c r="R1058" s="2">
        <v>46229.664270833331</v>
      </c>
      <c r="S1058">
        <v>0</v>
      </c>
      <c r="T1058" t="s">
        <v>2079</v>
      </c>
      <c r="U1058" t="s">
        <v>2079</v>
      </c>
      <c r="W1058" t="str">
        <f>"401149"</f>
        <v>401149</v>
      </c>
      <c r="X1058" t="s">
        <v>41</v>
      </c>
      <c r="AD1058" s="2">
        <v>46237.55332175926</v>
      </c>
    </row>
    <row r="1059" spans="1:30" x14ac:dyDescent="0.35">
      <c r="A1059" t="s">
        <v>2182</v>
      </c>
      <c r="B1059" t="s">
        <v>31</v>
      </c>
      <c r="C1059" t="s">
        <v>3076</v>
      </c>
      <c r="D1059" t="s">
        <v>33</v>
      </c>
      <c r="E1059" t="str">
        <f>"401047"</f>
        <v>401047</v>
      </c>
      <c r="F1059" t="s">
        <v>1730</v>
      </c>
      <c r="G1059">
        <v>4</v>
      </c>
      <c r="H1059">
        <v>0</v>
      </c>
      <c r="I1059" t="s">
        <v>2359</v>
      </c>
      <c r="J1059" t="str">
        <f>"153000449"</f>
        <v>153000449</v>
      </c>
      <c r="K1059" s="1">
        <v>48040</v>
      </c>
      <c r="M1059" s="1">
        <v>46215</v>
      </c>
      <c r="N1059" t="str">
        <f t="shared" si="182"/>
        <v>1329001986</v>
      </c>
      <c r="O1059">
        <v>4</v>
      </c>
      <c r="P1059" s="2">
        <v>46229.664756944447</v>
      </c>
      <c r="Q1059" s="2">
        <v>46237.554942129631</v>
      </c>
      <c r="R1059" s="2">
        <v>46229.664756944447</v>
      </c>
      <c r="S1059">
        <v>0</v>
      </c>
      <c r="T1059" t="s">
        <v>2079</v>
      </c>
      <c r="U1059" t="s">
        <v>2079</v>
      </c>
      <c r="W1059" t="str">
        <f>"401047"</f>
        <v>401047</v>
      </c>
      <c r="X1059" t="s">
        <v>41</v>
      </c>
      <c r="AD1059" s="2">
        <v>46237.554942129631</v>
      </c>
    </row>
    <row r="1060" spans="1:30" x14ac:dyDescent="0.35">
      <c r="A1060" t="s">
        <v>2182</v>
      </c>
      <c r="B1060" t="s">
        <v>31</v>
      </c>
      <c r="C1060" t="s">
        <v>3077</v>
      </c>
      <c r="D1060" t="s">
        <v>33</v>
      </c>
      <c r="E1060" t="str">
        <f>"401149"</f>
        <v>401149</v>
      </c>
      <c r="F1060" t="s">
        <v>1051</v>
      </c>
      <c r="G1060">
        <v>4</v>
      </c>
      <c r="H1060">
        <v>0</v>
      </c>
      <c r="I1060" t="s">
        <v>2361</v>
      </c>
      <c r="J1060" t="str">
        <f>"153000305"</f>
        <v>153000305</v>
      </c>
      <c r="K1060" s="1">
        <v>47976</v>
      </c>
      <c r="M1060" s="1">
        <v>46151</v>
      </c>
      <c r="N1060" t="str">
        <f t="shared" si="182"/>
        <v>1329001986</v>
      </c>
      <c r="O1060">
        <v>4</v>
      </c>
      <c r="P1060" s="2">
        <v>46229.662916666668</v>
      </c>
      <c r="Q1060" s="2">
        <v>46237.559201388889</v>
      </c>
      <c r="R1060" s="2">
        <v>46229.662916666668</v>
      </c>
      <c r="S1060">
        <v>0</v>
      </c>
      <c r="T1060" t="s">
        <v>2079</v>
      </c>
      <c r="U1060" t="s">
        <v>2079</v>
      </c>
      <c r="W1060" t="str">
        <f>"401149"</f>
        <v>401149</v>
      </c>
      <c r="X1060" t="s">
        <v>41</v>
      </c>
      <c r="AD1060" s="2">
        <v>46237.559201388889</v>
      </c>
    </row>
    <row r="1061" spans="1:30" x14ac:dyDescent="0.35">
      <c r="A1061" t="s">
        <v>2182</v>
      </c>
      <c r="B1061" t="s">
        <v>31</v>
      </c>
      <c r="C1061" t="s">
        <v>3078</v>
      </c>
      <c r="D1061" t="s">
        <v>33</v>
      </c>
      <c r="E1061" t="str">
        <f>"401149"</f>
        <v>401149</v>
      </c>
      <c r="F1061" t="s">
        <v>1051</v>
      </c>
      <c r="G1061">
        <v>4</v>
      </c>
      <c r="H1061">
        <v>0</v>
      </c>
      <c r="I1061" t="s">
        <v>2361</v>
      </c>
      <c r="J1061" t="str">
        <f>"153000305"</f>
        <v>153000305</v>
      </c>
      <c r="K1061" s="1">
        <v>47976</v>
      </c>
      <c r="M1061" s="1">
        <v>46151</v>
      </c>
      <c r="N1061" t="str">
        <f t="shared" si="182"/>
        <v>1329001986</v>
      </c>
      <c r="O1061">
        <v>4</v>
      </c>
      <c r="P1061" s="2">
        <v>46229.663703703707</v>
      </c>
      <c r="Q1061" s="2">
        <v>46237.5621875</v>
      </c>
      <c r="R1061" s="2">
        <v>46229.663703703707</v>
      </c>
      <c r="S1061">
        <v>0</v>
      </c>
      <c r="T1061" t="s">
        <v>2079</v>
      </c>
      <c r="U1061" t="s">
        <v>2079</v>
      </c>
      <c r="W1061" t="str">
        <f>"401149"</f>
        <v>401149</v>
      </c>
      <c r="X1061" t="s">
        <v>41</v>
      </c>
      <c r="AD1061" s="2">
        <v>46237.5621875</v>
      </c>
    </row>
    <row r="1062" spans="1:30" x14ac:dyDescent="0.35">
      <c r="A1062" t="s">
        <v>2182</v>
      </c>
      <c r="B1062" t="s">
        <v>31</v>
      </c>
      <c r="C1062" t="s">
        <v>3079</v>
      </c>
      <c r="D1062" t="s">
        <v>33</v>
      </c>
      <c r="E1062" t="str">
        <f>"401149"</f>
        <v>401149</v>
      </c>
      <c r="F1062" t="s">
        <v>1051</v>
      </c>
      <c r="G1062">
        <v>4</v>
      </c>
      <c r="H1062">
        <v>0</v>
      </c>
      <c r="I1062" t="s">
        <v>2361</v>
      </c>
      <c r="J1062" t="str">
        <f>"153000305"</f>
        <v>153000305</v>
      </c>
      <c r="K1062" s="1">
        <v>47976</v>
      </c>
      <c r="M1062" s="1">
        <v>46151</v>
      </c>
      <c r="N1062" t="str">
        <f t="shared" si="182"/>
        <v>1329001986</v>
      </c>
      <c r="O1062">
        <v>4</v>
      </c>
      <c r="P1062" s="2">
        <v>46229.660300925927</v>
      </c>
      <c r="Q1062" s="2">
        <v>46237.564085648148</v>
      </c>
      <c r="R1062" s="2">
        <v>46229.660300925927</v>
      </c>
      <c r="S1062">
        <v>0</v>
      </c>
      <c r="T1062" t="s">
        <v>2079</v>
      </c>
      <c r="U1062" t="s">
        <v>2079</v>
      </c>
      <c r="V1062" t="s">
        <v>2373</v>
      </c>
      <c r="W1062" t="str">
        <f>"401149"</f>
        <v>401149</v>
      </c>
      <c r="X1062" t="s">
        <v>41</v>
      </c>
      <c r="AD1062" s="2">
        <v>46237.395208333335</v>
      </c>
    </row>
    <row r="1063" spans="1:30" x14ac:dyDescent="0.35">
      <c r="A1063" t="s">
        <v>2182</v>
      </c>
      <c r="B1063" t="s">
        <v>31</v>
      </c>
      <c r="C1063" t="s">
        <v>3080</v>
      </c>
      <c r="D1063" t="s">
        <v>33</v>
      </c>
      <c r="E1063" t="str">
        <f>"401149"</f>
        <v>401149</v>
      </c>
      <c r="F1063" t="s">
        <v>1051</v>
      </c>
      <c r="G1063">
        <v>4</v>
      </c>
      <c r="H1063">
        <v>0</v>
      </c>
      <c r="I1063" t="s">
        <v>2361</v>
      </c>
      <c r="J1063" t="str">
        <f>"153000305"</f>
        <v>153000305</v>
      </c>
      <c r="K1063" s="1">
        <v>47976</v>
      </c>
      <c r="M1063" s="1">
        <v>46151</v>
      </c>
      <c r="N1063" t="str">
        <f t="shared" si="182"/>
        <v>1329001986</v>
      </c>
      <c r="O1063">
        <v>4</v>
      </c>
      <c r="P1063" s="2">
        <v>46229.660983796297</v>
      </c>
      <c r="Q1063" s="2">
        <v>46237.565949074073</v>
      </c>
      <c r="R1063" s="2">
        <v>46229.660983796297</v>
      </c>
      <c r="S1063">
        <v>0</v>
      </c>
      <c r="T1063" t="s">
        <v>2079</v>
      </c>
      <c r="U1063" t="s">
        <v>2079</v>
      </c>
      <c r="V1063" t="s">
        <v>2374</v>
      </c>
      <c r="W1063" t="str">
        <f>"401149"</f>
        <v>401149</v>
      </c>
      <c r="X1063" t="s">
        <v>41</v>
      </c>
      <c r="AD1063" s="2">
        <v>46237.395162037035</v>
      </c>
    </row>
    <row r="1064" spans="1:30" x14ac:dyDescent="0.35">
      <c r="A1064" t="s">
        <v>2182</v>
      </c>
      <c r="B1064" t="s">
        <v>31</v>
      </c>
      <c r="C1064" t="s">
        <v>3081</v>
      </c>
      <c r="D1064" t="s">
        <v>33</v>
      </c>
      <c r="E1064" t="str">
        <f>"401149"</f>
        <v>401149</v>
      </c>
      <c r="F1064" t="s">
        <v>1051</v>
      </c>
      <c r="G1064">
        <v>4</v>
      </c>
      <c r="H1064">
        <v>0</v>
      </c>
      <c r="I1064" t="s">
        <v>2361</v>
      </c>
      <c r="J1064" t="str">
        <f>"153000305"</f>
        <v>153000305</v>
      </c>
      <c r="K1064" s="1">
        <v>47976</v>
      </c>
      <c r="M1064" s="1">
        <v>46151</v>
      </c>
      <c r="N1064" t="str">
        <f t="shared" si="182"/>
        <v>1329001986</v>
      </c>
      <c r="O1064">
        <v>4</v>
      </c>
      <c r="P1064" s="2">
        <v>46229.658900462964</v>
      </c>
      <c r="Q1064" s="2">
        <v>46237.568414351852</v>
      </c>
      <c r="R1064" s="2">
        <v>46229.658900462964</v>
      </c>
      <c r="S1064">
        <v>0</v>
      </c>
      <c r="T1064" t="s">
        <v>2079</v>
      </c>
      <c r="U1064" t="s">
        <v>2079</v>
      </c>
      <c r="W1064" t="str">
        <f>"401149"</f>
        <v>401149</v>
      </c>
      <c r="X1064" t="s">
        <v>41</v>
      </c>
      <c r="AD1064" s="2">
        <v>46237.568414351852</v>
      </c>
    </row>
    <row r="1065" spans="1:30" x14ac:dyDescent="0.35">
      <c r="A1065" t="s">
        <v>2182</v>
      </c>
      <c r="B1065" t="s">
        <v>31</v>
      </c>
      <c r="C1065" t="s">
        <v>3082</v>
      </c>
      <c r="D1065" t="s">
        <v>33</v>
      </c>
      <c r="E1065" t="str">
        <f>"400441"</f>
        <v>400441</v>
      </c>
      <c r="F1065" t="s">
        <v>65</v>
      </c>
      <c r="G1065">
        <v>4</v>
      </c>
      <c r="H1065">
        <v>0</v>
      </c>
      <c r="I1065" t="s">
        <v>2334</v>
      </c>
      <c r="J1065" t="str">
        <f>"153000465"</f>
        <v>153000465</v>
      </c>
      <c r="K1065" s="1">
        <v>48046</v>
      </c>
      <c r="M1065" s="1">
        <v>46221</v>
      </c>
      <c r="N1065" t="str">
        <f>"1329001992"</f>
        <v>1329001992</v>
      </c>
      <c r="O1065">
        <v>4</v>
      </c>
      <c r="P1065" s="2">
        <v>46229.390208333331</v>
      </c>
      <c r="Q1065" s="2">
        <v>46237.576956018522</v>
      </c>
      <c r="R1065" s="2">
        <v>46229.390208333331</v>
      </c>
      <c r="S1065">
        <v>0</v>
      </c>
      <c r="T1065" t="s">
        <v>2079</v>
      </c>
      <c r="U1065" t="s">
        <v>2079</v>
      </c>
      <c r="W1065" t="str">
        <f>"400441"</f>
        <v>400441</v>
      </c>
      <c r="X1065" t="s">
        <v>41</v>
      </c>
      <c r="AD1065" s="2">
        <v>46237.576956018522</v>
      </c>
    </row>
    <row r="1066" spans="1:30" x14ac:dyDescent="0.35">
      <c r="A1066" t="s">
        <v>2182</v>
      </c>
      <c r="B1066" t="s">
        <v>31</v>
      </c>
      <c r="C1066" t="s">
        <v>3083</v>
      </c>
      <c r="D1066" t="s">
        <v>33</v>
      </c>
      <c r="E1066" t="str">
        <f>"400441"</f>
        <v>400441</v>
      </c>
      <c r="F1066" t="s">
        <v>65</v>
      </c>
      <c r="G1066">
        <v>4</v>
      </c>
      <c r="H1066">
        <v>0</v>
      </c>
      <c r="I1066" t="s">
        <v>2335</v>
      </c>
      <c r="J1066" t="str">
        <f>"153000473"</f>
        <v>153000473</v>
      </c>
      <c r="K1066" s="1">
        <v>48048</v>
      </c>
      <c r="M1066" s="1">
        <v>46223</v>
      </c>
      <c r="N1066" t="str">
        <f>"1329001992"</f>
        <v>1329001992</v>
      </c>
      <c r="O1066">
        <v>4</v>
      </c>
      <c r="P1066" s="2">
        <v>46229.392604166664</v>
      </c>
      <c r="Q1066" s="2">
        <v>46237.577013888891</v>
      </c>
      <c r="R1066" s="2">
        <v>46229.392604166664</v>
      </c>
      <c r="S1066">
        <v>0</v>
      </c>
      <c r="T1066" t="s">
        <v>2079</v>
      </c>
      <c r="U1066" t="s">
        <v>2079</v>
      </c>
      <c r="W1066" t="str">
        <f>"400441"</f>
        <v>400441</v>
      </c>
      <c r="X1066" t="s">
        <v>41</v>
      </c>
      <c r="AD1066" s="2">
        <v>46237.577013888891</v>
      </c>
    </row>
    <row r="1067" spans="1:30" x14ac:dyDescent="0.35">
      <c r="A1067" t="s">
        <v>2182</v>
      </c>
      <c r="B1067" t="s">
        <v>31</v>
      </c>
      <c r="C1067" t="s">
        <v>3084</v>
      </c>
      <c r="D1067" t="s">
        <v>33</v>
      </c>
      <c r="E1067" t="str">
        <f>"400441"</f>
        <v>400441</v>
      </c>
      <c r="F1067" t="s">
        <v>65</v>
      </c>
      <c r="G1067">
        <v>4</v>
      </c>
      <c r="H1067">
        <v>0</v>
      </c>
      <c r="I1067" t="s">
        <v>2378</v>
      </c>
      <c r="J1067" t="str">
        <f>"153000465"</f>
        <v>153000465</v>
      </c>
      <c r="K1067" s="1">
        <v>48046</v>
      </c>
      <c r="M1067" s="1">
        <v>46221</v>
      </c>
      <c r="N1067" t="str">
        <f>"1329001992"</f>
        <v>1329001992</v>
      </c>
      <c r="O1067">
        <v>4</v>
      </c>
      <c r="P1067" s="2">
        <v>46229.390833333331</v>
      </c>
      <c r="Q1067" s="2">
        <v>46237.578090277777</v>
      </c>
      <c r="R1067" s="2">
        <v>46229.390833333331</v>
      </c>
      <c r="S1067">
        <v>0</v>
      </c>
      <c r="T1067" t="s">
        <v>2079</v>
      </c>
      <c r="U1067" t="s">
        <v>2079</v>
      </c>
      <c r="W1067" t="str">
        <f>"400441"</f>
        <v>400441</v>
      </c>
      <c r="X1067" t="s">
        <v>41</v>
      </c>
      <c r="AD1067" s="2">
        <v>46237.578090277777</v>
      </c>
    </row>
    <row r="1068" spans="1:30" x14ac:dyDescent="0.35">
      <c r="A1068" t="s">
        <v>2182</v>
      </c>
      <c r="B1068" t="s">
        <v>31</v>
      </c>
      <c r="C1068" t="s">
        <v>3085</v>
      </c>
      <c r="D1068" t="s">
        <v>33</v>
      </c>
      <c r="E1068" t="str">
        <f>"400508"</f>
        <v>400508</v>
      </c>
      <c r="F1068" t="s">
        <v>586</v>
      </c>
      <c r="G1068">
        <v>4</v>
      </c>
      <c r="H1068">
        <v>0</v>
      </c>
      <c r="I1068" t="s">
        <v>2369</v>
      </c>
      <c r="J1068" t="str">
        <f>"153000431"</f>
        <v>153000431</v>
      </c>
      <c r="K1068" s="1">
        <v>48032</v>
      </c>
      <c r="M1068" s="1">
        <v>46207</v>
      </c>
      <c r="N1068" t="str">
        <f>"1329001991"</f>
        <v>1329001991</v>
      </c>
      <c r="O1068">
        <v>4</v>
      </c>
      <c r="P1068" s="2">
        <v>46231.577094907407</v>
      </c>
      <c r="Q1068" s="2">
        <v>46237.580671296295</v>
      </c>
      <c r="R1068" s="2">
        <v>46231.577094907407</v>
      </c>
      <c r="S1068">
        <v>0</v>
      </c>
      <c r="T1068" t="s">
        <v>2079</v>
      </c>
      <c r="U1068" t="s">
        <v>2079</v>
      </c>
      <c r="W1068" t="str">
        <f>"400508"</f>
        <v>400508</v>
      </c>
      <c r="X1068" t="s">
        <v>41</v>
      </c>
      <c r="AD1068" s="2">
        <v>46237.580671296295</v>
      </c>
    </row>
    <row r="1069" spans="1:30" x14ac:dyDescent="0.35">
      <c r="A1069" t="s">
        <v>2182</v>
      </c>
      <c r="B1069" t="s">
        <v>31</v>
      </c>
      <c r="C1069" t="s">
        <v>3086</v>
      </c>
      <c r="D1069" t="s">
        <v>33</v>
      </c>
      <c r="E1069" t="str">
        <f>"400508"</f>
        <v>400508</v>
      </c>
      <c r="F1069" t="s">
        <v>586</v>
      </c>
      <c r="G1069">
        <v>4</v>
      </c>
      <c r="H1069">
        <v>0</v>
      </c>
      <c r="I1069" t="s">
        <v>2369</v>
      </c>
      <c r="J1069" t="str">
        <f>"153000431"</f>
        <v>153000431</v>
      </c>
      <c r="K1069" s="1">
        <v>48032</v>
      </c>
      <c r="M1069" s="1">
        <v>46207</v>
      </c>
      <c r="N1069" t="str">
        <f>"1329001991"</f>
        <v>1329001991</v>
      </c>
      <c r="O1069">
        <v>4</v>
      </c>
      <c r="P1069" s="2">
        <v>46231.578368055554</v>
      </c>
      <c r="Q1069" s="2">
        <v>46237.582708333335</v>
      </c>
      <c r="R1069" s="2">
        <v>46231.578368055554</v>
      </c>
      <c r="S1069">
        <v>0</v>
      </c>
      <c r="T1069" t="s">
        <v>2079</v>
      </c>
      <c r="U1069" t="s">
        <v>2079</v>
      </c>
      <c r="W1069" t="str">
        <f>"400508"</f>
        <v>400508</v>
      </c>
      <c r="X1069" t="s">
        <v>41</v>
      </c>
      <c r="AD1069" s="2">
        <v>46237.582708333335</v>
      </c>
    </row>
    <row r="1070" spans="1:30" x14ac:dyDescent="0.35">
      <c r="A1070" t="s">
        <v>2182</v>
      </c>
      <c r="B1070" t="s">
        <v>31</v>
      </c>
      <c r="C1070" t="s">
        <v>3087</v>
      </c>
      <c r="D1070" t="s">
        <v>33</v>
      </c>
      <c r="E1070" t="str">
        <f>"400508"</f>
        <v>400508</v>
      </c>
      <c r="F1070" t="s">
        <v>586</v>
      </c>
      <c r="G1070">
        <v>4</v>
      </c>
      <c r="H1070">
        <v>0</v>
      </c>
      <c r="I1070" t="s">
        <v>2369</v>
      </c>
      <c r="J1070" t="str">
        <f>"153000431"</f>
        <v>153000431</v>
      </c>
      <c r="K1070" s="1">
        <v>48032</v>
      </c>
      <c r="M1070" s="1">
        <v>46207</v>
      </c>
      <c r="N1070" t="str">
        <f>"1329001991"</f>
        <v>1329001991</v>
      </c>
      <c r="O1070">
        <v>4</v>
      </c>
      <c r="P1070" s="2">
        <v>46231.5781712963</v>
      </c>
      <c r="Q1070" s="2">
        <v>46237.583958333336</v>
      </c>
      <c r="R1070" s="2">
        <v>46231.5781712963</v>
      </c>
      <c r="S1070">
        <v>0</v>
      </c>
      <c r="T1070" t="s">
        <v>2079</v>
      </c>
      <c r="U1070" t="s">
        <v>2079</v>
      </c>
      <c r="W1070" t="str">
        <f>"400508"</f>
        <v>400508</v>
      </c>
      <c r="X1070" t="s">
        <v>41</v>
      </c>
      <c r="AD1070" s="2">
        <v>46237.583958333336</v>
      </c>
    </row>
    <row r="1071" spans="1:30" x14ac:dyDescent="0.35">
      <c r="A1071" t="s">
        <v>2182</v>
      </c>
      <c r="B1071" t="s">
        <v>31</v>
      </c>
      <c r="C1071" t="s">
        <v>3088</v>
      </c>
      <c r="D1071" t="s">
        <v>33</v>
      </c>
      <c r="E1071" t="str">
        <f>"400508"</f>
        <v>400508</v>
      </c>
      <c r="F1071" t="s">
        <v>586</v>
      </c>
      <c r="G1071">
        <v>4</v>
      </c>
      <c r="H1071">
        <v>0</v>
      </c>
      <c r="I1071" t="s">
        <v>2369</v>
      </c>
      <c r="J1071" t="str">
        <f>"153000431"</f>
        <v>153000431</v>
      </c>
      <c r="K1071" s="1">
        <v>48032</v>
      </c>
      <c r="M1071" s="1">
        <v>46207</v>
      </c>
      <c r="N1071" t="str">
        <f>"1329001991"</f>
        <v>1329001991</v>
      </c>
      <c r="O1071">
        <v>4</v>
      </c>
      <c r="P1071" s="2">
        <v>46231.578969907408</v>
      </c>
      <c r="Q1071" s="2">
        <v>46237.588090277779</v>
      </c>
      <c r="R1071" s="2">
        <v>46231.578969907408</v>
      </c>
      <c r="S1071">
        <v>0</v>
      </c>
      <c r="T1071" t="s">
        <v>2079</v>
      </c>
      <c r="U1071" t="s">
        <v>2079</v>
      </c>
      <c r="W1071" t="str">
        <f>"400508"</f>
        <v>400508</v>
      </c>
      <c r="X1071" t="s">
        <v>41</v>
      </c>
      <c r="AD1071" s="2">
        <v>46237.588090277779</v>
      </c>
    </row>
    <row r="1072" spans="1:30" x14ac:dyDescent="0.35">
      <c r="A1072" t="s">
        <v>2182</v>
      </c>
      <c r="B1072" t="s">
        <v>31</v>
      </c>
      <c r="C1072" t="s">
        <v>3089</v>
      </c>
      <c r="D1072" t="s">
        <v>33</v>
      </c>
      <c r="E1072" t="str">
        <f>"400508"</f>
        <v>400508</v>
      </c>
      <c r="F1072" t="s">
        <v>586</v>
      </c>
      <c r="G1072">
        <v>4</v>
      </c>
      <c r="H1072">
        <v>0</v>
      </c>
      <c r="I1072" t="s">
        <v>2369</v>
      </c>
      <c r="J1072" t="str">
        <f>"153000431"</f>
        <v>153000431</v>
      </c>
      <c r="K1072" s="1">
        <v>48032</v>
      </c>
      <c r="M1072" s="1">
        <v>46207</v>
      </c>
      <c r="N1072" t="str">
        <f>"1329001991"</f>
        <v>1329001991</v>
      </c>
      <c r="O1072">
        <v>4</v>
      </c>
      <c r="P1072" s="2">
        <v>46231.578738425924</v>
      </c>
      <c r="Q1072" s="2">
        <v>46237.588148148148</v>
      </c>
      <c r="R1072" s="2">
        <v>46231.578738425924</v>
      </c>
      <c r="S1072">
        <v>0</v>
      </c>
      <c r="T1072" t="s">
        <v>2079</v>
      </c>
      <c r="U1072" t="s">
        <v>2079</v>
      </c>
      <c r="W1072" t="str">
        <f>"400508"</f>
        <v>400508</v>
      </c>
      <c r="X1072" t="s">
        <v>41</v>
      </c>
      <c r="AD1072" s="2">
        <v>46237.588148148148</v>
      </c>
    </row>
    <row r="1073" spans="1:30" x14ac:dyDescent="0.35">
      <c r="A1073" t="s">
        <v>2182</v>
      </c>
      <c r="B1073" t="s">
        <v>31</v>
      </c>
      <c r="C1073" t="s">
        <v>3090</v>
      </c>
      <c r="D1073" t="s">
        <v>33</v>
      </c>
      <c r="E1073" t="str">
        <f>"400441"</f>
        <v>400441</v>
      </c>
      <c r="F1073" t="s">
        <v>65</v>
      </c>
      <c r="G1073">
        <v>4</v>
      </c>
      <c r="H1073">
        <v>0</v>
      </c>
      <c r="I1073" t="s">
        <v>2345</v>
      </c>
      <c r="J1073" t="str">
        <f>"153000465"</f>
        <v>153000465</v>
      </c>
      <c r="K1073" s="1">
        <v>48046</v>
      </c>
      <c r="M1073" s="1">
        <v>46221</v>
      </c>
      <c r="N1073" t="str">
        <f>"1329001992"</f>
        <v>1329001992</v>
      </c>
      <c r="O1073">
        <v>4</v>
      </c>
      <c r="P1073" s="2">
        <v>46229.387812499997</v>
      </c>
      <c r="Q1073" s="2">
        <v>46237.591400462959</v>
      </c>
      <c r="R1073" s="2">
        <v>46229.387812499997</v>
      </c>
      <c r="S1073">
        <v>0</v>
      </c>
      <c r="T1073" t="s">
        <v>2079</v>
      </c>
      <c r="U1073" t="s">
        <v>2079</v>
      </c>
      <c r="W1073" t="str">
        <f>"400441"</f>
        <v>400441</v>
      </c>
      <c r="X1073" t="s">
        <v>41</v>
      </c>
      <c r="AD1073" s="2">
        <v>46237.591400462959</v>
      </c>
    </row>
    <row r="1074" spans="1:30" x14ac:dyDescent="0.35">
      <c r="A1074" t="s">
        <v>2182</v>
      </c>
      <c r="B1074" t="s">
        <v>31</v>
      </c>
      <c r="C1074" t="s">
        <v>3091</v>
      </c>
      <c r="D1074" t="s">
        <v>33</v>
      </c>
      <c r="E1074" t="str">
        <f>"400441"</f>
        <v>400441</v>
      </c>
      <c r="F1074" t="s">
        <v>65</v>
      </c>
      <c r="G1074">
        <v>4</v>
      </c>
      <c r="H1074">
        <v>0</v>
      </c>
      <c r="I1074" t="s">
        <v>2363</v>
      </c>
      <c r="J1074" t="str">
        <f>"153000465"</f>
        <v>153000465</v>
      </c>
      <c r="K1074" s="1">
        <v>48046</v>
      </c>
      <c r="M1074" s="1">
        <v>46221</v>
      </c>
      <c r="N1074" t="str">
        <f>"1329001992"</f>
        <v>1329001992</v>
      </c>
      <c r="O1074">
        <v>4</v>
      </c>
      <c r="P1074" s="2">
        <v>46229.388993055552</v>
      </c>
      <c r="Q1074" s="2">
        <v>46237.59480324074</v>
      </c>
      <c r="R1074" s="2">
        <v>46229.388993055552</v>
      </c>
      <c r="S1074">
        <v>0</v>
      </c>
      <c r="T1074" t="s">
        <v>2079</v>
      </c>
      <c r="U1074" t="s">
        <v>2079</v>
      </c>
      <c r="W1074" t="str">
        <f>"400441"</f>
        <v>400441</v>
      </c>
      <c r="X1074" t="s">
        <v>41</v>
      </c>
      <c r="AD1074" s="2">
        <v>46237.59480324074</v>
      </c>
    </row>
    <row r="1075" spans="1:30" x14ac:dyDescent="0.35">
      <c r="A1075" t="s">
        <v>2182</v>
      </c>
      <c r="B1075" t="s">
        <v>31</v>
      </c>
      <c r="C1075" t="s">
        <v>3092</v>
      </c>
      <c r="D1075" t="s">
        <v>33</v>
      </c>
      <c r="E1075" t="str">
        <f>"400441"</f>
        <v>400441</v>
      </c>
      <c r="F1075" t="s">
        <v>65</v>
      </c>
      <c r="G1075">
        <v>4</v>
      </c>
      <c r="H1075">
        <v>0</v>
      </c>
      <c r="I1075" t="s">
        <v>2376</v>
      </c>
      <c r="J1075" t="str">
        <f>"153000465"</f>
        <v>153000465</v>
      </c>
      <c r="K1075" s="1">
        <v>48046</v>
      </c>
      <c r="M1075" s="1">
        <v>46221</v>
      </c>
      <c r="N1075" t="str">
        <f>"1329001992"</f>
        <v>1329001992</v>
      </c>
      <c r="O1075">
        <v>4</v>
      </c>
      <c r="P1075" s="2">
        <v>46229.39366898148</v>
      </c>
      <c r="Q1075" s="2">
        <v>46237.595405092594</v>
      </c>
      <c r="R1075" s="2">
        <v>46229.39366898148</v>
      </c>
      <c r="S1075">
        <v>0</v>
      </c>
      <c r="T1075" t="s">
        <v>2079</v>
      </c>
      <c r="U1075" t="s">
        <v>2079</v>
      </c>
      <c r="W1075" t="str">
        <f>"400441"</f>
        <v>400441</v>
      </c>
      <c r="X1075" t="s">
        <v>41</v>
      </c>
      <c r="AD1075" s="2">
        <v>46237.595405092594</v>
      </c>
    </row>
    <row r="1076" spans="1:30" x14ac:dyDescent="0.35">
      <c r="A1076" t="s">
        <v>2182</v>
      </c>
      <c r="B1076" t="s">
        <v>31</v>
      </c>
      <c r="C1076" t="s">
        <v>3093</v>
      </c>
      <c r="D1076" t="s">
        <v>33</v>
      </c>
      <c r="E1076" t="str">
        <f>"400441"</f>
        <v>400441</v>
      </c>
      <c r="F1076" t="s">
        <v>65</v>
      </c>
      <c r="G1076">
        <v>4</v>
      </c>
      <c r="H1076">
        <v>0</v>
      </c>
      <c r="I1076" t="s">
        <v>2374</v>
      </c>
      <c r="J1076" t="str">
        <f>"153000465"</f>
        <v>153000465</v>
      </c>
      <c r="K1076" s="1">
        <v>48046</v>
      </c>
      <c r="M1076" s="1">
        <v>46221</v>
      </c>
      <c r="N1076" t="str">
        <f>"1329001992"</f>
        <v>1329001992</v>
      </c>
      <c r="O1076">
        <v>4</v>
      </c>
      <c r="P1076" s="2">
        <v>46229.393425925926</v>
      </c>
      <c r="Q1076" s="2">
        <v>46237.596388888887</v>
      </c>
      <c r="R1076" s="2">
        <v>46229.393425925926</v>
      </c>
      <c r="S1076">
        <v>0</v>
      </c>
      <c r="T1076" t="s">
        <v>2079</v>
      </c>
      <c r="U1076" t="s">
        <v>2079</v>
      </c>
      <c r="W1076" t="str">
        <f>"400441"</f>
        <v>400441</v>
      </c>
      <c r="X1076" t="s">
        <v>41</v>
      </c>
      <c r="AD1076" s="2">
        <v>46237.596388888887</v>
      </c>
    </row>
    <row r="1077" spans="1:30" x14ac:dyDescent="0.35">
      <c r="A1077" t="s">
        <v>2182</v>
      </c>
      <c r="B1077" t="s">
        <v>31</v>
      </c>
      <c r="C1077" t="s">
        <v>3094</v>
      </c>
      <c r="D1077" t="s">
        <v>33</v>
      </c>
      <c r="E1077" t="str">
        <f>"400508"</f>
        <v>400508</v>
      </c>
      <c r="F1077" t="s">
        <v>586</v>
      </c>
      <c r="G1077">
        <v>4</v>
      </c>
      <c r="H1077">
        <v>0</v>
      </c>
      <c r="I1077" t="s">
        <v>2375</v>
      </c>
      <c r="J1077" t="str">
        <f>"153000431"</f>
        <v>153000431</v>
      </c>
      <c r="K1077" s="1">
        <v>48032</v>
      </c>
      <c r="M1077" s="1">
        <v>46207</v>
      </c>
      <c r="N1077" t="str">
        <f>"1329001991"</f>
        <v>1329001991</v>
      </c>
      <c r="O1077">
        <v>4</v>
      </c>
      <c r="P1077" s="2">
        <v>46231.577291666668</v>
      </c>
      <c r="Q1077" s="2">
        <v>46237.597754629627</v>
      </c>
      <c r="R1077" s="2">
        <v>46231.577291666668</v>
      </c>
      <c r="S1077">
        <v>0</v>
      </c>
      <c r="T1077" t="s">
        <v>2079</v>
      </c>
      <c r="U1077" t="s">
        <v>2079</v>
      </c>
      <c r="W1077" t="str">
        <f>"400508"</f>
        <v>400508</v>
      </c>
      <c r="X1077" t="s">
        <v>41</v>
      </c>
      <c r="AD1077" s="2">
        <v>46237.597754629627</v>
      </c>
    </row>
    <row r="1078" spans="1:30" x14ac:dyDescent="0.35">
      <c r="A1078" t="s">
        <v>2182</v>
      </c>
      <c r="B1078" t="s">
        <v>31</v>
      </c>
      <c r="C1078" t="s">
        <v>3095</v>
      </c>
      <c r="D1078" t="s">
        <v>33</v>
      </c>
      <c r="E1078" t="str">
        <f>"400441"</f>
        <v>400441</v>
      </c>
      <c r="F1078" t="s">
        <v>65</v>
      </c>
      <c r="G1078">
        <v>4</v>
      </c>
      <c r="H1078">
        <v>0</v>
      </c>
      <c r="I1078" t="s">
        <v>2333</v>
      </c>
      <c r="J1078" t="str">
        <f>"153000465"</f>
        <v>153000465</v>
      </c>
      <c r="K1078" s="1">
        <v>48046</v>
      </c>
      <c r="M1078" s="1">
        <v>46221</v>
      </c>
      <c r="N1078" t="str">
        <f t="shared" ref="N1078:N1087" si="183">"1329001992"</f>
        <v>1329001992</v>
      </c>
      <c r="O1078">
        <v>4</v>
      </c>
      <c r="P1078" s="2">
        <v>46229.389641203707</v>
      </c>
      <c r="Q1078" s="2">
        <v>46237.600277777776</v>
      </c>
      <c r="R1078" s="2">
        <v>46229.389641203707</v>
      </c>
      <c r="S1078">
        <v>0</v>
      </c>
      <c r="T1078" t="s">
        <v>2079</v>
      </c>
      <c r="U1078" t="s">
        <v>2079</v>
      </c>
      <c r="V1078" t="s">
        <v>2365</v>
      </c>
      <c r="W1078" t="str">
        <f>"400441"</f>
        <v>400441</v>
      </c>
      <c r="X1078" t="s">
        <v>41</v>
      </c>
      <c r="AD1078" s="2">
        <v>46237.574131944442</v>
      </c>
    </row>
    <row r="1079" spans="1:30" x14ac:dyDescent="0.35">
      <c r="A1079" t="s">
        <v>2182</v>
      </c>
      <c r="B1079" t="s">
        <v>31</v>
      </c>
      <c r="C1079" t="s">
        <v>3096</v>
      </c>
      <c r="D1079" t="s">
        <v>33</v>
      </c>
      <c r="E1079" t="str">
        <f>"400441"</f>
        <v>400441</v>
      </c>
      <c r="F1079" t="s">
        <v>65</v>
      </c>
      <c r="G1079">
        <v>4</v>
      </c>
      <c r="H1079">
        <v>0</v>
      </c>
      <c r="I1079" t="s">
        <v>2365</v>
      </c>
      <c r="J1079" t="str">
        <f>"153000465"</f>
        <v>153000465</v>
      </c>
      <c r="K1079" s="1">
        <v>48046</v>
      </c>
      <c r="M1079" s="1">
        <v>46221</v>
      </c>
      <c r="N1079" t="str">
        <f t="shared" si="183"/>
        <v>1329001992</v>
      </c>
      <c r="O1079">
        <v>4</v>
      </c>
      <c r="P1079" s="2">
        <v>46229.392210648148</v>
      </c>
      <c r="Q1079" s="2">
        <v>46237.600370370368</v>
      </c>
      <c r="R1079" s="2">
        <v>46229.392210648148</v>
      </c>
      <c r="S1079">
        <v>0</v>
      </c>
      <c r="T1079" t="s">
        <v>2079</v>
      </c>
      <c r="U1079" t="s">
        <v>2079</v>
      </c>
      <c r="W1079" t="str">
        <f>"400441"</f>
        <v>400441</v>
      </c>
      <c r="X1079" t="s">
        <v>41</v>
      </c>
      <c r="AD1079" s="2">
        <v>46237.600370370368</v>
      </c>
    </row>
    <row r="1080" spans="1:30" x14ac:dyDescent="0.35">
      <c r="A1080" t="s">
        <v>2182</v>
      </c>
      <c r="B1080" t="s">
        <v>31</v>
      </c>
      <c r="C1080" t="s">
        <v>3097</v>
      </c>
      <c r="D1080" t="s">
        <v>33</v>
      </c>
      <c r="E1080" t="str">
        <f>"400441"</f>
        <v>400441</v>
      </c>
      <c r="F1080" t="s">
        <v>65</v>
      </c>
      <c r="G1080">
        <v>4</v>
      </c>
      <c r="H1080">
        <v>0</v>
      </c>
      <c r="I1080" t="s">
        <v>2373</v>
      </c>
      <c r="J1080" t="str">
        <f>"153000465"</f>
        <v>153000465</v>
      </c>
      <c r="K1080" s="1">
        <v>48046</v>
      </c>
      <c r="M1080" s="1">
        <v>46221</v>
      </c>
      <c r="N1080" t="str">
        <f t="shared" si="183"/>
        <v>1329001992</v>
      </c>
      <c r="O1080">
        <v>4</v>
      </c>
      <c r="P1080" s="2">
        <v>46229.39162037037</v>
      </c>
      <c r="Q1080" s="2">
        <v>46237.602453703701</v>
      </c>
      <c r="R1080" s="2">
        <v>46229.39162037037</v>
      </c>
      <c r="S1080">
        <v>0</v>
      </c>
      <c r="T1080" t="s">
        <v>2079</v>
      </c>
      <c r="U1080" t="s">
        <v>2079</v>
      </c>
      <c r="W1080" t="str">
        <f>"400441"</f>
        <v>400441</v>
      </c>
      <c r="X1080" t="s">
        <v>41</v>
      </c>
      <c r="AD1080" s="2">
        <v>46237.602453703701</v>
      </c>
    </row>
    <row r="1081" spans="1:30" x14ac:dyDescent="0.35">
      <c r="A1081" t="s">
        <v>2182</v>
      </c>
      <c r="B1081" t="s">
        <v>31</v>
      </c>
      <c r="C1081" t="s">
        <v>3098</v>
      </c>
      <c r="D1081" t="s">
        <v>33</v>
      </c>
      <c r="E1081" t="str">
        <f>"401047"</f>
        <v>401047</v>
      </c>
      <c r="F1081" t="s">
        <v>1730</v>
      </c>
      <c r="G1081">
        <v>4</v>
      </c>
      <c r="H1081">
        <v>0</v>
      </c>
      <c r="I1081" t="s">
        <v>2385</v>
      </c>
      <c r="J1081" t="str">
        <f>"153000449"</f>
        <v>153000449</v>
      </c>
      <c r="K1081" s="1">
        <v>48040</v>
      </c>
      <c r="M1081" s="1">
        <v>46215</v>
      </c>
      <c r="N1081" t="str">
        <f t="shared" si="183"/>
        <v>1329001992</v>
      </c>
      <c r="O1081">
        <v>4</v>
      </c>
      <c r="P1081" s="2">
        <v>46229.389930555553</v>
      </c>
      <c r="Q1081" s="2">
        <v>46237.607789351852</v>
      </c>
      <c r="R1081" s="2">
        <v>46229.389930555553</v>
      </c>
      <c r="S1081">
        <v>0</v>
      </c>
      <c r="T1081" t="s">
        <v>2079</v>
      </c>
      <c r="U1081" t="s">
        <v>2079</v>
      </c>
      <c r="W1081" t="str">
        <f>"401047"</f>
        <v>401047</v>
      </c>
      <c r="X1081" t="s">
        <v>41</v>
      </c>
      <c r="AD1081" s="2">
        <v>46237.607789351852</v>
      </c>
    </row>
    <row r="1082" spans="1:30" x14ac:dyDescent="0.35">
      <c r="A1082" t="s">
        <v>2182</v>
      </c>
      <c r="B1082" t="s">
        <v>31</v>
      </c>
      <c r="C1082" t="s">
        <v>3099</v>
      </c>
      <c r="D1082" t="s">
        <v>33</v>
      </c>
      <c r="E1082" t="str">
        <f>"401047"</f>
        <v>401047</v>
      </c>
      <c r="F1082" t="s">
        <v>1730</v>
      </c>
      <c r="G1082">
        <v>4</v>
      </c>
      <c r="H1082">
        <v>0</v>
      </c>
      <c r="I1082" t="s">
        <v>2347</v>
      </c>
      <c r="J1082" t="str">
        <f>"153000449"</f>
        <v>153000449</v>
      </c>
      <c r="K1082" s="1">
        <v>48040</v>
      </c>
      <c r="M1082" s="1">
        <v>46215</v>
      </c>
      <c r="N1082" t="str">
        <f t="shared" si="183"/>
        <v>1329001992</v>
      </c>
      <c r="O1082">
        <v>4</v>
      </c>
      <c r="P1082" s="2">
        <v>46229.389340277776</v>
      </c>
      <c r="Q1082" s="2">
        <v>46237.608715277776</v>
      </c>
      <c r="R1082" s="2">
        <v>46229.389340277776</v>
      </c>
      <c r="S1082">
        <v>0</v>
      </c>
      <c r="T1082" t="s">
        <v>2079</v>
      </c>
      <c r="U1082" t="s">
        <v>2079</v>
      </c>
      <c r="W1082" t="str">
        <f>"401047"</f>
        <v>401047</v>
      </c>
      <c r="X1082" t="s">
        <v>41</v>
      </c>
      <c r="AD1082" s="2">
        <v>46237.608715277776</v>
      </c>
    </row>
    <row r="1083" spans="1:30" x14ac:dyDescent="0.35">
      <c r="A1083" t="s">
        <v>2182</v>
      </c>
      <c r="B1083" t="s">
        <v>31</v>
      </c>
      <c r="C1083" t="s">
        <v>3100</v>
      </c>
      <c r="D1083" t="s">
        <v>33</v>
      </c>
      <c r="E1083" t="str">
        <f>"401047"</f>
        <v>401047</v>
      </c>
      <c r="F1083" t="s">
        <v>1730</v>
      </c>
      <c r="G1083">
        <v>4</v>
      </c>
      <c r="H1083">
        <v>0</v>
      </c>
      <c r="I1083" t="s">
        <v>2348</v>
      </c>
      <c r="J1083" t="str">
        <f>"153000449"</f>
        <v>153000449</v>
      </c>
      <c r="K1083" s="1">
        <v>48040</v>
      </c>
      <c r="M1083" s="1">
        <v>46215</v>
      </c>
      <c r="N1083" t="str">
        <f t="shared" si="183"/>
        <v>1329001992</v>
      </c>
      <c r="O1083">
        <v>4</v>
      </c>
      <c r="P1083" s="2">
        <v>46229.394189814811</v>
      </c>
      <c r="Q1083" s="2">
        <v>46237.610196759262</v>
      </c>
      <c r="R1083" s="2">
        <v>46229.394189814811</v>
      </c>
      <c r="S1083">
        <v>0</v>
      </c>
      <c r="T1083" t="s">
        <v>2079</v>
      </c>
      <c r="U1083" t="s">
        <v>2079</v>
      </c>
      <c r="W1083" t="str">
        <f>"401047"</f>
        <v>401047</v>
      </c>
      <c r="X1083" t="s">
        <v>41</v>
      </c>
      <c r="AD1083" s="2">
        <v>46237.610196759262</v>
      </c>
    </row>
    <row r="1084" spans="1:30" x14ac:dyDescent="0.35">
      <c r="A1084" t="s">
        <v>2182</v>
      </c>
      <c r="B1084" t="s">
        <v>31</v>
      </c>
      <c r="C1084" t="s">
        <v>3101</v>
      </c>
      <c r="D1084" t="s">
        <v>33</v>
      </c>
      <c r="E1084" t="str">
        <f>"400441"</f>
        <v>400441</v>
      </c>
      <c r="F1084" t="s">
        <v>65</v>
      </c>
      <c r="G1084">
        <v>4</v>
      </c>
      <c r="H1084">
        <v>0</v>
      </c>
      <c r="I1084" t="s">
        <v>2366</v>
      </c>
      <c r="J1084" t="str">
        <f>"153000465"</f>
        <v>153000465</v>
      </c>
      <c r="K1084" s="1">
        <v>48046</v>
      </c>
      <c r="M1084" s="1">
        <v>46221</v>
      </c>
      <c r="N1084" t="str">
        <f t="shared" si="183"/>
        <v>1329001992</v>
      </c>
      <c r="O1084">
        <v>4</v>
      </c>
      <c r="P1084" s="2">
        <v>46229.391342592593</v>
      </c>
      <c r="Q1084" s="2">
        <v>46237.611944444441</v>
      </c>
      <c r="R1084" s="2">
        <v>46229.391342592593</v>
      </c>
      <c r="S1084">
        <v>0</v>
      </c>
      <c r="T1084" t="s">
        <v>2079</v>
      </c>
      <c r="U1084" t="s">
        <v>2079</v>
      </c>
      <c r="W1084" t="str">
        <f>"400441"</f>
        <v>400441</v>
      </c>
      <c r="X1084" t="s">
        <v>41</v>
      </c>
      <c r="AD1084" s="2">
        <v>46237.611944444441</v>
      </c>
    </row>
    <row r="1085" spans="1:30" x14ac:dyDescent="0.35">
      <c r="A1085" t="s">
        <v>2182</v>
      </c>
      <c r="B1085" t="s">
        <v>31</v>
      </c>
      <c r="C1085" t="s">
        <v>3102</v>
      </c>
      <c r="D1085" t="s">
        <v>33</v>
      </c>
      <c r="E1085" t="str">
        <f>"400441"</f>
        <v>400441</v>
      </c>
      <c r="F1085" t="s">
        <v>65</v>
      </c>
      <c r="G1085">
        <v>4</v>
      </c>
      <c r="H1085">
        <v>0</v>
      </c>
      <c r="I1085" t="s">
        <v>2368</v>
      </c>
      <c r="J1085" t="str">
        <f>"153000465"</f>
        <v>153000465</v>
      </c>
      <c r="K1085" s="1">
        <v>48046</v>
      </c>
      <c r="M1085" s="1">
        <v>46221</v>
      </c>
      <c r="N1085" t="str">
        <f t="shared" si="183"/>
        <v>1329001992</v>
      </c>
      <c r="O1085">
        <v>4</v>
      </c>
      <c r="P1085" s="2">
        <v>46229.391898148147</v>
      </c>
      <c r="Q1085" s="2">
        <v>46237.613356481481</v>
      </c>
      <c r="R1085" s="2">
        <v>46229.391898148147</v>
      </c>
      <c r="S1085">
        <v>0</v>
      </c>
      <c r="T1085" t="s">
        <v>2079</v>
      </c>
      <c r="U1085" t="s">
        <v>2079</v>
      </c>
      <c r="W1085" t="str">
        <f>"400441"</f>
        <v>400441</v>
      </c>
      <c r="X1085" t="s">
        <v>41</v>
      </c>
      <c r="AD1085" s="2">
        <v>46237.613356481481</v>
      </c>
    </row>
    <row r="1086" spans="1:30" x14ac:dyDescent="0.35">
      <c r="A1086" t="s">
        <v>2182</v>
      </c>
      <c r="B1086" t="s">
        <v>31</v>
      </c>
      <c r="C1086" t="s">
        <v>3103</v>
      </c>
      <c r="D1086" t="s">
        <v>33</v>
      </c>
      <c r="E1086" t="str">
        <f>"401047"</f>
        <v>401047</v>
      </c>
      <c r="F1086" t="s">
        <v>1730</v>
      </c>
      <c r="G1086">
        <v>4</v>
      </c>
      <c r="H1086">
        <v>0</v>
      </c>
      <c r="I1086" t="s">
        <v>2377</v>
      </c>
      <c r="J1086" t="str">
        <f>"153000449"</f>
        <v>153000449</v>
      </c>
      <c r="K1086" s="1">
        <v>48040</v>
      </c>
      <c r="M1086" s="1">
        <v>46215</v>
      </c>
      <c r="N1086" t="str">
        <f t="shared" si="183"/>
        <v>1329001992</v>
      </c>
      <c r="O1086">
        <v>4</v>
      </c>
      <c r="P1086" s="2">
        <v>46229.388703703706</v>
      </c>
      <c r="Q1086" s="2">
        <v>46237.615173611113</v>
      </c>
      <c r="R1086" s="2">
        <v>46229.388703703706</v>
      </c>
      <c r="S1086">
        <v>0</v>
      </c>
      <c r="T1086" t="s">
        <v>2079</v>
      </c>
      <c r="U1086" t="s">
        <v>2079</v>
      </c>
      <c r="W1086" t="str">
        <f>"401047"</f>
        <v>401047</v>
      </c>
      <c r="X1086" t="s">
        <v>41</v>
      </c>
      <c r="AD1086" s="2">
        <v>46237.615173611113</v>
      </c>
    </row>
    <row r="1087" spans="1:30" x14ac:dyDescent="0.35">
      <c r="A1087" t="s">
        <v>2182</v>
      </c>
      <c r="B1087" t="s">
        <v>31</v>
      </c>
      <c r="C1087" t="s">
        <v>3104</v>
      </c>
      <c r="D1087" t="s">
        <v>33</v>
      </c>
      <c r="E1087" t="str">
        <f>"400441"</f>
        <v>400441</v>
      </c>
      <c r="F1087" t="s">
        <v>65</v>
      </c>
      <c r="G1087">
        <v>4</v>
      </c>
      <c r="H1087">
        <v>0</v>
      </c>
      <c r="I1087" t="s">
        <v>2342</v>
      </c>
      <c r="J1087" t="str">
        <f>"153000465"</f>
        <v>153000465</v>
      </c>
      <c r="K1087" s="1">
        <v>48046</v>
      </c>
      <c r="M1087" s="1">
        <v>46221</v>
      </c>
      <c r="N1087" t="str">
        <f t="shared" si="183"/>
        <v>1329001992</v>
      </c>
      <c r="O1087">
        <v>4</v>
      </c>
      <c r="P1087" s="2">
        <v>46229.388124999998</v>
      </c>
      <c r="Q1087" s="2">
        <v>46237.616319444445</v>
      </c>
      <c r="R1087" s="2">
        <v>46229.388124999998</v>
      </c>
      <c r="S1087">
        <v>0</v>
      </c>
      <c r="T1087" t="s">
        <v>2079</v>
      </c>
      <c r="U1087" t="s">
        <v>2079</v>
      </c>
      <c r="W1087" t="str">
        <f>"400441"</f>
        <v>400441</v>
      </c>
      <c r="X1087" t="s">
        <v>41</v>
      </c>
      <c r="AD1087" s="2">
        <v>46237.616319444445</v>
      </c>
    </row>
    <row r="1088" spans="1:30" x14ac:dyDescent="0.35">
      <c r="A1088" t="s">
        <v>2182</v>
      </c>
      <c r="B1088" t="s">
        <v>31</v>
      </c>
      <c r="C1088" t="s">
        <v>3105</v>
      </c>
      <c r="D1088" t="s">
        <v>33</v>
      </c>
      <c r="E1088" t="str">
        <f>"401299"</f>
        <v>401299</v>
      </c>
      <c r="F1088" t="s">
        <v>2925</v>
      </c>
      <c r="G1088">
        <v>24</v>
      </c>
      <c r="H1088">
        <v>0</v>
      </c>
      <c r="I1088" t="s">
        <v>2451</v>
      </c>
      <c r="J1088" t="str">
        <f>"153000463"</f>
        <v>153000463</v>
      </c>
      <c r="K1088" s="1">
        <v>48044</v>
      </c>
      <c r="M1088" s="1">
        <v>46219</v>
      </c>
      <c r="N1088" t="str">
        <f>"1329001979"</f>
        <v>1329001979</v>
      </c>
      <c r="O1088">
        <v>24</v>
      </c>
      <c r="P1088" s="2">
        <v>46229.574305555558</v>
      </c>
      <c r="Q1088" s="2">
        <v>46238.625532407408</v>
      </c>
      <c r="R1088" s="2">
        <v>46229.574305555558</v>
      </c>
      <c r="S1088">
        <v>0</v>
      </c>
      <c r="T1088" t="s">
        <v>2079</v>
      </c>
      <c r="U1088" t="s">
        <v>2079</v>
      </c>
      <c r="V1088" t="s">
        <v>2433</v>
      </c>
      <c r="W1088" t="str">
        <f>"401299"</f>
        <v>401299</v>
      </c>
      <c r="X1088" t="s">
        <v>378</v>
      </c>
      <c r="AD1088" s="2">
        <v>46233.573483796295</v>
      </c>
    </row>
    <row r="1089" spans="1:30" x14ac:dyDescent="0.35">
      <c r="A1089" t="s">
        <v>2182</v>
      </c>
      <c r="B1089" t="s">
        <v>31</v>
      </c>
      <c r="C1089" t="s">
        <v>3106</v>
      </c>
      <c r="D1089" t="s">
        <v>33</v>
      </c>
      <c r="E1089" t="str">
        <f>"400508"</f>
        <v>400508</v>
      </c>
      <c r="F1089" t="s">
        <v>586</v>
      </c>
      <c r="G1089">
        <v>4</v>
      </c>
      <c r="H1089">
        <v>0</v>
      </c>
      <c r="I1089" t="s">
        <v>2433</v>
      </c>
      <c r="J1089" t="str">
        <f>"153000431"</f>
        <v>153000431</v>
      </c>
      <c r="K1089" s="1">
        <v>48032</v>
      </c>
      <c r="M1089" s="1">
        <v>46207</v>
      </c>
      <c r="N1089" t="str">
        <f>"1329001991"</f>
        <v>1329001991</v>
      </c>
      <c r="O1089">
        <v>4</v>
      </c>
      <c r="P1089" s="2">
        <v>46231.575324074074</v>
      </c>
      <c r="Q1089" s="2">
        <v>46238.626539351855</v>
      </c>
      <c r="R1089" s="2">
        <v>46231.575324074074</v>
      </c>
      <c r="S1089">
        <v>0</v>
      </c>
      <c r="T1089" t="s">
        <v>2079</v>
      </c>
      <c r="U1089" t="s">
        <v>2079</v>
      </c>
      <c r="W1089" t="str">
        <f>"400508"</f>
        <v>400508</v>
      </c>
      <c r="X1089" t="s">
        <v>41</v>
      </c>
      <c r="AD1089" s="2">
        <v>46238.626539351855</v>
      </c>
    </row>
    <row r="1090" spans="1:30" x14ac:dyDescent="0.35">
      <c r="A1090" t="s">
        <v>2182</v>
      </c>
      <c r="B1090" t="s">
        <v>31</v>
      </c>
      <c r="C1090" t="s">
        <v>3107</v>
      </c>
      <c r="D1090" t="s">
        <v>33</v>
      </c>
      <c r="E1090" t="str">
        <f>"400508"</f>
        <v>400508</v>
      </c>
      <c r="F1090" t="s">
        <v>586</v>
      </c>
      <c r="G1090">
        <v>4</v>
      </c>
      <c r="H1090">
        <v>0</v>
      </c>
      <c r="I1090" t="s">
        <v>2331</v>
      </c>
      <c r="J1090" t="str">
        <f>"153000431"</f>
        <v>153000431</v>
      </c>
      <c r="K1090" s="1">
        <v>48032</v>
      </c>
      <c r="M1090" s="1">
        <v>46207</v>
      </c>
      <c r="N1090" t="str">
        <f>"1329001991"</f>
        <v>1329001991</v>
      </c>
      <c r="O1090">
        <v>4</v>
      </c>
      <c r="P1090" s="2">
        <v>46231.575706018521</v>
      </c>
      <c r="Q1090" s="2">
        <v>46238.627060185187</v>
      </c>
      <c r="R1090" s="2">
        <v>46231.575706018521</v>
      </c>
      <c r="S1090">
        <v>0</v>
      </c>
      <c r="T1090" t="s">
        <v>2079</v>
      </c>
      <c r="U1090" t="s">
        <v>2079</v>
      </c>
      <c r="W1090" t="str">
        <f>"400508"</f>
        <v>400508</v>
      </c>
      <c r="X1090" t="s">
        <v>41</v>
      </c>
      <c r="AD1090" s="2">
        <v>46238.627060185187</v>
      </c>
    </row>
    <row r="1091" spans="1:30" x14ac:dyDescent="0.35">
      <c r="A1091" t="s">
        <v>2182</v>
      </c>
      <c r="B1091" t="s">
        <v>31</v>
      </c>
      <c r="C1091" t="s">
        <v>3108</v>
      </c>
      <c r="D1091" t="s">
        <v>33</v>
      </c>
      <c r="E1091" t="str">
        <f t="shared" ref="E1091:E1106" si="184">"400932"</f>
        <v>400932</v>
      </c>
      <c r="F1091" t="s">
        <v>1205</v>
      </c>
      <c r="G1091">
        <v>24</v>
      </c>
      <c r="H1091">
        <v>0</v>
      </c>
      <c r="I1091" t="s">
        <v>3109</v>
      </c>
      <c r="J1091" t="str">
        <f>"100008855"</f>
        <v>100008855</v>
      </c>
      <c r="K1091" s="1">
        <v>47628</v>
      </c>
      <c r="M1091" s="1">
        <v>45803</v>
      </c>
      <c r="N1091" t="str">
        <f t="shared" ref="N1091:N1106" si="185">"1329002002"</f>
        <v>1329002002</v>
      </c>
      <c r="O1091">
        <v>24</v>
      </c>
      <c r="P1091" s="2">
        <v>46239.563391203701</v>
      </c>
      <c r="Q1091" s="2">
        <v>46239.589467592596</v>
      </c>
      <c r="R1091" s="2">
        <v>46239.563391203701</v>
      </c>
      <c r="S1091">
        <v>0</v>
      </c>
      <c r="T1091" t="s">
        <v>2079</v>
      </c>
      <c r="U1091" t="s">
        <v>2079</v>
      </c>
      <c r="W1091" t="str">
        <f t="shared" ref="W1091:W1106" si="186">"400932"</f>
        <v>400932</v>
      </c>
      <c r="X1091" t="s">
        <v>37</v>
      </c>
      <c r="AD1091" s="2">
        <v>46239.589467592596</v>
      </c>
    </row>
    <row r="1092" spans="1:30" x14ac:dyDescent="0.35">
      <c r="A1092" t="s">
        <v>2182</v>
      </c>
      <c r="B1092" t="s">
        <v>31</v>
      </c>
      <c r="C1092" t="s">
        <v>3110</v>
      </c>
      <c r="D1092" t="s">
        <v>33</v>
      </c>
      <c r="E1092" t="str">
        <f t="shared" si="184"/>
        <v>400932</v>
      </c>
      <c r="F1092" t="s">
        <v>1205</v>
      </c>
      <c r="G1092">
        <v>24</v>
      </c>
      <c r="H1092">
        <v>0</v>
      </c>
      <c r="I1092" t="s">
        <v>3111</v>
      </c>
      <c r="J1092" t="str">
        <f>"100009495"</f>
        <v>100009495</v>
      </c>
      <c r="K1092" s="1">
        <v>47687</v>
      </c>
      <c r="M1092" s="1">
        <v>45862</v>
      </c>
      <c r="N1092" t="str">
        <f t="shared" si="185"/>
        <v>1329002002</v>
      </c>
      <c r="O1092">
        <v>24</v>
      </c>
      <c r="P1092" s="2">
        <v>46239.564317129632</v>
      </c>
      <c r="Q1092" s="2">
        <v>46239.591192129628</v>
      </c>
      <c r="R1092" s="2">
        <v>46239.564317129632</v>
      </c>
      <c r="S1092">
        <v>0</v>
      </c>
      <c r="T1092" t="s">
        <v>2079</v>
      </c>
      <c r="U1092" t="s">
        <v>2079</v>
      </c>
      <c r="W1092" t="str">
        <f t="shared" si="186"/>
        <v>400932</v>
      </c>
      <c r="X1092" t="s">
        <v>37</v>
      </c>
      <c r="AD1092" s="2">
        <v>46239.591192129628</v>
      </c>
    </row>
    <row r="1093" spans="1:30" x14ac:dyDescent="0.35">
      <c r="A1093" t="s">
        <v>2182</v>
      </c>
      <c r="B1093" t="s">
        <v>31</v>
      </c>
      <c r="C1093" t="s">
        <v>3112</v>
      </c>
      <c r="D1093" t="s">
        <v>33</v>
      </c>
      <c r="E1093" t="str">
        <f t="shared" si="184"/>
        <v>400932</v>
      </c>
      <c r="F1093" t="s">
        <v>1205</v>
      </c>
      <c r="G1093">
        <v>24</v>
      </c>
      <c r="H1093">
        <v>0</v>
      </c>
      <c r="I1093" t="s">
        <v>2601</v>
      </c>
      <c r="J1093" t="str">
        <f>"100009226"</f>
        <v>100009226</v>
      </c>
      <c r="K1093" s="1">
        <v>47628</v>
      </c>
      <c r="M1093" s="1">
        <v>45803</v>
      </c>
      <c r="N1093" t="str">
        <f t="shared" si="185"/>
        <v>1329002002</v>
      </c>
      <c r="O1093">
        <v>24</v>
      </c>
      <c r="P1093" s="2">
        <v>46239.565196759257</v>
      </c>
      <c r="Q1093" s="2">
        <v>46239.594143518516</v>
      </c>
      <c r="R1093" s="2">
        <v>46239.565196759257</v>
      </c>
      <c r="S1093">
        <v>0</v>
      </c>
      <c r="T1093" t="s">
        <v>2079</v>
      </c>
      <c r="U1093" t="s">
        <v>2079</v>
      </c>
      <c r="W1093" t="str">
        <f t="shared" si="186"/>
        <v>400932</v>
      </c>
      <c r="X1093" t="s">
        <v>37</v>
      </c>
      <c r="AD1093" s="2">
        <v>46239.594143518516</v>
      </c>
    </row>
    <row r="1094" spans="1:30" x14ac:dyDescent="0.35">
      <c r="A1094" t="s">
        <v>2182</v>
      </c>
      <c r="B1094" t="s">
        <v>31</v>
      </c>
      <c r="C1094" t="s">
        <v>3113</v>
      </c>
      <c r="D1094" t="s">
        <v>33</v>
      </c>
      <c r="E1094" t="str">
        <f t="shared" si="184"/>
        <v>400932</v>
      </c>
      <c r="F1094" t="s">
        <v>1205</v>
      </c>
      <c r="G1094">
        <v>24</v>
      </c>
      <c r="H1094">
        <v>0</v>
      </c>
      <c r="I1094" t="s">
        <v>2600</v>
      </c>
      <c r="J1094" t="str">
        <f>"100009495"</f>
        <v>100009495</v>
      </c>
      <c r="K1094" s="1">
        <v>47687</v>
      </c>
      <c r="M1094" s="1">
        <v>45862</v>
      </c>
      <c r="N1094" t="str">
        <f t="shared" si="185"/>
        <v>1329002002</v>
      </c>
      <c r="O1094">
        <v>24</v>
      </c>
      <c r="P1094" s="2">
        <v>46239.565879629627</v>
      </c>
      <c r="Q1094" s="2">
        <v>46239.594259259262</v>
      </c>
      <c r="R1094" s="2">
        <v>46239.565879629627</v>
      </c>
      <c r="S1094">
        <v>0</v>
      </c>
      <c r="T1094" t="s">
        <v>2079</v>
      </c>
      <c r="U1094" t="s">
        <v>2079</v>
      </c>
      <c r="W1094" t="str">
        <f t="shared" si="186"/>
        <v>400932</v>
      </c>
      <c r="X1094" t="s">
        <v>37</v>
      </c>
      <c r="AD1094" s="2">
        <v>46239.594259259262</v>
      </c>
    </row>
    <row r="1095" spans="1:30" x14ac:dyDescent="0.35">
      <c r="A1095" t="s">
        <v>2182</v>
      </c>
      <c r="B1095" t="s">
        <v>31</v>
      </c>
      <c r="C1095" t="s">
        <v>3114</v>
      </c>
      <c r="D1095" t="s">
        <v>33</v>
      </c>
      <c r="E1095" t="str">
        <f t="shared" si="184"/>
        <v>400932</v>
      </c>
      <c r="F1095" t="s">
        <v>1205</v>
      </c>
      <c r="G1095">
        <v>24</v>
      </c>
      <c r="H1095">
        <v>0</v>
      </c>
      <c r="I1095" t="s">
        <v>3115</v>
      </c>
      <c r="J1095" t="str">
        <f>"100008855"</f>
        <v>100008855</v>
      </c>
      <c r="K1095" s="1">
        <v>47628</v>
      </c>
      <c r="M1095" s="1">
        <v>45803</v>
      </c>
      <c r="N1095" t="str">
        <f t="shared" si="185"/>
        <v>1329002002</v>
      </c>
      <c r="O1095">
        <v>24</v>
      </c>
      <c r="P1095" s="2">
        <v>46239.563726851855</v>
      </c>
      <c r="Q1095" s="2">
        <v>46239.596122685187</v>
      </c>
      <c r="R1095" s="2">
        <v>46239.563726851855</v>
      </c>
      <c r="S1095">
        <v>0</v>
      </c>
      <c r="T1095" t="s">
        <v>2079</v>
      </c>
      <c r="U1095" t="s">
        <v>2079</v>
      </c>
      <c r="W1095" t="str">
        <f t="shared" si="186"/>
        <v>400932</v>
      </c>
      <c r="X1095" t="s">
        <v>37</v>
      </c>
      <c r="AD1095" s="2">
        <v>46239.596122685187</v>
      </c>
    </row>
    <row r="1096" spans="1:30" x14ac:dyDescent="0.35">
      <c r="A1096" t="s">
        <v>2182</v>
      </c>
      <c r="B1096" t="s">
        <v>31</v>
      </c>
      <c r="C1096" t="s">
        <v>3116</v>
      </c>
      <c r="D1096" t="s">
        <v>33</v>
      </c>
      <c r="E1096" t="str">
        <f t="shared" si="184"/>
        <v>400932</v>
      </c>
      <c r="F1096" t="s">
        <v>1205</v>
      </c>
      <c r="G1096">
        <v>24</v>
      </c>
      <c r="H1096">
        <v>0</v>
      </c>
      <c r="I1096" t="s">
        <v>3117</v>
      </c>
      <c r="J1096" t="str">
        <f>"100009495"</f>
        <v>100009495</v>
      </c>
      <c r="K1096" s="1">
        <v>47687</v>
      </c>
      <c r="M1096" s="1">
        <v>45862</v>
      </c>
      <c r="N1096" t="str">
        <f t="shared" si="185"/>
        <v>1329002002</v>
      </c>
      <c r="O1096">
        <v>24</v>
      </c>
      <c r="P1096" s="2">
        <v>46239.564872685187</v>
      </c>
      <c r="Q1096" s="2">
        <v>46239.598078703704</v>
      </c>
      <c r="R1096" s="2">
        <v>46239.564872685187</v>
      </c>
      <c r="S1096">
        <v>0</v>
      </c>
      <c r="T1096" t="s">
        <v>2079</v>
      </c>
      <c r="U1096" t="s">
        <v>2079</v>
      </c>
      <c r="W1096" t="str">
        <f t="shared" si="186"/>
        <v>400932</v>
      </c>
      <c r="X1096" t="s">
        <v>37</v>
      </c>
      <c r="AD1096" s="2">
        <v>46239.598078703704</v>
      </c>
    </row>
    <row r="1097" spans="1:30" x14ac:dyDescent="0.35">
      <c r="A1097" t="s">
        <v>2182</v>
      </c>
      <c r="B1097" t="s">
        <v>31</v>
      </c>
      <c r="C1097" t="s">
        <v>3118</v>
      </c>
      <c r="D1097" t="s">
        <v>33</v>
      </c>
      <c r="E1097" t="str">
        <f t="shared" si="184"/>
        <v>400932</v>
      </c>
      <c r="F1097" t="s">
        <v>1205</v>
      </c>
      <c r="G1097">
        <v>24</v>
      </c>
      <c r="H1097">
        <v>0</v>
      </c>
      <c r="I1097" t="s">
        <v>3119</v>
      </c>
      <c r="J1097" t="str">
        <f>"100009226"</f>
        <v>100009226</v>
      </c>
      <c r="K1097" s="1">
        <v>47628</v>
      </c>
      <c r="M1097" s="1">
        <v>45803</v>
      </c>
      <c r="N1097" t="str">
        <f t="shared" si="185"/>
        <v>1329002002</v>
      </c>
      <c r="O1097">
        <v>24</v>
      </c>
      <c r="P1097" s="2">
        <v>46239.565567129626</v>
      </c>
      <c r="Q1097" s="2">
        <v>46239.6</v>
      </c>
      <c r="R1097" s="2">
        <v>46239.565567129626</v>
      </c>
      <c r="S1097">
        <v>0</v>
      </c>
      <c r="T1097" t="s">
        <v>2079</v>
      </c>
      <c r="U1097" t="s">
        <v>2079</v>
      </c>
      <c r="W1097" t="str">
        <f t="shared" si="186"/>
        <v>400932</v>
      </c>
      <c r="X1097" t="s">
        <v>37</v>
      </c>
      <c r="AD1097" s="2">
        <v>46239.6</v>
      </c>
    </row>
    <row r="1098" spans="1:30" x14ac:dyDescent="0.35">
      <c r="A1098" t="s">
        <v>2182</v>
      </c>
      <c r="B1098" t="s">
        <v>31</v>
      </c>
      <c r="C1098" t="s">
        <v>3120</v>
      </c>
      <c r="D1098" t="s">
        <v>33</v>
      </c>
      <c r="E1098" t="str">
        <f t="shared" si="184"/>
        <v>400932</v>
      </c>
      <c r="F1098" t="s">
        <v>1205</v>
      </c>
      <c r="G1098">
        <v>24</v>
      </c>
      <c r="H1098">
        <v>0</v>
      </c>
      <c r="I1098" t="s">
        <v>3121</v>
      </c>
      <c r="J1098" t="str">
        <f>"100009495"</f>
        <v>100009495</v>
      </c>
      <c r="K1098" s="1">
        <v>47687</v>
      </c>
      <c r="M1098" s="1">
        <v>45862</v>
      </c>
      <c r="N1098" t="str">
        <f t="shared" si="185"/>
        <v>1329002002</v>
      </c>
      <c r="O1098">
        <v>24</v>
      </c>
      <c r="P1098" s="2">
        <v>46239.566481481481</v>
      </c>
      <c r="Q1098" s="2">
        <v>46239.602569444447</v>
      </c>
      <c r="R1098" s="2">
        <v>46239.566481481481</v>
      </c>
      <c r="S1098">
        <v>0</v>
      </c>
      <c r="T1098" t="s">
        <v>2079</v>
      </c>
      <c r="U1098" t="s">
        <v>2079</v>
      </c>
      <c r="W1098" t="str">
        <f t="shared" si="186"/>
        <v>400932</v>
      </c>
      <c r="X1098" t="s">
        <v>37</v>
      </c>
      <c r="AD1098" s="2">
        <v>46239.602569444447</v>
      </c>
    </row>
    <row r="1099" spans="1:30" x14ac:dyDescent="0.35">
      <c r="A1099" t="s">
        <v>2182</v>
      </c>
      <c r="B1099" t="s">
        <v>31</v>
      </c>
      <c r="C1099" t="s">
        <v>3122</v>
      </c>
      <c r="D1099" t="s">
        <v>33</v>
      </c>
      <c r="E1099" t="str">
        <f t="shared" si="184"/>
        <v>400932</v>
      </c>
      <c r="F1099" t="s">
        <v>1205</v>
      </c>
      <c r="G1099">
        <v>24</v>
      </c>
      <c r="H1099">
        <v>0</v>
      </c>
      <c r="I1099" t="s">
        <v>2351</v>
      </c>
      <c r="J1099" t="str">
        <f>"100009226"</f>
        <v>100009226</v>
      </c>
      <c r="K1099" s="1">
        <v>47628</v>
      </c>
      <c r="M1099" s="1">
        <v>45803</v>
      </c>
      <c r="N1099" t="str">
        <f t="shared" si="185"/>
        <v>1329002002</v>
      </c>
      <c r="O1099">
        <v>24</v>
      </c>
      <c r="P1099" s="2">
        <v>46239.567280092589</v>
      </c>
      <c r="Q1099" s="2">
        <v>46239.604363425926</v>
      </c>
      <c r="R1099" s="2">
        <v>46239.567280092589</v>
      </c>
      <c r="S1099">
        <v>0</v>
      </c>
      <c r="T1099" t="s">
        <v>2079</v>
      </c>
      <c r="U1099" t="s">
        <v>2079</v>
      </c>
      <c r="W1099" t="str">
        <f t="shared" si="186"/>
        <v>400932</v>
      </c>
      <c r="X1099" t="s">
        <v>37</v>
      </c>
      <c r="AD1099" s="2">
        <v>46239.604363425926</v>
      </c>
    </row>
    <row r="1100" spans="1:30" x14ac:dyDescent="0.35">
      <c r="A1100" t="s">
        <v>2182</v>
      </c>
      <c r="B1100" t="s">
        <v>31</v>
      </c>
      <c r="C1100" t="s">
        <v>3123</v>
      </c>
      <c r="D1100" t="s">
        <v>33</v>
      </c>
      <c r="E1100" t="str">
        <f t="shared" si="184"/>
        <v>400932</v>
      </c>
      <c r="F1100" t="s">
        <v>1205</v>
      </c>
      <c r="G1100">
        <v>24</v>
      </c>
      <c r="H1100">
        <v>0</v>
      </c>
      <c r="I1100" t="s">
        <v>2452</v>
      </c>
      <c r="J1100" t="str">
        <f>"100009226"</f>
        <v>100009226</v>
      </c>
      <c r="K1100" s="1">
        <v>47628</v>
      </c>
      <c r="M1100" s="1">
        <v>45803</v>
      </c>
      <c r="N1100" t="str">
        <f t="shared" si="185"/>
        <v>1329002002</v>
      </c>
      <c r="O1100">
        <v>24</v>
      </c>
      <c r="P1100" s="2">
        <v>46239.566168981481</v>
      </c>
      <c r="Q1100" s="2">
        <v>46239.606481481482</v>
      </c>
      <c r="R1100" s="2">
        <v>46239.566168981481</v>
      </c>
      <c r="S1100">
        <v>0</v>
      </c>
      <c r="T1100" t="s">
        <v>2079</v>
      </c>
      <c r="U1100" t="s">
        <v>2079</v>
      </c>
      <c r="W1100" t="str">
        <f t="shared" si="186"/>
        <v>400932</v>
      </c>
      <c r="X1100" t="s">
        <v>37</v>
      </c>
      <c r="AD1100" s="2">
        <v>46239.606469907405</v>
      </c>
    </row>
    <row r="1101" spans="1:30" x14ac:dyDescent="0.35">
      <c r="A1101" t="s">
        <v>2182</v>
      </c>
      <c r="B1101" t="s">
        <v>31</v>
      </c>
      <c r="C1101" t="s">
        <v>3124</v>
      </c>
      <c r="D1101" t="s">
        <v>33</v>
      </c>
      <c r="E1101" t="str">
        <f t="shared" si="184"/>
        <v>400932</v>
      </c>
      <c r="F1101" t="s">
        <v>1205</v>
      </c>
      <c r="G1101">
        <v>24</v>
      </c>
      <c r="H1101">
        <v>0</v>
      </c>
      <c r="I1101" t="s">
        <v>2466</v>
      </c>
      <c r="J1101" t="str">
        <f>"100009495"</f>
        <v>100009495</v>
      </c>
      <c r="K1101" s="1">
        <v>47687</v>
      </c>
      <c r="M1101" s="1">
        <v>45862</v>
      </c>
      <c r="N1101" t="str">
        <f t="shared" si="185"/>
        <v>1329002002</v>
      </c>
      <c r="O1101">
        <v>24</v>
      </c>
      <c r="P1101" s="2">
        <v>46239.566990740743</v>
      </c>
      <c r="Q1101" s="2">
        <v>46239.609386574077</v>
      </c>
      <c r="R1101" s="2">
        <v>46239.566990740743</v>
      </c>
      <c r="S1101">
        <v>0</v>
      </c>
      <c r="T1101" t="s">
        <v>2079</v>
      </c>
      <c r="U1101" t="s">
        <v>2079</v>
      </c>
      <c r="W1101" t="str">
        <f t="shared" si="186"/>
        <v>400932</v>
      </c>
      <c r="X1101" t="s">
        <v>37</v>
      </c>
      <c r="AD1101" s="2">
        <v>46239.609386574077</v>
      </c>
    </row>
    <row r="1102" spans="1:30" x14ac:dyDescent="0.35">
      <c r="A1102" t="s">
        <v>2182</v>
      </c>
      <c r="B1102" t="s">
        <v>31</v>
      </c>
      <c r="C1102" t="s">
        <v>3125</v>
      </c>
      <c r="D1102" t="s">
        <v>33</v>
      </c>
      <c r="E1102" t="str">
        <f t="shared" si="184"/>
        <v>400932</v>
      </c>
      <c r="F1102" t="s">
        <v>1205</v>
      </c>
      <c r="G1102">
        <v>24</v>
      </c>
      <c r="H1102">
        <v>0</v>
      </c>
      <c r="I1102" t="s">
        <v>2350</v>
      </c>
      <c r="J1102" t="str">
        <f>"100009226"</f>
        <v>100009226</v>
      </c>
      <c r="K1102" s="1">
        <v>47628</v>
      </c>
      <c r="M1102" s="1">
        <v>45803</v>
      </c>
      <c r="N1102" t="str">
        <f t="shared" si="185"/>
        <v>1329002002</v>
      </c>
      <c r="O1102">
        <v>24</v>
      </c>
      <c r="P1102" s="2">
        <v>46239.567662037036</v>
      </c>
      <c r="Q1102" s="2">
        <v>46239.610706018517</v>
      </c>
      <c r="R1102" s="2">
        <v>46239.567662037036</v>
      </c>
      <c r="S1102">
        <v>0</v>
      </c>
      <c r="T1102" t="s">
        <v>2079</v>
      </c>
      <c r="U1102" t="s">
        <v>2079</v>
      </c>
      <c r="W1102" t="str">
        <f t="shared" si="186"/>
        <v>400932</v>
      </c>
      <c r="X1102" t="s">
        <v>37</v>
      </c>
      <c r="AD1102" s="2">
        <v>46239.610706018517</v>
      </c>
    </row>
    <row r="1103" spans="1:30" x14ac:dyDescent="0.35">
      <c r="A1103" t="s">
        <v>2182</v>
      </c>
      <c r="B1103" t="s">
        <v>31</v>
      </c>
      <c r="C1103" t="s">
        <v>3126</v>
      </c>
      <c r="D1103" t="s">
        <v>33</v>
      </c>
      <c r="E1103" t="str">
        <f t="shared" si="184"/>
        <v>400932</v>
      </c>
      <c r="F1103" t="s">
        <v>1205</v>
      </c>
      <c r="G1103">
        <v>24</v>
      </c>
      <c r="H1103">
        <v>0</v>
      </c>
      <c r="I1103" t="s">
        <v>2616</v>
      </c>
      <c r="J1103" t="str">
        <f>"100009226"</f>
        <v>100009226</v>
      </c>
      <c r="K1103" s="1">
        <v>47628</v>
      </c>
      <c r="M1103" s="1">
        <v>45803</v>
      </c>
      <c r="N1103" t="str">
        <f t="shared" si="185"/>
        <v>1329002002</v>
      </c>
      <c r="O1103">
        <v>24</v>
      </c>
      <c r="P1103" s="2">
        <v>46239.568020833336</v>
      </c>
      <c r="Q1103" s="2">
        <v>46239.612511574072</v>
      </c>
      <c r="R1103" s="2">
        <v>46239.568020833336</v>
      </c>
      <c r="S1103">
        <v>0</v>
      </c>
      <c r="T1103" t="s">
        <v>2079</v>
      </c>
      <c r="U1103" t="s">
        <v>2079</v>
      </c>
      <c r="W1103" t="str">
        <f t="shared" si="186"/>
        <v>400932</v>
      </c>
      <c r="X1103" t="s">
        <v>37</v>
      </c>
      <c r="AD1103" s="2">
        <v>46239.612511574072</v>
      </c>
    </row>
    <row r="1104" spans="1:30" x14ac:dyDescent="0.35">
      <c r="A1104" t="s">
        <v>2182</v>
      </c>
      <c r="B1104" t="s">
        <v>31</v>
      </c>
      <c r="C1104" t="s">
        <v>3127</v>
      </c>
      <c r="D1104" t="s">
        <v>33</v>
      </c>
      <c r="E1104" t="str">
        <f t="shared" si="184"/>
        <v>400932</v>
      </c>
      <c r="F1104" t="s">
        <v>1205</v>
      </c>
      <c r="G1104">
        <v>24</v>
      </c>
      <c r="H1104">
        <v>0</v>
      </c>
      <c r="I1104" t="s">
        <v>3128</v>
      </c>
      <c r="J1104" t="str">
        <f>"100009226"</f>
        <v>100009226</v>
      </c>
      <c r="K1104" s="1">
        <v>47628</v>
      </c>
      <c r="M1104" s="1">
        <v>45803</v>
      </c>
      <c r="N1104" t="str">
        <f t="shared" si="185"/>
        <v>1329002002</v>
      </c>
      <c r="O1104">
        <v>24</v>
      </c>
      <c r="P1104" s="2">
        <v>46239.568668981483</v>
      </c>
      <c r="Q1104" s="2">
        <v>46239.615567129629</v>
      </c>
      <c r="R1104" s="2">
        <v>46239.568668981483</v>
      </c>
      <c r="S1104">
        <v>0</v>
      </c>
      <c r="T1104" t="s">
        <v>2079</v>
      </c>
      <c r="U1104" t="s">
        <v>2079</v>
      </c>
      <c r="W1104" t="str">
        <f t="shared" si="186"/>
        <v>400932</v>
      </c>
      <c r="X1104" t="s">
        <v>37</v>
      </c>
      <c r="AD1104" s="2">
        <v>46239.615567129629</v>
      </c>
    </row>
    <row r="1105" spans="1:30" x14ac:dyDescent="0.35">
      <c r="A1105" t="s">
        <v>2182</v>
      </c>
      <c r="B1105" t="s">
        <v>31</v>
      </c>
      <c r="C1105" t="s">
        <v>3129</v>
      </c>
      <c r="D1105" t="s">
        <v>33</v>
      </c>
      <c r="E1105" t="str">
        <f t="shared" si="184"/>
        <v>400932</v>
      </c>
      <c r="F1105" t="s">
        <v>1205</v>
      </c>
      <c r="G1105">
        <v>24</v>
      </c>
      <c r="H1105">
        <v>0</v>
      </c>
      <c r="I1105" t="s">
        <v>2404</v>
      </c>
      <c r="J1105" t="str">
        <f>"100009226"</f>
        <v>100009226</v>
      </c>
      <c r="K1105" s="1">
        <v>47628</v>
      </c>
      <c r="M1105" s="1">
        <v>45803</v>
      </c>
      <c r="N1105" t="str">
        <f t="shared" si="185"/>
        <v>1329002002</v>
      </c>
      <c r="O1105">
        <v>24</v>
      </c>
      <c r="P1105" s="2">
        <v>46239.568391203706</v>
      </c>
      <c r="Q1105" s="2">
        <v>46239.619027777779</v>
      </c>
      <c r="R1105" s="2">
        <v>46239.568391203706</v>
      </c>
      <c r="S1105">
        <v>0</v>
      </c>
      <c r="T1105" t="s">
        <v>2079</v>
      </c>
      <c r="U1105" t="s">
        <v>2079</v>
      </c>
      <c r="W1105" t="str">
        <f t="shared" si="186"/>
        <v>400932</v>
      </c>
      <c r="X1105" t="s">
        <v>37</v>
      </c>
      <c r="AD1105" s="2">
        <v>46239.619027777779</v>
      </c>
    </row>
    <row r="1106" spans="1:30" x14ac:dyDescent="0.35">
      <c r="A1106" t="s">
        <v>2182</v>
      </c>
      <c r="B1106" t="s">
        <v>31</v>
      </c>
      <c r="C1106" t="s">
        <v>3130</v>
      </c>
      <c r="D1106" t="s">
        <v>33</v>
      </c>
      <c r="E1106" t="str">
        <f t="shared" si="184"/>
        <v>400932</v>
      </c>
      <c r="F1106" t="s">
        <v>1205</v>
      </c>
      <c r="G1106">
        <v>24</v>
      </c>
      <c r="H1106">
        <v>0</v>
      </c>
      <c r="I1106" t="s">
        <v>3131</v>
      </c>
      <c r="J1106" t="str">
        <f>"100009495"</f>
        <v>100009495</v>
      </c>
      <c r="K1106" s="1">
        <v>47687</v>
      </c>
      <c r="M1106" s="1">
        <v>45862</v>
      </c>
      <c r="N1106" t="str">
        <f t="shared" si="185"/>
        <v>1329002002</v>
      </c>
      <c r="O1106">
        <v>24</v>
      </c>
      <c r="P1106" s="2">
        <v>46239.568981481483</v>
      </c>
      <c r="Q1106" s="2">
        <v>46239.620613425926</v>
      </c>
      <c r="R1106" s="2">
        <v>46239.568981481483</v>
      </c>
      <c r="S1106">
        <v>0</v>
      </c>
      <c r="T1106" t="s">
        <v>2079</v>
      </c>
      <c r="U1106" t="s">
        <v>2079</v>
      </c>
      <c r="W1106" t="str">
        <f t="shared" si="186"/>
        <v>400932</v>
      </c>
      <c r="X1106" t="s">
        <v>37</v>
      </c>
      <c r="AD1106" s="2">
        <v>46239.620613425926</v>
      </c>
    </row>
    <row r="1107" spans="1:30" x14ac:dyDescent="0.35">
      <c r="A1107" t="s">
        <v>2182</v>
      </c>
      <c r="B1107" t="s">
        <v>31</v>
      </c>
      <c r="C1107" t="s">
        <v>3132</v>
      </c>
      <c r="D1107" t="s">
        <v>33</v>
      </c>
      <c r="E1107" t="str">
        <f>"400426"</f>
        <v>400426</v>
      </c>
      <c r="F1107" t="s">
        <v>34</v>
      </c>
      <c r="G1107">
        <v>24</v>
      </c>
      <c r="H1107">
        <v>0</v>
      </c>
      <c r="I1107" t="s">
        <v>2409</v>
      </c>
      <c r="J1107" t="str">
        <f>"153000403"</f>
        <v>153000403</v>
      </c>
      <c r="K1107" s="1">
        <v>48018</v>
      </c>
      <c r="M1107" s="1">
        <v>46193</v>
      </c>
      <c r="N1107" t="str">
        <f>"1329001946"</f>
        <v>1329001946</v>
      </c>
      <c r="O1107">
        <v>24</v>
      </c>
      <c r="P1107" s="2">
        <v>46218.391041666669</v>
      </c>
      <c r="Q1107" s="2">
        <v>46239.628912037035</v>
      </c>
      <c r="R1107" s="2">
        <v>46218.391041666669</v>
      </c>
      <c r="S1107">
        <v>0</v>
      </c>
      <c r="T1107" t="s">
        <v>2079</v>
      </c>
      <c r="U1107" t="s">
        <v>2079</v>
      </c>
      <c r="V1107" t="s">
        <v>2598</v>
      </c>
      <c r="W1107" t="str">
        <f>"400426"</f>
        <v>400426</v>
      </c>
      <c r="X1107" t="s">
        <v>37</v>
      </c>
      <c r="AD1107" s="2">
        <v>46218.426527777781</v>
      </c>
    </row>
    <row r="1108" spans="1:30" x14ac:dyDescent="0.35">
      <c r="A1108" t="s">
        <v>2182</v>
      </c>
      <c r="B1108" t="s">
        <v>31</v>
      </c>
      <c r="C1108" t="s">
        <v>3133</v>
      </c>
      <c r="D1108" t="s">
        <v>33</v>
      </c>
      <c r="E1108" t="str">
        <f>"400426"</f>
        <v>400426</v>
      </c>
      <c r="F1108" t="s">
        <v>34</v>
      </c>
      <c r="G1108">
        <v>24</v>
      </c>
      <c r="H1108">
        <v>0</v>
      </c>
      <c r="I1108" t="s">
        <v>2408</v>
      </c>
      <c r="J1108" t="str">
        <f>"153000404"</f>
        <v>153000404</v>
      </c>
      <c r="K1108" s="1">
        <v>48018</v>
      </c>
      <c r="M1108" s="1">
        <v>46193</v>
      </c>
      <c r="N1108" t="str">
        <f>"1329001946"</f>
        <v>1329001946</v>
      </c>
      <c r="O1108">
        <v>24</v>
      </c>
      <c r="P1108" s="2">
        <v>46218.390069444446</v>
      </c>
      <c r="Q1108" s="2">
        <v>46239.630474537036</v>
      </c>
      <c r="R1108" s="2">
        <v>46218.390069444446</v>
      </c>
      <c r="S1108">
        <v>0</v>
      </c>
      <c r="T1108" t="s">
        <v>2079</v>
      </c>
      <c r="U1108" t="s">
        <v>2079</v>
      </c>
      <c r="V1108" t="s">
        <v>2595</v>
      </c>
      <c r="W1108" t="str">
        <f>"400426"</f>
        <v>400426</v>
      </c>
      <c r="X1108" t="s">
        <v>37</v>
      </c>
      <c r="AD1108" s="2">
        <v>46218.423067129632</v>
      </c>
    </row>
    <row r="1109" spans="1:30" x14ac:dyDescent="0.35">
      <c r="A1109" t="s">
        <v>2182</v>
      </c>
      <c r="B1109" t="s">
        <v>31</v>
      </c>
      <c r="C1109" t="s">
        <v>3134</v>
      </c>
      <c r="D1109" t="s">
        <v>33</v>
      </c>
      <c r="E1109" t="str">
        <f>"400405"</f>
        <v>400405</v>
      </c>
      <c r="F1109" t="s">
        <v>519</v>
      </c>
      <c r="G1109">
        <v>52</v>
      </c>
      <c r="H1109">
        <v>0</v>
      </c>
      <c r="I1109" t="s">
        <v>2354</v>
      </c>
      <c r="J1109" t="str">
        <f>"153000440"</f>
        <v>153000440</v>
      </c>
      <c r="K1109" s="1">
        <v>48036</v>
      </c>
      <c r="M1109" s="1">
        <v>46211</v>
      </c>
      <c r="N1109" t="str">
        <f>"1329001951"</f>
        <v>1329001951</v>
      </c>
      <c r="O1109">
        <v>52</v>
      </c>
      <c r="P1109" s="2">
        <v>46218.566782407404</v>
      </c>
      <c r="Q1109" s="2">
        <v>46239.634270833332</v>
      </c>
      <c r="R1109" s="2">
        <v>46218.566782407404</v>
      </c>
      <c r="S1109">
        <v>0</v>
      </c>
      <c r="T1109" t="s">
        <v>2079</v>
      </c>
      <c r="U1109" t="s">
        <v>2079</v>
      </c>
      <c r="V1109" t="s">
        <v>3135</v>
      </c>
      <c r="W1109" t="str">
        <f>"400405"</f>
        <v>400405</v>
      </c>
      <c r="X1109" t="s">
        <v>37</v>
      </c>
      <c r="AD1109" s="2">
        <v>46218.59814814815</v>
      </c>
    </row>
    <row r="1110" spans="1:30" x14ac:dyDescent="0.35">
      <c r="A1110" t="s">
        <v>2182</v>
      </c>
      <c r="B1110" t="s">
        <v>31</v>
      </c>
      <c r="C1110" t="s">
        <v>3136</v>
      </c>
      <c r="D1110" t="s">
        <v>33</v>
      </c>
      <c r="E1110" t="str">
        <f t="shared" ref="E1110:E1118" si="187">"400932"</f>
        <v>400932</v>
      </c>
      <c r="F1110" t="s">
        <v>1205</v>
      </c>
      <c r="G1110">
        <v>24</v>
      </c>
      <c r="H1110">
        <v>0</v>
      </c>
      <c r="I1110" t="s">
        <v>3137</v>
      </c>
      <c r="J1110" t="str">
        <f>"100009495"</f>
        <v>100009495</v>
      </c>
      <c r="K1110" s="1">
        <v>47687</v>
      </c>
      <c r="M1110" s="1">
        <v>45862</v>
      </c>
      <c r="N1110" t="str">
        <f t="shared" ref="N1110:N1118" si="188">"1329002002"</f>
        <v>1329002002</v>
      </c>
      <c r="O1110">
        <v>24</v>
      </c>
      <c r="P1110" s="2">
        <v>46239.570277777777</v>
      </c>
      <c r="Q1110" s="2">
        <v>46239.635937500003</v>
      </c>
      <c r="R1110" s="2">
        <v>46239.570277777777</v>
      </c>
      <c r="S1110">
        <v>0</v>
      </c>
      <c r="T1110" t="s">
        <v>2079</v>
      </c>
      <c r="U1110" t="s">
        <v>2079</v>
      </c>
      <c r="W1110" t="str">
        <f t="shared" ref="W1110:W1118" si="189">"400932"</f>
        <v>400932</v>
      </c>
      <c r="X1110" t="s">
        <v>37</v>
      </c>
      <c r="AD1110" s="2">
        <v>46239.635937500003</v>
      </c>
    </row>
    <row r="1111" spans="1:30" x14ac:dyDescent="0.35">
      <c r="A1111" t="s">
        <v>2182</v>
      </c>
      <c r="B1111" t="s">
        <v>31</v>
      </c>
      <c r="C1111" t="s">
        <v>3138</v>
      </c>
      <c r="D1111" t="s">
        <v>33</v>
      </c>
      <c r="E1111" t="str">
        <f t="shared" si="187"/>
        <v>400932</v>
      </c>
      <c r="F1111" t="s">
        <v>1205</v>
      </c>
      <c r="G1111">
        <v>24</v>
      </c>
      <c r="H1111">
        <v>0</v>
      </c>
      <c r="I1111" t="s">
        <v>3139</v>
      </c>
      <c r="J1111" t="str">
        <f>"100009226"</f>
        <v>100009226</v>
      </c>
      <c r="K1111" s="1">
        <v>47628</v>
      </c>
      <c r="M1111" s="1">
        <v>45803</v>
      </c>
      <c r="N1111" t="str">
        <f t="shared" si="188"/>
        <v>1329002002</v>
      </c>
      <c r="O1111">
        <v>24</v>
      </c>
      <c r="P1111" s="2">
        <v>46239.570798611108</v>
      </c>
      <c r="Q1111" s="2">
        <v>46239.638506944444</v>
      </c>
      <c r="R1111" s="2">
        <v>46239.570798611108</v>
      </c>
      <c r="S1111">
        <v>0</v>
      </c>
      <c r="T1111" t="s">
        <v>2079</v>
      </c>
      <c r="U1111" t="s">
        <v>2079</v>
      </c>
      <c r="W1111" t="str">
        <f t="shared" si="189"/>
        <v>400932</v>
      </c>
      <c r="X1111" t="s">
        <v>37</v>
      </c>
      <c r="AD1111" s="2">
        <v>46239.638506944444</v>
      </c>
    </row>
    <row r="1112" spans="1:30" x14ac:dyDescent="0.35">
      <c r="A1112" t="s">
        <v>2182</v>
      </c>
      <c r="B1112" t="s">
        <v>31</v>
      </c>
      <c r="C1112" t="s">
        <v>3140</v>
      </c>
      <c r="D1112" t="s">
        <v>33</v>
      </c>
      <c r="E1112" t="str">
        <f t="shared" si="187"/>
        <v>400932</v>
      </c>
      <c r="F1112" t="s">
        <v>1205</v>
      </c>
      <c r="G1112">
        <v>24</v>
      </c>
      <c r="H1112">
        <v>0</v>
      </c>
      <c r="I1112" t="s">
        <v>3141</v>
      </c>
      <c r="J1112" t="str">
        <f>"100009226"</f>
        <v>100009226</v>
      </c>
      <c r="K1112" s="1">
        <v>47628</v>
      </c>
      <c r="M1112" s="1">
        <v>45803</v>
      </c>
      <c r="N1112" t="str">
        <f t="shared" si="188"/>
        <v>1329002002</v>
      </c>
      <c r="O1112">
        <v>24</v>
      </c>
      <c r="P1112" s="2">
        <v>46239.571331018517</v>
      </c>
      <c r="Q1112" s="2">
        <v>46239.640416666669</v>
      </c>
      <c r="R1112" s="2">
        <v>46239.571331018517</v>
      </c>
      <c r="S1112">
        <v>0</v>
      </c>
      <c r="T1112" t="s">
        <v>2079</v>
      </c>
      <c r="U1112" t="s">
        <v>2079</v>
      </c>
      <c r="W1112" t="str">
        <f t="shared" si="189"/>
        <v>400932</v>
      </c>
      <c r="X1112" t="s">
        <v>37</v>
      </c>
      <c r="AD1112" s="2">
        <v>46239.640405092592</v>
      </c>
    </row>
    <row r="1113" spans="1:30" x14ac:dyDescent="0.35">
      <c r="A1113" t="s">
        <v>2182</v>
      </c>
      <c r="B1113" t="s">
        <v>31</v>
      </c>
      <c r="C1113" t="s">
        <v>3142</v>
      </c>
      <c r="D1113" t="s">
        <v>33</v>
      </c>
      <c r="E1113" t="str">
        <f t="shared" si="187"/>
        <v>400932</v>
      </c>
      <c r="F1113" t="s">
        <v>1205</v>
      </c>
      <c r="G1113">
        <v>22</v>
      </c>
      <c r="H1113">
        <v>0</v>
      </c>
      <c r="I1113" t="s">
        <v>3143</v>
      </c>
      <c r="J1113" t="str">
        <f>"100009495"</f>
        <v>100009495</v>
      </c>
      <c r="K1113" s="1">
        <v>47687</v>
      </c>
      <c r="M1113" s="1">
        <v>45862</v>
      </c>
      <c r="N1113" t="str">
        <f t="shared" si="188"/>
        <v>1329002002</v>
      </c>
      <c r="O1113">
        <v>22</v>
      </c>
      <c r="P1113" s="2">
        <v>46239.569328703707</v>
      </c>
      <c r="Q1113" s="2">
        <v>46239.64267361111</v>
      </c>
      <c r="R1113" s="2">
        <v>46239.569328703707</v>
      </c>
      <c r="S1113">
        <v>0</v>
      </c>
      <c r="T1113" t="s">
        <v>2079</v>
      </c>
      <c r="U1113" t="s">
        <v>2079</v>
      </c>
      <c r="W1113" t="str">
        <f t="shared" si="189"/>
        <v>400932</v>
      </c>
      <c r="X1113" t="s">
        <v>37</v>
      </c>
      <c r="AD1113" s="2">
        <v>46239.64267361111</v>
      </c>
    </row>
    <row r="1114" spans="1:30" x14ac:dyDescent="0.35">
      <c r="A1114" t="s">
        <v>2182</v>
      </c>
      <c r="B1114" t="s">
        <v>31</v>
      </c>
      <c r="C1114" t="s">
        <v>3144</v>
      </c>
      <c r="D1114" t="s">
        <v>33</v>
      </c>
      <c r="E1114" t="str">
        <f t="shared" si="187"/>
        <v>400932</v>
      </c>
      <c r="F1114" t="s">
        <v>1205</v>
      </c>
      <c r="G1114">
        <v>24</v>
      </c>
      <c r="H1114">
        <v>0</v>
      </c>
      <c r="I1114" t="s">
        <v>2598</v>
      </c>
      <c r="J1114" t="str">
        <f>"100009495"</f>
        <v>100009495</v>
      </c>
      <c r="K1114" s="1">
        <v>47687</v>
      </c>
      <c r="M1114" s="1">
        <v>45862</v>
      </c>
      <c r="N1114" t="str">
        <f t="shared" si="188"/>
        <v>1329002002</v>
      </c>
      <c r="O1114">
        <v>24</v>
      </c>
      <c r="P1114" s="2">
        <v>46239.570555555554</v>
      </c>
      <c r="Q1114" s="2">
        <v>46239.644178240742</v>
      </c>
      <c r="R1114" s="2">
        <v>46239.570555555554</v>
      </c>
      <c r="S1114">
        <v>0</v>
      </c>
      <c r="T1114" t="s">
        <v>2079</v>
      </c>
      <c r="U1114" t="s">
        <v>2079</v>
      </c>
      <c r="W1114" t="str">
        <f t="shared" si="189"/>
        <v>400932</v>
      </c>
      <c r="X1114" t="s">
        <v>37</v>
      </c>
      <c r="AD1114" s="2">
        <v>46239.644178240742</v>
      </c>
    </row>
    <row r="1115" spans="1:30" x14ac:dyDescent="0.35">
      <c r="A1115" t="s">
        <v>2182</v>
      </c>
      <c r="B1115" t="s">
        <v>31</v>
      </c>
      <c r="C1115" t="s">
        <v>3145</v>
      </c>
      <c r="D1115" t="s">
        <v>33</v>
      </c>
      <c r="E1115" t="str">
        <f t="shared" si="187"/>
        <v>400932</v>
      </c>
      <c r="F1115" t="s">
        <v>1205</v>
      </c>
      <c r="G1115">
        <v>24</v>
      </c>
      <c r="H1115">
        <v>0</v>
      </c>
      <c r="I1115" t="s">
        <v>2595</v>
      </c>
      <c r="J1115" t="str">
        <f>"100009226"</f>
        <v>100009226</v>
      </c>
      <c r="K1115" s="1">
        <v>47628</v>
      </c>
      <c r="M1115" s="1">
        <v>45803</v>
      </c>
      <c r="N1115" t="str">
        <f t="shared" si="188"/>
        <v>1329002002</v>
      </c>
      <c r="O1115">
        <v>24</v>
      </c>
      <c r="P1115" s="2">
        <v>46239.571053240739</v>
      </c>
      <c r="Q1115" s="2">
        <v>46239.647199074076</v>
      </c>
      <c r="R1115" s="2">
        <v>46239.571053240739</v>
      </c>
      <c r="S1115">
        <v>0</v>
      </c>
      <c r="T1115" t="s">
        <v>2079</v>
      </c>
      <c r="U1115" t="s">
        <v>2079</v>
      </c>
      <c r="W1115" t="str">
        <f t="shared" si="189"/>
        <v>400932</v>
      </c>
      <c r="X1115" t="s">
        <v>37</v>
      </c>
      <c r="AD1115" s="2">
        <v>46239.647199074076</v>
      </c>
    </row>
    <row r="1116" spans="1:30" x14ac:dyDescent="0.35">
      <c r="A1116" t="s">
        <v>2182</v>
      </c>
      <c r="B1116" t="s">
        <v>31</v>
      </c>
      <c r="C1116" t="s">
        <v>3146</v>
      </c>
      <c r="D1116" t="s">
        <v>33</v>
      </c>
      <c r="E1116" t="str">
        <f t="shared" si="187"/>
        <v>400932</v>
      </c>
      <c r="F1116" t="s">
        <v>1205</v>
      </c>
      <c r="G1116">
        <v>24</v>
      </c>
      <c r="H1116">
        <v>0</v>
      </c>
      <c r="I1116" t="s">
        <v>3147</v>
      </c>
      <c r="J1116" t="str">
        <f>"100009495"</f>
        <v>100009495</v>
      </c>
      <c r="K1116" s="1">
        <v>47687</v>
      </c>
      <c r="M1116" s="1">
        <v>45862</v>
      </c>
      <c r="N1116" t="str">
        <f t="shared" si="188"/>
        <v>1329002002</v>
      </c>
      <c r="O1116">
        <v>24</v>
      </c>
      <c r="P1116" s="2">
        <v>46239.571643518517</v>
      </c>
      <c r="Q1116" s="2">
        <v>46239.649085648147</v>
      </c>
      <c r="R1116" s="2">
        <v>46239.571643518517</v>
      </c>
      <c r="S1116">
        <v>0</v>
      </c>
      <c r="T1116" t="s">
        <v>2079</v>
      </c>
      <c r="U1116" t="s">
        <v>2079</v>
      </c>
      <c r="W1116" t="str">
        <f t="shared" si="189"/>
        <v>400932</v>
      </c>
      <c r="X1116" t="s">
        <v>37</v>
      </c>
      <c r="AD1116" s="2">
        <v>46239.649085648147</v>
      </c>
    </row>
    <row r="1117" spans="1:30" x14ac:dyDescent="0.35">
      <c r="A1117" t="s">
        <v>2182</v>
      </c>
      <c r="B1117" t="s">
        <v>31</v>
      </c>
      <c r="C1117" t="s">
        <v>3148</v>
      </c>
      <c r="D1117" t="s">
        <v>33</v>
      </c>
      <c r="E1117" t="str">
        <f t="shared" si="187"/>
        <v>400932</v>
      </c>
      <c r="F1117" t="s">
        <v>1205</v>
      </c>
      <c r="G1117">
        <v>24</v>
      </c>
      <c r="H1117">
        <v>0</v>
      </c>
      <c r="I1117" t="s">
        <v>3149</v>
      </c>
      <c r="J1117" t="str">
        <f>"100008855"</f>
        <v>100008855</v>
      </c>
      <c r="K1117" s="1">
        <v>47628</v>
      </c>
      <c r="M1117" s="1">
        <v>45803</v>
      </c>
      <c r="N1117" t="str">
        <f t="shared" si="188"/>
        <v>1329002002</v>
      </c>
      <c r="O1117">
        <v>24</v>
      </c>
      <c r="P1117" s="2">
        <v>46239.562824074077</v>
      </c>
      <c r="Q1117" s="2">
        <v>46239.655370370368</v>
      </c>
      <c r="R1117" s="2">
        <v>46239.562824074077</v>
      </c>
      <c r="S1117">
        <v>0</v>
      </c>
      <c r="T1117" t="s">
        <v>2079</v>
      </c>
      <c r="U1117" t="s">
        <v>2079</v>
      </c>
      <c r="W1117" t="str">
        <f t="shared" si="189"/>
        <v>400932</v>
      </c>
      <c r="X1117" t="s">
        <v>37</v>
      </c>
      <c r="AD1117" s="2">
        <v>46239.655370370368</v>
      </c>
    </row>
    <row r="1118" spans="1:30" x14ac:dyDescent="0.35">
      <c r="A1118" t="s">
        <v>2182</v>
      </c>
      <c r="B1118" t="s">
        <v>31</v>
      </c>
      <c r="C1118" t="s">
        <v>3150</v>
      </c>
      <c r="D1118" t="s">
        <v>33</v>
      </c>
      <c r="E1118" t="str">
        <f t="shared" si="187"/>
        <v>400932</v>
      </c>
      <c r="F1118" t="s">
        <v>1205</v>
      </c>
      <c r="G1118">
        <v>2</v>
      </c>
      <c r="H1118">
        <v>0</v>
      </c>
      <c r="I1118" t="s">
        <v>3151</v>
      </c>
      <c r="J1118" t="str">
        <f>"100009495"</f>
        <v>100009495</v>
      </c>
      <c r="K1118" s="1">
        <v>47687</v>
      </c>
      <c r="M1118" s="1">
        <v>45862</v>
      </c>
      <c r="N1118" t="str">
        <f t="shared" si="188"/>
        <v>1329002002</v>
      </c>
      <c r="O1118">
        <v>2</v>
      </c>
      <c r="P1118" s="2">
        <v>46239.569872685184</v>
      </c>
      <c r="Q1118" s="2">
        <v>46239.677546296298</v>
      </c>
      <c r="R1118" s="2">
        <v>46239.569872685184</v>
      </c>
      <c r="S1118">
        <v>2</v>
      </c>
      <c r="T1118" t="s">
        <v>2079</v>
      </c>
      <c r="U1118" t="s">
        <v>2079</v>
      </c>
      <c r="W1118" t="str">
        <f t="shared" si="189"/>
        <v>400932</v>
      </c>
      <c r="X1118" t="s">
        <v>37</v>
      </c>
      <c r="AD1118" s="2">
        <v>46239.677546296298</v>
      </c>
    </row>
    <row r="1119" spans="1:30" x14ac:dyDescent="0.35">
      <c r="A1119" t="s">
        <v>2182</v>
      </c>
      <c r="B1119" t="s">
        <v>31</v>
      </c>
      <c r="C1119" t="s">
        <v>3152</v>
      </c>
      <c r="D1119" t="s">
        <v>33</v>
      </c>
      <c r="E1119" t="str">
        <f>"400508"</f>
        <v>400508</v>
      </c>
      <c r="F1119" t="s">
        <v>586</v>
      </c>
      <c r="G1119">
        <v>4</v>
      </c>
      <c r="H1119">
        <v>0</v>
      </c>
      <c r="I1119" t="s">
        <v>2326</v>
      </c>
      <c r="J1119" t="str">
        <f>"153000431"</f>
        <v>153000431</v>
      </c>
      <c r="K1119" s="1">
        <v>48032</v>
      </c>
      <c r="M1119" s="1">
        <v>46207</v>
      </c>
      <c r="N1119" t="str">
        <f>"1329001991"</f>
        <v>1329001991</v>
      </c>
      <c r="O1119">
        <v>4</v>
      </c>
      <c r="P1119" s="2">
        <v>46231.576631944445</v>
      </c>
      <c r="Q1119" s="2">
        <v>46240.384618055556</v>
      </c>
      <c r="R1119" s="2">
        <v>46231.576631944445</v>
      </c>
      <c r="S1119">
        <v>0</v>
      </c>
      <c r="T1119" t="s">
        <v>2079</v>
      </c>
      <c r="U1119" t="s">
        <v>2079</v>
      </c>
      <c r="W1119" t="str">
        <f>"400508"</f>
        <v>400508</v>
      </c>
      <c r="X1119" t="s">
        <v>41</v>
      </c>
      <c r="AD1119" s="2">
        <v>46240.384618055556</v>
      </c>
    </row>
    <row r="1120" spans="1:30" x14ac:dyDescent="0.35">
      <c r="A1120" t="s">
        <v>2182</v>
      </c>
      <c r="B1120" t="s">
        <v>31</v>
      </c>
      <c r="C1120" t="s">
        <v>3153</v>
      </c>
      <c r="D1120" t="s">
        <v>33</v>
      </c>
      <c r="E1120" t="str">
        <f>"400508"</f>
        <v>400508</v>
      </c>
      <c r="F1120" t="s">
        <v>586</v>
      </c>
      <c r="G1120">
        <v>4</v>
      </c>
      <c r="H1120">
        <v>0</v>
      </c>
      <c r="I1120" t="s">
        <v>2326</v>
      </c>
      <c r="J1120" t="str">
        <f>"153000431"</f>
        <v>153000431</v>
      </c>
      <c r="K1120" s="1">
        <v>48032</v>
      </c>
      <c r="M1120" s="1">
        <v>46207</v>
      </c>
      <c r="N1120" t="str">
        <f>"1329001991"</f>
        <v>1329001991</v>
      </c>
      <c r="O1120">
        <v>4</v>
      </c>
      <c r="P1120" s="2">
        <v>46231.576863425929</v>
      </c>
      <c r="Q1120" s="2">
        <v>46240.386504629627</v>
      </c>
      <c r="R1120" s="2">
        <v>46231.576863425929</v>
      </c>
      <c r="S1120">
        <v>0</v>
      </c>
      <c r="T1120" t="s">
        <v>2079</v>
      </c>
      <c r="U1120" t="s">
        <v>2079</v>
      </c>
      <c r="W1120" t="str">
        <f>"400508"</f>
        <v>400508</v>
      </c>
      <c r="X1120" t="s">
        <v>41</v>
      </c>
      <c r="AD1120" s="2">
        <v>46240.386493055557</v>
      </c>
    </row>
    <row r="1121" spans="1:30" x14ac:dyDescent="0.35">
      <c r="A1121" t="s">
        <v>2182</v>
      </c>
      <c r="B1121" t="s">
        <v>31</v>
      </c>
      <c r="C1121" t="s">
        <v>3154</v>
      </c>
      <c r="D1121" t="s">
        <v>33</v>
      </c>
      <c r="E1121" t="str">
        <f>"400508"</f>
        <v>400508</v>
      </c>
      <c r="F1121" t="s">
        <v>586</v>
      </c>
      <c r="G1121">
        <v>4</v>
      </c>
      <c r="H1121">
        <v>0</v>
      </c>
      <c r="I1121" t="s">
        <v>2326</v>
      </c>
      <c r="J1121" t="str">
        <f>"153000431"</f>
        <v>153000431</v>
      </c>
      <c r="K1121" s="1">
        <v>48032</v>
      </c>
      <c r="M1121" s="1">
        <v>46207</v>
      </c>
      <c r="N1121" t="str">
        <f>"1329001991"</f>
        <v>1329001991</v>
      </c>
      <c r="O1121">
        <v>4</v>
      </c>
      <c r="P1121" s="2">
        <v>46231.576099537036</v>
      </c>
      <c r="Q1121" s="2">
        <v>46240.388194444444</v>
      </c>
      <c r="R1121" s="2">
        <v>46231.576099537036</v>
      </c>
      <c r="S1121">
        <v>0</v>
      </c>
      <c r="T1121" t="s">
        <v>2079</v>
      </c>
      <c r="U1121" t="s">
        <v>2079</v>
      </c>
      <c r="W1121" t="str">
        <f>"400508"</f>
        <v>400508</v>
      </c>
      <c r="X1121" t="s">
        <v>41</v>
      </c>
      <c r="AD1121" s="2">
        <v>46240.388194444444</v>
      </c>
    </row>
    <row r="1122" spans="1:30" x14ac:dyDescent="0.35">
      <c r="A1122" t="s">
        <v>2182</v>
      </c>
      <c r="B1122" t="s">
        <v>31</v>
      </c>
      <c r="C1122" t="s">
        <v>3155</v>
      </c>
      <c r="D1122" t="s">
        <v>33</v>
      </c>
      <c r="E1122" t="str">
        <f>"400508"</f>
        <v>400508</v>
      </c>
      <c r="F1122" t="s">
        <v>586</v>
      </c>
      <c r="G1122">
        <v>4</v>
      </c>
      <c r="H1122">
        <v>0</v>
      </c>
      <c r="I1122" t="s">
        <v>2326</v>
      </c>
      <c r="J1122" t="str">
        <f>"153000431"</f>
        <v>153000431</v>
      </c>
      <c r="K1122" s="1">
        <v>48032</v>
      </c>
      <c r="M1122" s="1">
        <v>46207</v>
      </c>
      <c r="N1122" t="str">
        <f>"1329001991"</f>
        <v>1329001991</v>
      </c>
      <c r="O1122">
        <v>4</v>
      </c>
      <c r="P1122" s="2">
        <v>46231.576354166667</v>
      </c>
      <c r="Q1122" s="2">
        <v>46240.390034722222</v>
      </c>
      <c r="R1122" s="2">
        <v>46231.576354166667</v>
      </c>
      <c r="S1122">
        <v>0</v>
      </c>
      <c r="T1122" t="s">
        <v>2079</v>
      </c>
      <c r="U1122" t="s">
        <v>2079</v>
      </c>
      <c r="W1122" t="str">
        <f>"400508"</f>
        <v>400508</v>
      </c>
      <c r="X1122" t="s">
        <v>41</v>
      </c>
      <c r="AD1122" s="2">
        <v>46240.390034722222</v>
      </c>
    </row>
    <row r="1123" spans="1:30" x14ac:dyDescent="0.35">
      <c r="A1123" t="s">
        <v>2182</v>
      </c>
      <c r="B1123" t="s">
        <v>31</v>
      </c>
      <c r="C1123" t="s">
        <v>3156</v>
      </c>
      <c r="D1123" t="s">
        <v>33</v>
      </c>
      <c r="E1123" t="str">
        <f t="shared" ref="E1123:E1128" si="190">"400456"</f>
        <v>400456</v>
      </c>
      <c r="F1123" t="s">
        <v>3157</v>
      </c>
      <c r="G1123">
        <v>30</v>
      </c>
      <c r="H1123">
        <v>0</v>
      </c>
      <c r="I1123" t="s">
        <v>2353</v>
      </c>
      <c r="J1123" t="str">
        <f t="shared" ref="J1123:J1128" si="191">"100005661"</f>
        <v>100005661</v>
      </c>
      <c r="K1123" s="1">
        <v>47290</v>
      </c>
      <c r="M1123" s="1">
        <v>45465</v>
      </c>
      <c r="N1123" t="str">
        <f t="shared" ref="N1123:N1138" si="192">"1329002003"</f>
        <v>1329002003</v>
      </c>
      <c r="O1123">
        <v>30</v>
      </c>
      <c r="P1123" s="2">
        <v>46240.31422453704</v>
      </c>
      <c r="Q1123" s="2">
        <v>46240.413553240738</v>
      </c>
      <c r="R1123" s="2">
        <v>46240.31422453704</v>
      </c>
      <c r="S1123">
        <v>0</v>
      </c>
      <c r="T1123" t="s">
        <v>2079</v>
      </c>
      <c r="U1123" t="s">
        <v>2079</v>
      </c>
      <c r="W1123" t="str">
        <f t="shared" ref="W1123:W1128" si="193">"400456"</f>
        <v>400456</v>
      </c>
      <c r="X1123" t="s">
        <v>37</v>
      </c>
      <c r="AD1123" s="2">
        <v>46240.413553240738</v>
      </c>
    </row>
    <row r="1124" spans="1:30" x14ac:dyDescent="0.35">
      <c r="A1124" t="s">
        <v>2182</v>
      </c>
      <c r="B1124" t="s">
        <v>31</v>
      </c>
      <c r="C1124" t="s">
        <v>3158</v>
      </c>
      <c r="D1124" t="s">
        <v>33</v>
      </c>
      <c r="E1124" t="str">
        <f t="shared" si="190"/>
        <v>400456</v>
      </c>
      <c r="F1124" t="s">
        <v>3157</v>
      </c>
      <c r="G1124">
        <v>30</v>
      </c>
      <c r="H1124">
        <v>0</v>
      </c>
      <c r="I1124" t="s">
        <v>2319</v>
      </c>
      <c r="J1124" t="str">
        <f t="shared" si="191"/>
        <v>100005661</v>
      </c>
      <c r="K1124" s="1">
        <v>47290</v>
      </c>
      <c r="M1124" s="1">
        <v>45465</v>
      </c>
      <c r="N1124" t="str">
        <f t="shared" si="192"/>
        <v>1329002003</v>
      </c>
      <c r="O1124">
        <v>30</v>
      </c>
      <c r="P1124" s="2">
        <v>46240.314930555556</v>
      </c>
      <c r="Q1124" s="2">
        <v>46240.45380787037</v>
      </c>
      <c r="R1124" s="2">
        <v>46240.314930555556</v>
      </c>
      <c r="S1124">
        <v>0</v>
      </c>
      <c r="T1124" t="s">
        <v>2079</v>
      </c>
      <c r="U1124" t="s">
        <v>2079</v>
      </c>
      <c r="W1124" t="str">
        <f t="shared" si="193"/>
        <v>400456</v>
      </c>
      <c r="X1124" t="s">
        <v>37</v>
      </c>
      <c r="AD1124" s="2">
        <v>46240.45380787037</v>
      </c>
    </row>
    <row r="1125" spans="1:30" x14ac:dyDescent="0.35">
      <c r="A1125" t="s">
        <v>2182</v>
      </c>
      <c r="B1125" t="s">
        <v>31</v>
      </c>
      <c r="C1125" t="s">
        <v>3159</v>
      </c>
      <c r="D1125" t="s">
        <v>33</v>
      </c>
      <c r="E1125" t="str">
        <f t="shared" si="190"/>
        <v>400456</v>
      </c>
      <c r="F1125" t="s">
        <v>3157</v>
      </c>
      <c r="G1125">
        <v>30</v>
      </c>
      <c r="H1125">
        <v>0</v>
      </c>
      <c r="I1125" t="s">
        <v>2418</v>
      </c>
      <c r="J1125" t="str">
        <f t="shared" si="191"/>
        <v>100005661</v>
      </c>
      <c r="K1125" s="1">
        <v>47290</v>
      </c>
      <c r="M1125" s="1">
        <v>45465</v>
      </c>
      <c r="N1125" t="str">
        <f t="shared" si="192"/>
        <v>1329002003</v>
      </c>
      <c r="O1125">
        <v>30</v>
      </c>
      <c r="P1125" s="2">
        <v>46240.315381944441</v>
      </c>
      <c r="Q1125" s="2">
        <v>46240.455370370371</v>
      </c>
      <c r="R1125" s="2">
        <v>46240.315381944441</v>
      </c>
      <c r="S1125">
        <v>0</v>
      </c>
      <c r="T1125" t="s">
        <v>2079</v>
      </c>
      <c r="U1125" t="s">
        <v>2079</v>
      </c>
      <c r="W1125" t="str">
        <f t="shared" si="193"/>
        <v>400456</v>
      </c>
      <c r="X1125" t="s">
        <v>37</v>
      </c>
      <c r="AD1125" s="2">
        <v>46240.455370370371</v>
      </c>
    </row>
    <row r="1126" spans="1:30" x14ac:dyDescent="0.35">
      <c r="A1126" t="s">
        <v>2182</v>
      </c>
      <c r="B1126" t="s">
        <v>31</v>
      </c>
      <c r="C1126" t="s">
        <v>3160</v>
      </c>
      <c r="D1126" t="s">
        <v>33</v>
      </c>
      <c r="E1126" t="str">
        <f t="shared" si="190"/>
        <v>400456</v>
      </c>
      <c r="F1126" t="s">
        <v>3157</v>
      </c>
      <c r="G1126">
        <v>30</v>
      </c>
      <c r="H1126">
        <v>0</v>
      </c>
      <c r="I1126" t="s">
        <v>2393</v>
      </c>
      <c r="J1126" t="str">
        <f t="shared" si="191"/>
        <v>100005661</v>
      </c>
      <c r="K1126" s="1">
        <v>47290</v>
      </c>
      <c r="M1126" s="1">
        <v>45465</v>
      </c>
      <c r="N1126" t="str">
        <f t="shared" si="192"/>
        <v>1329002003</v>
      </c>
      <c r="O1126">
        <v>30</v>
      </c>
      <c r="P1126" s="2">
        <v>46240.316099537034</v>
      </c>
      <c r="Q1126" s="2">
        <v>46240.458969907406</v>
      </c>
      <c r="R1126" s="2">
        <v>46240.316099537034</v>
      </c>
      <c r="S1126">
        <v>0</v>
      </c>
      <c r="T1126" t="s">
        <v>2079</v>
      </c>
      <c r="U1126" t="s">
        <v>2079</v>
      </c>
      <c r="W1126" t="str">
        <f t="shared" si="193"/>
        <v>400456</v>
      </c>
      <c r="X1126" t="s">
        <v>37</v>
      </c>
      <c r="AD1126" s="2">
        <v>46240.458969907406</v>
      </c>
    </row>
    <row r="1127" spans="1:30" x14ac:dyDescent="0.35">
      <c r="A1127" t="s">
        <v>2182</v>
      </c>
      <c r="B1127" t="s">
        <v>31</v>
      </c>
      <c r="C1127" t="s">
        <v>3161</v>
      </c>
      <c r="D1127" t="s">
        <v>33</v>
      </c>
      <c r="E1127" t="str">
        <f t="shared" si="190"/>
        <v>400456</v>
      </c>
      <c r="F1127" t="s">
        <v>3157</v>
      </c>
      <c r="G1127">
        <v>30</v>
      </c>
      <c r="H1127">
        <v>0</v>
      </c>
      <c r="I1127" t="s">
        <v>2417</v>
      </c>
      <c r="J1127" t="str">
        <f t="shared" si="191"/>
        <v>100005661</v>
      </c>
      <c r="K1127" s="1">
        <v>47290</v>
      </c>
      <c r="M1127" s="1">
        <v>45465</v>
      </c>
      <c r="N1127" t="str">
        <f t="shared" si="192"/>
        <v>1329002003</v>
      </c>
      <c r="O1127">
        <v>30</v>
      </c>
      <c r="P1127" s="2">
        <v>46240.317083333335</v>
      </c>
      <c r="Q1127" s="2">
        <v>46240.462824074071</v>
      </c>
      <c r="R1127" s="2">
        <v>46240.317083333335</v>
      </c>
      <c r="S1127">
        <v>0</v>
      </c>
      <c r="T1127" t="s">
        <v>2079</v>
      </c>
      <c r="U1127" t="s">
        <v>2079</v>
      </c>
      <c r="W1127" t="str">
        <f t="shared" si="193"/>
        <v>400456</v>
      </c>
      <c r="X1127" t="s">
        <v>37</v>
      </c>
      <c r="AD1127" s="2">
        <v>46240.462824074071</v>
      </c>
    </row>
    <row r="1128" spans="1:30" x14ac:dyDescent="0.35">
      <c r="A1128" t="s">
        <v>2182</v>
      </c>
      <c r="B1128" t="s">
        <v>31</v>
      </c>
      <c r="C1128" t="s">
        <v>3162</v>
      </c>
      <c r="D1128" t="s">
        <v>33</v>
      </c>
      <c r="E1128" t="str">
        <f t="shared" si="190"/>
        <v>400456</v>
      </c>
      <c r="F1128" t="s">
        <v>3157</v>
      </c>
      <c r="G1128">
        <v>30</v>
      </c>
      <c r="H1128">
        <v>0</v>
      </c>
      <c r="I1128" t="s">
        <v>2380</v>
      </c>
      <c r="J1128" t="str">
        <f t="shared" si="191"/>
        <v>100005661</v>
      </c>
      <c r="K1128" s="1">
        <v>47290</v>
      </c>
      <c r="M1128" s="1">
        <v>45465</v>
      </c>
      <c r="N1128" t="str">
        <f t="shared" si="192"/>
        <v>1329002003</v>
      </c>
      <c r="O1128">
        <v>30</v>
      </c>
      <c r="P1128" s="2">
        <v>46240.317824074074</v>
      </c>
      <c r="Q1128" s="2">
        <v>46240.468541666669</v>
      </c>
      <c r="R1128" s="2">
        <v>46240.317824074074</v>
      </c>
      <c r="S1128">
        <v>0</v>
      </c>
      <c r="T1128" t="s">
        <v>2079</v>
      </c>
      <c r="U1128" t="s">
        <v>2079</v>
      </c>
      <c r="W1128" t="str">
        <f t="shared" si="193"/>
        <v>400456</v>
      </c>
      <c r="X1128" t="s">
        <v>37</v>
      </c>
      <c r="AD1128" s="2">
        <v>46240.468541666669</v>
      </c>
    </row>
    <row r="1129" spans="1:30" x14ac:dyDescent="0.35">
      <c r="A1129" t="s">
        <v>2182</v>
      </c>
      <c r="B1129" t="s">
        <v>31</v>
      </c>
      <c r="C1129" t="s">
        <v>3163</v>
      </c>
      <c r="D1129" t="s">
        <v>33</v>
      </c>
      <c r="E1129" t="str">
        <f>"400932"</f>
        <v>400932</v>
      </c>
      <c r="F1129" t="s">
        <v>1205</v>
      </c>
      <c r="G1129">
        <v>24</v>
      </c>
      <c r="H1129">
        <v>0</v>
      </c>
      <c r="I1129" t="s">
        <v>3135</v>
      </c>
      <c r="J1129" t="str">
        <f>"100009495"</f>
        <v>100009495</v>
      </c>
      <c r="K1129" s="1">
        <v>47687</v>
      </c>
      <c r="M1129" s="1">
        <v>45862</v>
      </c>
      <c r="N1129" t="str">
        <f t="shared" si="192"/>
        <v>1329002003</v>
      </c>
      <c r="O1129">
        <v>24</v>
      </c>
      <c r="P1129" s="2">
        <v>46240.318252314813</v>
      </c>
      <c r="Q1129" s="2">
        <v>46240.556990740741</v>
      </c>
      <c r="R1129" s="2">
        <v>46240.318252314813</v>
      </c>
      <c r="S1129">
        <v>0</v>
      </c>
      <c r="T1129" t="s">
        <v>2079</v>
      </c>
      <c r="U1129" t="s">
        <v>2079</v>
      </c>
      <c r="W1129" t="str">
        <f>"400932"</f>
        <v>400932</v>
      </c>
      <c r="X1129" t="s">
        <v>37</v>
      </c>
      <c r="AD1129" s="2">
        <v>46240.556990740741</v>
      </c>
    </row>
    <row r="1130" spans="1:30" x14ac:dyDescent="0.35">
      <c r="A1130" t="s">
        <v>2182</v>
      </c>
      <c r="B1130" t="s">
        <v>31</v>
      </c>
      <c r="C1130" t="s">
        <v>3164</v>
      </c>
      <c r="D1130" t="s">
        <v>33</v>
      </c>
      <c r="E1130" t="str">
        <f>"400456"</f>
        <v>400456</v>
      </c>
      <c r="F1130" t="s">
        <v>3157</v>
      </c>
      <c r="G1130">
        <v>30</v>
      </c>
      <c r="H1130">
        <v>0</v>
      </c>
      <c r="I1130" t="s">
        <v>3165</v>
      </c>
      <c r="J1130" t="str">
        <f>"100005661"</f>
        <v>100005661</v>
      </c>
      <c r="K1130" s="1">
        <v>47290</v>
      </c>
      <c r="M1130" s="1">
        <v>45465</v>
      </c>
      <c r="N1130" t="str">
        <f t="shared" si="192"/>
        <v>1329002003</v>
      </c>
      <c r="O1130">
        <v>30</v>
      </c>
      <c r="P1130" s="2">
        <v>46240.318622685183</v>
      </c>
      <c r="Q1130" s="2">
        <v>46240.566944444443</v>
      </c>
      <c r="R1130" s="2">
        <v>46240.318622685183</v>
      </c>
      <c r="S1130">
        <v>0</v>
      </c>
      <c r="T1130" t="s">
        <v>2079</v>
      </c>
      <c r="U1130" t="s">
        <v>2079</v>
      </c>
      <c r="W1130" t="str">
        <f>"400456"</f>
        <v>400456</v>
      </c>
      <c r="X1130" t="s">
        <v>37</v>
      </c>
      <c r="AD1130" s="2">
        <v>46240.566944444443</v>
      </c>
    </row>
    <row r="1131" spans="1:30" x14ac:dyDescent="0.35">
      <c r="A1131" t="s">
        <v>2182</v>
      </c>
      <c r="B1131" t="s">
        <v>31</v>
      </c>
      <c r="C1131" t="s">
        <v>3166</v>
      </c>
      <c r="D1131" t="s">
        <v>33</v>
      </c>
      <c r="E1131" t="str">
        <f>"400456"</f>
        <v>400456</v>
      </c>
      <c r="F1131" t="s">
        <v>3157</v>
      </c>
      <c r="G1131">
        <v>30</v>
      </c>
      <c r="H1131">
        <v>0</v>
      </c>
      <c r="I1131" t="s">
        <v>2989</v>
      </c>
      <c r="J1131" t="str">
        <f>"100005661"</f>
        <v>100005661</v>
      </c>
      <c r="K1131" s="1">
        <v>47290</v>
      </c>
      <c r="M1131" s="1">
        <v>45465</v>
      </c>
      <c r="N1131" t="str">
        <f t="shared" si="192"/>
        <v>1329002003</v>
      </c>
      <c r="O1131">
        <v>30</v>
      </c>
      <c r="P1131" s="2">
        <v>46240.319305555553</v>
      </c>
      <c r="Q1131" s="2">
        <v>46240.57304398148</v>
      </c>
      <c r="R1131" s="2">
        <v>46240.319305555553</v>
      </c>
      <c r="S1131">
        <v>0</v>
      </c>
      <c r="T1131" t="s">
        <v>2079</v>
      </c>
      <c r="U1131" t="s">
        <v>2079</v>
      </c>
      <c r="W1131" t="str">
        <f>"400456"</f>
        <v>400456</v>
      </c>
      <c r="X1131" t="s">
        <v>37</v>
      </c>
      <c r="AD1131" s="2">
        <v>46240.57304398148</v>
      </c>
    </row>
    <row r="1132" spans="1:30" x14ac:dyDescent="0.35">
      <c r="A1132" t="s">
        <v>2182</v>
      </c>
      <c r="B1132" t="s">
        <v>31</v>
      </c>
      <c r="C1132" t="s">
        <v>3167</v>
      </c>
      <c r="D1132" t="s">
        <v>33</v>
      </c>
      <c r="E1132" t="str">
        <f>"400932"</f>
        <v>400932</v>
      </c>
      <c r="F1132" t="s">
        <v>1205</v>
      </c>
      <c r="G1132">
        <v>17</v>
      </c>
      <c r="H1132">
        <v>0</v>
      </c>
      <c r="I1132" t="s">
        <v>2444</v>
      </c>
      <c r="J1132" t="str">
        <f>"100009495"</f>
        <v>100009495</v>
      </c>
      <c r="K1132" s="1">
        <v>47687</v>
      </c>
      <c r="M1132" s="1">
        <v>45862</v>
      </c>
      <c r="N1132" t="str">
        <f t="shared" si="192"/>
        <v>1329002003</v>
      </c>
      <c r="O1132">
        <v>17</v>
      </c>
      <c r="P1132" s="2">
        <v>46240.320937500001</v>
      </c>
      <c r="Q1132" s="2">
        <v>46240.592766203707</v>
      </c>
      <c r="R1132" s="2">
        <v>46240.320937500001</v>
      </c>
      <c r="S1132">
        <v>0</v>
      </c>
      <c r="T1132" t="s">
        <v>2079</v>
      </c>
      <c r="U1132" t="s">
        <v>2079</v>
      </c>
      <c r="W1132" t="str">
        <f>"400932"</f>
        <v>400932</v>
      </c>
      <c r="X1132" t="s">
        <v>37</v>
      </c>
      <c r="AD1132" s="2">
        <v>46240.592766203707</v>
      </c>
    </row>
    <row r="1133" spans="1:30" x14ac:dyDescent="0.35">
      <c r="A1133" t="s">
        <v>2182</v>
      </c>
      <c r="B1133" t="s">
        <v>31</v>
      </c>
      <c r="C1133" t="s">
        <v>3168</v>
      </c>
      <c r="D1133" t="s">
        <v>33</v>
      </c>
      <c r="E1133" t="str">
        <f>"400729"</f>
        <v>400729</v>
      </c>
      <c r="F1133" t="s">
        <v>2285</v>
      </c>
      <c r="G1133">
        <v>52</v>
      </c>
      <c r="H1133">
        <v>0</v>
      </c>
      <c r="I1133" t="s">
        <v>2416</v>
      </c>
      <c r="J1133" t="str">
        <f>"0002203355"</f>
        <v>0002203355</v>
      </c>
      <c r="K1133" s="1">
        <v>47329</v>
      </c>
      <c r="M1133" s="1">
        <v>45504</v>
      </c>
      <c r="N1133" t="str">
        <f t="shared" si="192"/>
        <v>1329002003</v>
      </c>
      <c r="O1133">
        <v>52</v>
      </c>
      <c r="P1133" s="2">
        <v>46240.321342592593</v>
      </c>
      <c r="Q1133" s="2">
        <v>46240.601550925923</v>
      </c>
      <c r="R1133" s="2">
        <v>46240.321342592593</v>
      </c>
      <c r="S1133">
        <v>0</v>
      </c>
      <c r="T1133" t="s">
        <v>2079</v>
      </c>
      <c r="U1133" t="s">
        <v>2079</v>
      </c>
      <c r="W1133" t="str">
        <f>"400729"</f>
        <v>400729</v>
      </c>
      <c r="X1133" t="s">
        <v>37</v>
      </c>
      <c r="AD1133" s="2">
        <v>46240.601550925923</v>
      </c>
    </row>
    <row r="1134" spans="1:30" x14ac:dyDescent="0.35">
      <c r="A1134" t="s">
        <v>2182</v>
      </c>
      <c r="B1134" t="s">
        <v>31</v>
      </c>
      <c r="C1134" t="s">
        <v>3169</v>
      </c>
      <c r="D1134" t="s">
        <v>33</v>
      </c>
      <c r="E1134" t="str">
        <f>"400932"</f>
        <v>400932</v>
      </c>
      <c r="F1134" t="s">
        <v>1205</v>
      </c>
      <c r="G1134">
        <v>24</v>
      </c>
      <c r="H1134">
        <v>0</v>
      </c>
      <c r="I1134" t="s">
        <v>3170</v>
      </c>
      <c r="J1134" t="str">
        <f>"100009495"</f>
        <v>100009495</v>
      </c>
      <c r="K1134" s="1">
        <v>47687</v>
      </c>
      <c r="M1134" s="1">
        <v>45862</v>
      </c>
      <c r="N1134" t="str">
        <f t="shared" si="192"/>
        <v>1329002003</v>
      </c>
      <c r="O1134">
        <v>24</v>
      </c>
      <c r="P1134" s="2">
        <v>46240.319849537038</v>
      </c>
      <c r="Q1134" s="2">
        <v>46240.606469907405</v>
      </c>
      <c r="R1134" s="2">
        <v>46240.319849537038</v>
      </c>
      <c r="S1134">
        <v>0</v>
      </c>
      <c r="T1134" t="s">
        <v>2079</v>
      </c>
      <c r="U1134" t="s">
        <v>2079</v>
      </c>
      <c r="W1134" t="str">
        <f>"400932"</f>
        <v>400932</v>
      </c>
      <c r="X1134" t="s">
        <v>37</v>
      </c>
      <c r="AD1134" s="2">
        <v>46240.606458333335</v>
      </c>
    </row>
    <row r="1135" spans="1:30" x14ac:dyDescent="0.35">
      <c r="A1135" t="s">
        <v>2182</v>
      </c>
      <c r="B1135" t="s">
        <v>31</v>
      </c>
      <c r="C1135" t="s">
        <v>3171</v>
      </c>
      <c r="D1135" t="s">
        <v>33</v>
      </c>
      <c r="E1135" t="str">
        <f>"400932"</f>
        <v>400932</v>
      </c>
      <c r="F1135" t="s">
        <v>1205</v>
      </c>
      <c r="G1135">
        <v>24</v>
      </c>
      <c r="H1135">
        <v>0</v>
      </c>
      <c r="I1135" t="s">
        <v>3172</v>
      </c>
      <c r="J1135" t="str">
        <f>"100009495"</f>
        <v>100009495</v>
      </c>
      <c r="K1135" s="1">
        <v>47687</v>
      </c>
      <c r="M1135" s="1">
        <v>45862</v>
      </c>
      <c r="N1135" t="str">
        <f t="shared" si="192"/>
        <v>1329002003</v>
      </c>
      <c r="O1135">
        <v>24</v>
      </c>
      <c r="P1135" s="2">
        <v>46240.31894675926</v>
      </c>
      <c r="Q1135" s="2">
        <v>46240.610567129632</v>
      </c>
      <c r="R1135" s="2">
        <v>46240.31894675926</v>
      </c>
      <c r="S1135">
        <v>0</v>
      </c>
      <c r="T1135" t="s">
        <v>2079</v>
      </c>
      <c r="U1135" t="s">
        <v>2079</v>
      </c>
      <c r="W1135" t="str">
        <f>"400932"</f>
        <v>400932</v>
      </c>
      <c r="X1135" t="s">
        <v>37</v>
      </c>
      <c r="AD1135" s="2">
        <v>46240.610567129632</v>
      </c>
    </row>
    <row r="1136" spans="1:30" x14ac:dyDescent="0.35">
      <c r="A1136" t="s">
        <v>2182</v>
      </c>
      <c r="B1136" t="s">
        <v>31</v>
      </c>
      <c r="C1136" t="s">
        <v>3173</v>
      </c>
      <c r="D1136" t="s">
        <v>33</v>
      </c>
      <c r="E1136" t="str">
        <f>"400456"</f>
        <v>400456</v>
      </c>
      <c r="F1136" t="s">
        <v>3157</v>
      </c>
      <c r="G1136">
        <v>29</v>
      </c>
      <c r="H1136">
        <v>0</v>
      </c>
      <c r="I1136" t="s">
        <v>3174</v>
      </c>
      <c r="J1136" t="str">
        <f>"100005661"</f>
        <v>100005661</v>
      </c>
      <c r="K1136" s="1">
        <v>47290</v>
      </c>
      <c r="M1136" s="1">
        <v>45465</v>
      </c>
      <c r="N1136" t="str">
        <f t="shared" si="192"/>
        <v>1329002003</v>
      </c>
      <c r="O1136">
        <v>30</v>
      </c>
      <c r="P1136" s="2">
        <v>46240.313344907408</v>
      </c>
      <c r="Q1136" s="2">
        <v>46242.347511574073</v>
      </c>
      <c r="R1136" s="2">
        <v>46240.313344907408</v>
      </c>
      <c r="S1136">
        <v>0</v>
      </c>
      <c r="T1136" t="s">
        <v>2079</v>
      </c>
      <c r="U1136" t="s">
        <v>2079</v>
      </c>
      <c r="W1136" t="str">
        <f>"400456"</f>
        <v>400456</v>
      </c>
      <c r="X1136" t="s">
        <v>37</v>
      </c>
      <c r="AD1136" s="2">
        <v>46242.347511574073</v>
      </c>
    </row>
    <row r="1137" spans="1:30" x14ac:dyDescent="0.35">
      <c r="A1137" t="s">
        <v>2182</v>
      </c>
      <c r="B1137" t="s">
        <v>31</v>
      </c>
      <c r="C1137" t="s">
        <v>3175</v>
      </c>
      <c r="D1137" t="s">
        <v>33</v>
      </c>
      <c r="E1137" t="str">
        <f>"400456"</f>
        <v>400456</v>
      </c>
      <c r="F1137" t="s">
        <v>3157</v>
      </c>
      <c r="G1137">
        <v>1</v>
      </c>
      <c r="H1137">
        <v>0</v>
      </c>
      <c r="I1137" t="s">
        <v>3176</v>
      </c>
      <c r="J1137" t="str">
        <f>"100005661"</f>
        <v>100005661</v>
      </c>
      <c r="K1137" s="1">
        <v>47290</v>
      </c>
      <c r="M1137" s="1">
        <v>45465</v>
      </c>
      <c r="N1137" t="str">
        <f t="shared" si="192"/>
        <v>1329002003</v>
      </c>
      <c r="O1137">
        <v>0</v>
      </c>
      <c r="P1137" s="2">
        <v>46242.336261574077</v>
      </c>
      <c r="Q1137" s="2">
        <v>46242.351319444446</v>
      </c>
      <c r="S1137">
        <v>1</v>
      </c>
      <c r="U1137" t="s">
        <v>2079</v>
      </c>
      <c r="W1137" t="str">
        <f>"400456"</f>
        <v>400456</v>
      </c>
      <c r="X1137" t="s">
        <v>37</v>
      </c>
      <c r="AD1137" s="2">
        <v>46242.351319444446</v>
      </c>
    </row>
    <row r="1138" spans="1:30" x14ac:dyDescent="0.35">
      <c r="A1138" t="s">
        <v>2182</v>
      </c>
      <c r="B1138" t="s">
        <v>31</v>
      </c>
      <c r="C1138" t="s">
        <v>3177</v>
      </c>
      <c r="D1138" t="s">
        <v>33</v>
      </c>
      <c r="E1138" t="str">
        <f>"400456"</f>
        <v>400456</v>
      </c>
      <c r="F1138" t="s">
        <v>3157</v>
      </c>
      <c r="G1138">
        <v>14</v>
      </c>
      <c r="H1138">
        <v>0</v>
      </c>
      <c r="I1138" t="s">
        <v>2356</v>
      </c>
      <c r="J1138" t="str">
        <f>"100005661"</f>
        <v>100005661</v>
      </c>
      <c r="K1138" s="1">
        <v>47290</v>
      </c>
      <c r="M1138" s="1">
        <v>45465</v>
      </c>
      <c r="N1138" t="str">
        <f t="shared" si="192"/>
        <v>1329002003</v>
      </c>
      <c r="O1138">
        <v>14</v>
      </c>
      <c r="P1138" s="2">
        <v>46240.310578703706</v>
      </c>
      <c r="Q1138" s="2">
        <v>46242.361226851855</v>
      </c>
      <c r="R1138" s="2">
        <v>46240.310578703706</v>
      </c>
      <c r="S1138">
        <v>0</v>
      </c>
      <c r="T1138" t="s">
        <v>2079</v>
      </c>
      <c r="U1138" t="s">
        <v>2079</v>
      </c>
      <c r="W1138" t="str">
        <f>"400456"</f>
        <v>400456</v>
      </c>
      <c r="X1138" t="s">
        <v>37</v>
      </c>
      <c r="AD1138" s="2">
        <v>46242.361226851855</v>
      </c>
    </row>
    <row r="1139" spans="1:30" x14ac:dyDescent="0.35">
      <c r="A1139" t="s">
        <v>2182</v>
      </c>
      <c r="B1139" t="s">
        <v>31</v>
      </c>
      <c r="C1139" t="s">
        <v>3178</v>
      </c>
      <c r="D1139" t="s">
        <v>2883</v>
      </c>
      <c r="E1139" t="str">
        <f>"400503"</f>
        <v>400503</v>
      </c>
      <c r="F1139" t="s">
        <v>1295</v>
      </c>
      <c r="G1139">
        <v>30</v>
      </c>
      <c r="H1139">
        <v>0</v>
      </c>
      <c r="J1139" t="str">
        <f>"100005436"</f>
        <v>100005436</v>
      </c>
      <c r="K1139" s="1">
        <v>47262</v>
      </c>
      <c r="M1139" s="1">
        <v>45437</v>
      </c>
      <c r="N1139" t="str">
        <f t="shared" ref="N1139:N1147" si="194">"1329002019"</f>
        <v>1329002019</v>
      </c>
      <c r="O1139">
        <v>30</v>
      </c>
      <c r="P1139" s="2">
        <v>46244.350983796299</v>
      </c>
      <c r="Q1139" s="2">
        <v>46244.350995370369</v>
      </c>
      <c r="R1139" s="2">
        <v>46244.350983796299</v>
      </c>
      <c r="S1139">
        <v>0</v>
      </c>
      <c r="T1139" t="s">
        <v>2079</v>
      </c>
      <c r="U1139" t="s">
        <v>2079</v>
      </c>
      <c r="W1139" t="str">
        <f>"400503"</f>
        <v>400503</v>
      </c>
      <c r="X1139" t="s">
        <v>37</v>
      </c>
    </row>
    <row r="1140" spans="1:30" x14ac:dyDescent="0.35">
      <c r="A1140" t="s">
        <v>2182</v>
      </c>
      <c r="B1140" t="s">
        <v>31</v>
      </c>
      <c r="C1140" t="s">
        <v>3179</v>
      </c>
      <c r="D1140" t="s">
        <v>2883</v>
      </c>
      <c r="E1140" t="str">
        <f>"400447"</f>
        <v>400447</v>
      </c>
      <c r="F1140" t="s">
        <v>3180</v>
      </c>
      <c r="G1140">
        <v>30</v>
      </c>
      <c r="H1140">
        <v>0</v>
      </c>
      <c r="J1140" t="str">
        <f>"100005423"</f>
        <v>100005423</v>
      </c>
      <c r="K1140" s="1">
        <v>47260</v>
      </c>
      <c r="M1140" s="1">
        <v>45435</v>
      </c>
      <c r="N1140" t="str">
        <f t="shared" si="194"/>
        <v>1329002019</v>
      </c>
      <c r="O1140">
        <v>30</v>
      </c>
      <c r="P1140" s="2">
        <v>46244.351701388892</v>
      </c>
      <c r="Q1140" s="2">
        <v>46244.351701388892</v>
      </c>
      <c r="R1140" s="2">
        <v>46244.351701388892</v>
      </c>
      <c r="S1140">
        <v>0</v>
      </c>
      <c r="T1140" t="s">
        <v>2079</v>
      </c>
      <c r="U1140" t="s">
        <v>2079</v>
      </c>
      <c r="W1140" t="str">
        <f>"400447"</f>
        <v>400447</v>
      </c>
      <c r="X1140" t="s">
        <v>37</v>
      </c>
    </row>
    <row r="1141" spans="1:30" x14ac:dyDescent="0.35">
      <c r="A1141" t="s">
        <v>2182</v>
      </c>
      <c r="B1141" t="s">
        <v>31</v>
      </c>
      <c r="C1141" t="s">
        <v>3181</v>
      </c>
      <c r="D1141" t="s">
        <v>2883</v>
      </c>
      <c r="E1141" t="str">
        <f>"400460"</f>
        <v>400460</v>
      </c>
      <c r="F1141" t="s">
        <v>3182</v>
      </c>
      <c r="G1141">
        <v>30</v>
      </c>
      <c r="H1141">
        <v>0</v>
      </c>
      <c r="J1141" t="str">
        <f>"100005422"</f>
        <v>100005422</v>
      </c>
      <c r="K1141" s="1">
        <v>47260</v>
      </c>
      <c r="M1141" s="1">
        <v>45435</v>
      </c>
      <c r="N1141" t="str">
        <f t="shared" si="194"/>
        <v>1329002019</v>
      </c>
      <c r="O1141">
        <v>30</v>
      </c>
      <c r="P1141" s="2">
        <v>46244.355729166666</v>
      </c>
      <c r="Q1141" s="2">
        <v>46244.355729166666</v>
      </c>
      <c r="R1141" s="2">
        <v>46244.355729166666</v>
      </c>
      <c r="S1141">
        <v>0</v>
      </c>
      <c r="T1141" t="s">
        <v>2079</v>
      </c>
      <c r="U1141" t="s">
        <v>2079</v>
      </c>
      <c r="W1141" t="str">
        <f>"400460"</f>
        <v>400460</v>
      </c>
      <c r="X1141" t="s">
        <v>37</v>
      </c>
    </row>
    <row r="1142" spans="1:30" x14ac:dyDescent="0.35">
      <c r="A1142" t="s">
        <v>2182</v>
      </c>
      <c r="B1142" t="s">
        <v>31</v>
      </c>
      <c r="C1142" t="s">
        <v>3183</v>
      </c>
      <c r="D1142" t="s">
        <v>2883</v>
      </c>
      <c r="E1142" t="str">
        <f>"400448"</f>
        <v>400448</v>
      </c>
      <c r="F1142" t="s">
        <v>1346</v>
      </c>
      <c r="G1142">
        <v>40</v>
      </c>
      <c r="H1142">
        <v>0</v>
      </c>
      <c r="J1142" t="str">
        <f>"100005435"</f>
        <v>100005435</v>
      </c>
      <c r="K1142" s="1">
        <v>47263</v>
      </c>
      <c r="M1142" s="1">
        <v>45438</v>
      </c>
      <c r="N1142" t="str">
        <f t="shared" si="194"/>
        <v>1329002019</v>
      </c>
      <c r="O1142">
        <v>40</v>
      </c>
      <c r="P1142" s="2">
        <v>46244.357233796298</v>
      </c>
      <c r="Q1142" s="2">
        <v>46244.357233796298</v>
      </c>
      <c r="R1142" s="2">
        <v>46244.357233796298</v>
      </c>
      <c r="S1142">
        <v>0</v>
      </c>
      <c r="T1142" t="s">
        <v>2079</v>
      </c>
      <c r="U1142" t="s">
        <v>2079</v>
      </c>
      <c r="W1142" t="str">
        <f>"400448"</f>
        <v>400448</v>
      </c>
      <c r="X1142" t="s">
        <v>37</v>
      </c>
    </row>
    <row r="1143" spans="1:30" x14ac:dyDescent="0.35">
      <c r="A1143" t="s">
        <v>2182</v>
      </c>
      <c r="B1143" t="s">
        <v>31</v>
      </c>
      <c r="C1143" t="s">
        <v>3184</v>
      </c>
      <c r="D1143" t="s">
        <v>2883</v>
      </c>
      <c r="E1143" t="str">
        <f>"400460"</f>
        <v>400460</v>
      </c>
      <c r="F1143" t="s">
        <v>3182</v>
      </c>
      <c r="G1143">
        <v>30</v>
      </c>
      <c r="H1143">
        <v>0</v>
      </c>
      <c r="J1143" t="str">
        <f>"100005422"</f>
        <v>100005422</v>
      </c>
      <c r="K1143" s="1">
        <v>47260</v>
      </c>
      <c r="M1143" s="1">
        <v>45435</v>
      </c>
      <c r="N1143" t="str">
        <f t="shared" si="194"/>
        <v>1329002019</v>
      </c>
      <c r="O1143">
        <v>30</v>
      </c>
      <c r="P1143" s="2">
        <v>46244.35800925926</v>
      </c>
      <c r="Q1143" s="2">
        <v>46244.35800925926</v>
      </c>
      <c r="R1143" s="2">
        <v>46244.35800925926</v>
      </c>
      <c r="S1143">
        <v>0</v>
      </c>
      <c r="T1143" t="s">
        <v>2079</v>
      </c>
      <c r="U1143" t="s">
        <v>2079</v>
      </c>
      <c r="W1143" t="str">
        <f>"400460"</f>
        <v>400460</v>
      </c>
      <c r="X1143" t="s">
        <v>37</v>
      </c>
    </row>
    <row r="1144" spans="1:30" x14ac:dyDescent="0.35">
      <c r="A1144" t="s">
        <v>2182</v>
      </c>
      <c r="B1144" t="s">
        <v>31</v>
      </c>
      <c r="C1144" t="s">
        <v>3185</v>
      </c>
      <c r="D1144" t="s">
        <v>2883</v>
      </c>
      <c r="E1144" t="str">
        <f>"400607"</f>
        <v>400607</v>
      </c>
      <c r="F1144" t="s">
        <v>1475</v>
      </c>
      <c r="G1144">
        <v>40</v>
      </c>
      <c r="H1144">
        <v>0</v>
      </c>
      <c r="J1144" t="str">
        <f>"100005095"</f>
        <v>100005095</v>
      </c>
      <c r="K1144" s="1">
        <v>47232</v>
      </c>
      <c r="M1144" s="1">
        <v>45407</v>
      </c>
      <c r="N1144" t="str">
        <f t="shared" si="194"/>
        <v>1329002019</v>
      </c>
      <c r="O1144">
        <v>40</v>
      </c>
      <c r="P1144" s="2">
        <v>46244.358622685184</v>
      </c>
      <c r="Q1144" s="2">
        <v>46244.358622685184</v>
      </c>
      <c r="R1144" s="2">
        <v>46244.358622685184</v>
      </c>
      <c r="S1144">
        <v>0</v>
      </c>
      <c r="T1144" t="s">
        <v>2079</v>
      </c>
      <c r="U1144" t="s">
        <v>2079</v>
      </c>
      <c r="W1144" t="str">
        <f>"400607"</f>
        <v>400607</v>
      </c>
      <c r="X1144" t="s">
        <v>37</v>
      </c>
    </row>
    <row r="1145" spans="1:30" x14ac:dyDescent="0.35">
      <c r="A1145" t="s">
        <v>2182</v>
      </c>
      <c r="B1145" t="s">
        <v>31</v>
      </c>
      <c r="C1145" t="s">
        <v>3186</v>
      </c>
      <c r="D1145" t="s">
        <v>2883</v>
      </c>
      <c r="E1145" t="str">
        <f>"400924"</f>
        <v>400924</v>
      </c>
      <c r="F1145" t="s">
        <v>3187</v>
      </c>
      <c r="G1145">
        <v>24</v>
      </c>
      <c r="H1145">
        <v>0</v>
      </c>
      <c r="J1145" t="str">
        <f>"100009203"</f>
        <v>100009203</v>
      </c>
      <c r="K1145" s="1">
        <v>47661</v>
      </c>
      <c r="M1145" s="1">
        <v>45836</v>
      </c>
      <c r="N1145" t="str">
        <f t="shared" si="194"/>
        <v>1329002019</v>
      </c>
      <c r="O1145">
        <v>24</v>
      </c>
      <c r="P1145" s="2">
        <v>46244.359178240738</v>
      </c>
      <c r="Q1145" s="2">
        <v>46244.359178240738</v>
      </c>
      <c r="R1145" s="2">
        <v>46244.359178240738</v>
      </c>
      <c r="S1145">
        <v>0</v>
      </c>
      <c r="T1145" t="s">
        <v>2079</v>
      </c>
      <c r="U1145" t="s">
        <v>2079</v>
      </c>
      <c r="W1145" t="str">
        <f>"400924"</f>
        <v>400924</v>
      </c>
      <c r="X1145" t="s">
        <v>37</v>
      </c>
    </row>
    <row r="1146" spans="1:30" x14ac:dyDescent="0.35">
      <c r="A1146" t="s">
        <v>2182</v>
      </c>
      <c r="B1146" t="s">
        <v>31</v>
      </c>
      <c r="C1146" t="s">
        <v>3188</v>
      </c>
      <c r="D1146" t="s">
        <v>2883</v>
      </c>
      <c r="E1146" t="str">
        <f>"400607"</f>
        <v>400607</v>
      </c>
      <c r="F1146" t="s">
        <v>1475</v>
      </c>
      <c r="G1146">
        <v>40</v>
      </c>
      <c r="H1146">
        <v>0</v>
      </c>
      <c r="J1146" t="str">
        <f>"100005095"</f>
        <v>100005095</v>
      </c>
      <c r="K1146" s="1">
        <v>47232</v>
      </c>
      <c r="M1146" s="1">
        <v>45407</v>
      </c>
      <c r="N1146" t="str">
        <f t="shared" si="194"/>
        <v>1329002019</v>
      </c>
      <c r="O1146">
        <v>40</v>
      </c>
      <c r="P1146" s="2">
        <v>46244.359814814816</v>
      </c>
      <c r="Q1146" s="2">
        <v>46244.359814814816</v>
      </c>
      <c r="R1146" s="2">
        <v>46244.359814814816</v>
      </c>
      <c r="S1146">
        <v>0</v>
      </c>
      <c r="T1146" t="s">
        <v>2079</v>
      </c>
      <c r="U1146" t="s">
        <v>2079</v>
      </c>
      <c r="W1146" t="str">
        <f>"400607"</f>
        <v>400607</v>
      </c>
      <c r="X1146" t="s">
        <v>37</v>
      </c>
    </row>
    <row r="1147" spans="1:30" x14ac:dyDescent="0.35">
      <c r="A1147" t="s">
        <v>2182</v>
      </c>
      <c r="B1147" t="s">
        <v>31</v>
      </c>
      <c r="C1147" t="s">
        <v>3189</v>
      </c>
      <c r="D1147" t="s">
        <v>2883</v>
      </c>
      <c r="E1147" t="str">
        <f>"400503"</f>
        <v>400503</v>
      </c>
      <c r="F1147" t="s">
        <v>1295</v>
      </c>
      <c r="G1147">
        <v>40</v>
      </c>
      <c r="H1147">
        <v>0</v>
      </c>
      <c r="J1147" t="str">
        <f>"100005436"</f>
        <v>100005436</v>
      </c>
      <c r="K1147" s="1">
        <v>47262</v>
      </c>
      <c r="M1147" s="1">
        <v>45437</v>
      </c>
      <c r="N1147" t="str">
        <f t="shared" si="194"/>
        <v>1329002019</v>
      </c>
      <c r="O1147">
        <v>40</v>
      </c>
      <c r="P1147" s="2">
        <v>46244.383460648147</v>
      </c>
      <c r="Q1147" s="2">
        <v>46244.383460648147</v>
      </c>
      <c r="R1147" s="2">
        <v>46244.383460648147</v>
      </c>
      <c r="S1147">
        <v>0</v>
      </c>
      <c r="T1147" t="s">
        <v>2079</v>
      </c>
      <c r="U1147" t="s">
        <v>2079</v>
      </c>
      <c r="W1147" t="str">
        <f>"400503"</f>
        <v>400503</v>
      </c>
      <c r="X1147" t="s">
        <v>37</v>
      </c>
    </row>
    <row r="1148" spans="1:30" x14ac:dyDescent="0.35">
      <c r="A1148" t="s">
        <v>2182</v>
      </c>
      <c r="B1148" t="s">
        <v>31</v>
      </c>
      <c r="C1148" t="s">
        <v>3190</v>
      </c>
      <c r="D1148" t="s">
        <v>2883</v>
      </c>
      <c r="E1148" t="str">
        <f>"400918"</f>
        <v>400918</v>
      </c>
      <c r="F1148" t="s">
        <v>2602</v>
      </c>
      <c r="G1148">
        <v>2</v>
      </c>
      <c r="H1148">
        <v>0</v>
      </c>
      <c r="J1148" t="str">
        <f>"100010777"</f>
        <v>100010777</v>
      </c>
      <c r="K1148" s="1">
        <v>47806</v>
      </c>
      <c r="M1148" s="1">
        <v>45981</v>
      </c>
      <c r="N1148" t="s">
        <v>2183</v>
      </c>
      <c r="O1148">
        <v>2</v>
      </c>
      <c r="P1148" s="2">
        <v>46245.643738425926</v>
      </c>
      <c r="Q1148" s="2">
        <v>46245.643738425926</v>
      </c>
      <c r="R1148" s="2">
        <v>46245.643738425926</v>
      </c>
      <c r="S1148">
        <v>0</v>
      </c>
      <c r="T1148" t="s">
        <v>2079</v>
      </c>
      <c r="U1148" t="s">
        <v>2079</v>
      </c>
      <c r="W1148" t="str">
        <f>"400918"</f>
        <v>400918</v>
      </c>
      <c r="X1148" t="s">
        <v>37</v>
      </c>
    </row>
    <row r="1149" spans="1:30" x14ac:dyDescent="0.35">
      <c r="A1149" t="s">
        <v>2182</v>
      </c>
      <c r="B1149" t="s">
        <v>31</v>
      </c>
      <c r="C1149" t="s">
        <v>3191</v>
      </c>
      <c r="D1149" t="s">
        <v>2883</v>
      </c>
      <c r="E1149" t="str">
        <f>"400474"</f>
        <v>400474</v>
      </c>
      <c r="F1149" t="s">
        <v>1689</v>
      </c>
      <c r="G1149">
        <v>15</v>
      </c>
      <c r="H1149">
        <v>0</v>
      </c>
      <c r="J1149" t="str">
        <f>"100010365"</f>
        <v>100010365</v>
      </c>
      <c r="K1149" s="1">
        <v>47768</v>
      </c>
      <c r="M1149" s="1">
        <v>45943</v>
      </c>
      <c r="N1149" t="s">
        <v>2183</v>
      </c>
      <c r="O1149">
        <v>15</v>
      </c>
      <c r="P1149" s="2">
        <v>46245.644675925927</v>
      </c>
      <c r="Q1149" s="2">
        <v>46245.644675925927</v>
      </c>
      <c r="R1149" s="2">
        <v>46245.644675925927</v>
      </c>
      <c r="S1149">
        <v>0</v>
      </c>
      <c r="T1149" t="s">
        <v>2079</v>
      </c>
      <c r="U1149" t="s">
        <v>2079</v>
      </c>
      <c r="W1149" t="str">
        <f>"400474"</f>
        <v>400474</v>
      </c>
      <c r="X1149" t="s">
        <v>37</v>
      </c>
    </row>
    <row r="1150" spans="1:30" x14ac:dyDescent="0.35">
      <c r="A1150" t="s">
        <v>2182</v>
      </c>
      <c r="B1150" t="s">
        <v>31</v>
      </c>
      <c r="C1150" t="s">
        <v>3192</v>
      </c>
      <c r="D1150" t="s">
        <v>33</v>
      </c>
      <c r="E1150" t="str">
        <f>"400441"</f>
        <v>400441</v>
      </c>
      <c r="F1150" t="s">
        <v>65</v>
      </c>
      <c r="G1150">
        <v>4</v>
      </c>
      <c r="H1150">
        <v>0</v>
      </c>
      <c r="I1150" t="s">
        <v>2298</v>
      </c>
      <c r="J1150" t="str">
        <f>"153000397"</f>
        <v>153000397</v>
      </c>
      <c r="K1150" s="1">
        <v>48015</v>
      </c>
      <c r="M1150" s="1">
        <v>46190</v>
      </c>
      <c r="N1150" t="str">
        <f>"1329001980"</f>
        <v>1329001980</v>
      </c>
      <c r="O1150">
        <v>4</v>
      </c>
      <c r="P1150" s="2">
        <v>46229.349004629628</v>
      </c>
      <c r="Q1150" s="2">
        <v>46246.566041666665</v>
      </c>
      <c r="R1150" s="2">
        <v>46229.349004629628</v>
      </c>
      <c r="S1150">
        <v>0</v>
      </c>
      <c r="T1150" t="s">
        <v>2079</v>
      </c>
      <c r="U1150" t="s">
        <v>2079</v>
      </c>
      <c r="W1150" t="str">
        <f>"400441"</f>
        <v>400441</v>
      </c>
      <c r="X1150" t="s">
        <v>41</v>
      </c>
      <c r="AD1150" s="2">
        <v>46246.566041666665</v>
      </c>
    </row>
    <row r="1151" spans="1:30" x14ac:dyDescent="0.35">
      <c r="A1151" t="s">
        <v>2182</v>
      </c>
      <c r="B1151" t="s">
        <v>31</v>
      </c>
      <c r="C1151" t="s">
        <v>3193</v>
      </c>
      <c r="D1151" t="s">
        <v>2883</v>
      </c>
      <c r="E1151" t="str">
        <f>"400399"</f>
        <v>400399</v>
      </c>
      <c r="F1151" t="s">
        <v>1576</v>
      </c>
      <c r="G1151">
        <v>14</v>
      </c>
      <c r="H1151">
        <v>0</v>
      </c>
      <c r="J1151" t="str">
        <f>"100008733"</f>
        <v>100008733</v>
      </c>
      <c r="K1151" s="1">
        <v>47616</v>
      </c>
      <c r="M1151" s="1">
        <v>45791</v>
      </c>
      <c r="N1151" t="str">
        <f>"1329002016"</f>
        <v>1329002016</v>
      </c>
      <c r="O1151">
        <v>14</v>
      </c>
      <c r="P1151" s="2">
        <v>46247.318553240744</v>
      </c>
      <c r="Q1151" s="2">
        <v>46247.318564814814</v>
      </c>
      <c r="R1151" s="2">
        <v>46247.318553240744</v>
      </c>
      <c r="S1151">
        <v>0</v>
      </c>
      <c r="T1151" t="s">
        <v>2079</v>
      </c>
      <c r="U1151" t="s">
        <v>2079</v>
      </c>
      <c r="W1151" t="str">
        <f>"400399"</f>
        <v>400399</v>
      </c>
      <c r="X1151" t="s">
        <v>37</v>
      </c>
    </row>
    <row r="1152" spans="1:30" x14ac:dyDescent="0.35">
      <c r="A1152" t="s">
        <v>2182</v>
      </c>
      <c r="B1152" t="s">
        <v>31</v>
      </c>
      <c r="C1152" t="s">
        <v>3194</v>
      </c>
      <c r="D1152" t="s">
        <v>2883</v>
      </c>
      <c r="E1152" t="str">
        <f>"400927"</f>
        <v>400927</v>
      </c>
      <c r="F1152" t="s">
        <v>1459</v>
      </c>
      <c r="G1152">
        <v>24</v>
      </c>
      <c r="H1152">
        <v>0</v>
      </c>
      <c r="J1152" t="str">
        <f>"100010268"</f>
        <v>100010268</v>
      </c>
      <c r="K1152" s="1">
        <v>47760</v>
      </c>
      <c r="M1152" s="1">
        <v>45935</v>
      </c>
      <c r="N1152" t="str">
        <f>"1329002016"</f>
        <v>1329002016</v>
      </c>
      <c r="O1152">
        <v>24</v>
      </c>
      <c r="P1152" s="2">
        <v>46247.320729166669</v>
      </c>
      <c r="Q1152" s="2">
        <v>46247.320729166669</v>
      </c>
      <c r="R1152" s="2">
        <v>46247.320729166669</v>
      </c>
      <c r="S1152">
        <v>0</v>
      </c>
      <c r="T1152" t="s">
        <v>2079</v>
      </c>
      <c r="U1152" t="s">
        <v>2079</v>
      </c>
      <c r="W1152" t="str">
        <f>"400927"</f>
        <v>400927</v>
      </c>
      <c r="X1152" t="s">
        <v>37</v>
      </c>
    </row>
    <row r="1153" spans="1:30" x14ac:dyDescent="0.35">
      <c r="A1153" t="s">
        <v>2182</v>
      </c>
      <c r="B1153" t="s">
        <v>31</v>
      </c>
      <c r="C1153" t="s">
        <v>3195</v>
      </c>
      <c r="D1153" t="s">
        <v>33</v>
      </c>
      <c r="E1153" t="str">
        <f>"400729"</f>
        <v>400729</v>
      </c>
      <c r="F1153" t="s">
        <v>2285</v>
      </c>
      <c r="G1153">
        <v>14</v>
      </c>
      <c r="H1153">
        <v>0</v>
      </c>
      <c r="I1153" t="s">
        <v>2286</v>
      </c>
      <c r="J1153" t="str">
        <f>"0002203355"</f>
        <v>0002203355</v>
      </c>
      <c r="K1153" s="1">
        <v>47329</v>
      </c>
      <c r="M1153" s="1">
        <v>45504</v>
      </c>
      <c r="N1153" t="str">
        <f>"1329002003"</f>
        <v>1329002003</v>
      </c>
      <c r="O1153">
        <v>52</v>
      </c>
      <c r="P1153" s="2">
        <v>46240.320509259262</v>
      </c>
      <c r="Q1153" s="2">
        <v>46247.382870370369</v>
      </c>
      <c r="R1153" s="2">
        <v>46240.320509259262</v>
      </c>
      <c r="S1153">
        <v>0</v>
      </c>
      <c r="T1153" t="s">
        <v>2079</v>
      </c>
      <c r="U1153" t="s">
        <v>2079</v>
      </c>
      <c r="W1153" t="str">
        <f>"400729"</f>
        <v>400729</v>
      </c>
      <c r="X1153" t="s">
        <v>37</v>
      </c>
      <c r="AD1153" s="2">
        <v>46240.587314814817</v>
      </c>
    </row>
    <row r="1154" spans="1:30" x14ac:dyDescent="0.35">
      <c r="A1154" t="s">
        <v>2182</v>
      </c>
      <c r="B1154" t="s">
        <v>31</v>
      </c>
      <c r="C1154" t="s">
        <v>3196</v>
      </c>
      <c r="D1154" t="s">
        <v>2883</v>
      </c>
      <c r="E1154" t="str">
        <f>"400927"</f>
        <v>400927</v>
      </c>
      <c r="F1154" t="s">
        <v>1459</v>
      </c>
      <c r="G1154">
        <v>24</v>
      </c>
      <c r="H1154">
        <v>0</v>
      </c>
      <c r="J1154" t="str">
        <f>"100010268"</f>
        <v>100010268</v>
      </c>
      <c r="K1154" s="1">
        <v>47760</v>
      </c>
      <c r="M1154" s="1">
        <v>45935</v>
      </c>
      <c r="N1154" t="str">
        <f t="shared" ref="N1154:N1162" si="195">"1329002016"</f>
        <v>1329002016</v>
      </c>
      <c r="O1154">
        <v>24</v>
      </c>
      <c r="P1154" s="2">
        <v>46247.386296296296</v>
      </c>
      <c r="Q1154" s="2">
        <v>46247.386296296296</v>
      </c>
      <c r="R1154" s="2">
        <v>46247.386296296296</v>
      </c>
      <c r="S1154">
        <v>0</v>
      </c>
      <c r="T1154" t="s">
        <v>2079</v>
      </c>
      <c r="U1154" t="s">
        <v>2079</v>
      </c>
      <c r="W1154" t="str">
        <f>"400927"</f>
        <v>400927</v>
      </c>
      <c r="X1154" t="s">
        <v>37</v>
      </c>
    </row>
    <row r="1155" spans="1:30" x14ac:dyDescent="0.35">
      <c r="A1155" t="s">
        <v>2182</v>
      </c>
      <c r="B1155" t="s">
        <v>31</v>
      </c>
      <c r="C1155" t="s">
        <v>3197</v>
      </c>
      <c r="D1155" t="s">
        <v>2883</v>
      </c>
      <c r="E1155" t="str">
        <f>"400927"</f>
        <v>400927</v>
      </c>
      <c r="F1155" t="s">
        <v>1459</v>
      </c>
      <c r="G1155">
        <v>24</v>
      </c>
      <c r="H1155">
        <v>0</v>
      </c>
      <c r="J1155" t="str">
        <f>"100010268"</f>
        <v>100010268</v>
      </c>
      <c r="K1155" s="1">
        <v>47760</v>
      </c>
      <c r="M1155" s="1">
        <v>45935</v>
      </c>
      <c r="N1155" t="str">
        <f t="shared" si="195"/>
        <v>1329002016</v>
      </c>
      <c r="O1155">
        <v>24</v>
      </c>
      <c r="P1155" s="2">
        <v>46247.389398148145</v>
      </c>
      <c r="Q1155" s="2">
        <v>46247.389398148145</v>
      </c>
      <c r="R1155" s="2">
        <v>46247.389398148145</v>
      </c>
      <c r="S1155">
        <v>0</v>
      </c>
      <c r="T1155" t="s">
        <v>2079</v>
      </c>
      <c r="U1155" t="s">
        <v>2079</v>
      </c>
      <c r="W1155" t="str">
        <f>"400927"</f>
        <v>400927</v>
      </c>
      <c r="X1155" t="s">
        <v>37</v>
      </c>
    </row>
    <row r="1156" spans="1:30" x14ac:dyDescent="0.35">
      <c r="A1156" t="s">
        <v>2182</v>
      </c>
      <c r="B1156" t="s">
        <v>31</v>
      </c>
      <c r="C1156" t="s">
        <v>3198</v>
      </c>
      <c r="D1156" t="s">
        <v>2883</v>
      </c>
      <c r="E1156" t="str">
        <f>"400927"</f>
        <v>400927</v>
      </c>
      <c r="F1156" t="s">
        <v>1459</v>
      </c>
      <c r="G1156">
        <v>24</v>
      </c>
      <c r="H1156">
        <v>0</v>
      </c>
      <c r="J1156" t="str">
        <f>"100010268"</f>
        <v>100010268</v>
      </c>
      <c r="K1156" s="1">
        <v>47760</v>
      </c>
      <c r="M1156" s="1">
        <v>45935</v>
      </c>
      <c r="N1156" t="str">
        <f t="shared" si="195"/>
        <v>1329002016</v>
      </c>
      <c r="O1156">
        <v>24</v>
      </c>
      <c r="P1156" s="2">
        <v>46247.389699074076</v>
      </c>
      <c r="Q1156" s="2">
        <v>46247.389699074076</v>
      </c>
      <c r="R1156" s="2">
        <v>46247.389699074076</v>
      </c>
      <c r="S1156">
        <v>0</v>
      </c>
      <c r="T1156" t="s">
        <v>2079</v>
      </c>
      <c r="U1156" t="s">
        <v>2079</v>
      </c>
      <c r="W1156" t="str">
        <f>"400927"</f>
        <v>400927</v>
      </c>
      <c r="X1156" t="s">
        <v>37</v>
      </c>
    </row>
    <row r="1157" spans="1:30" x14ac:dyDescent="0.35">
      <c r="A1157" t="s">
        <v>2182</v>
      </c>
      <c r="B1157" t="s">
        <v>31</v>
      </c>
      <c r="C1157" t="s">
        <v>3199</v>
      </c>
      <c r="D1157" t="s">
        <v>2883</v>
      </c>
      <c r="E1157" t="str">
        <f t="shared" ref="E1157:E1162" si="196">"400917"</f>
        <v>400917</v>
      </c>
      <c r="F1157" t="s">
        <v>3200</v>
      </c>
      <c r="G1157">
        <v>24</v>
      </c>
      <c r="H1157">
        <v>0</v>
      </c>
      <c r="J1157" t="str">
        <f t="shared" ref="J1157:J1162" si="197">"100009292"</f>
        <v>100009292</v>
      </c>
      <c r="K1157" s="1">
        <v>47670</v>
      </c>
      <c r="M1157" s="1">
        <v>45845</v>
      </c>
      <c r="N1157" t="str">
        <f t="shared" si="195"/>
        <v>1329002016</v>
      </c>
      <c r="O1157">
        <v>24</v>
      </c>
      <c r="P1157" s="2">
        <v>46247.390138888892</v>
      </c>
      <c r="Q1157" s="2">
        <v>46247.390138888892</v>
      </c>
      <c r="R1157" s="2">
        <v>46247.390138888892</v>
      </c>
      <c r="S1157">
        <v>0</v>
      </c>
      <c r="T1157" t="s">
        <v>2079</v>
      </c>
      <c r="U1157" t="s">
        <v>2079</v>
      </c>
      <c r="W1157" t="str">
        <f t="shared" ref="W1157:W1162" si="198">"400917"</f>
        <v>400917</v>
      </c>
      <c r="X1157" t="s">
        <v>37</v>
      </c>
    </row>
    <row r="1158" spans="1:30" x14ac:dyDescent="0.35">
      <c r="A1158" t="s">
        <v>2182</v>
      </c>
      <c r="B1158" t="s">
        <v>31</v>
      </c>
      <c r="C1158" t="s">
        <v>3201</v>
      </c>
      <c r="D1158" t="s">
        <v>2883</v>
      </c>
      <c r="E1158" t="str">
        <f t="shared" si="196"/>
        <v>400917</v>
      </c>
      <c r="F1158" t="s">
        <v>3200</v>
      </c>
      <c r="G1158">
        <v>24</v>
      </c>
      <c r="H1158">
        <v>0</v>
      </c>
      <c r="J1158" t="str">
        <f t="shared" si="197"/>
        <v>100009292</v>
      </c>
      <c r="K1158" s="1">
        <v>47670</v>
      </c>
      <c r="M1158" s="1">
        <v>45845</v>
      </c>
      <c r="N1158" t="str">
        <f t="shared" si="195"/>
        <v>1329002016</v>
      </c>
      <c r="O1158">
        <v>24</v>
      </c>
      <c r="P1158" s="2">
        <v>46247.390416666669</v>
      </c>
      <c r="Q1158" s="2">
        <v>46247.390416666669</v>
      </c>
      <c r="R1158" s="2">
        <v>46247.390416666669</v>
      </c>
      <c r="S1158">
        <v>0</v>
      </c>
      <c r="T1158" t="s">
        <v>2079</v>
      </c>
      <c r="U1158" t="s">
        <v>2079</v>
      </c>
      <c r="W1158" t="str">
        <f t="shared" si="198"/>
        <v>400917</v>
      </c>
      <c r="X1158" t="s">
        <v>37</v>
      </c>
    </row>
    <row r="1159" spans="1:30" x14ac:dyDescent="0.35">
      <c r="A1159" t="s">
        <v>2182</v>
      </c>
      <c r="B1159" t="s">
        <v>31</v>
      </c>
      <c r="C1159" t="s">
        <v>3202</v>
      </c>
      <c r="D1159" t="s">
        <v>2883</v>
      </c>
      <c r="E1159" t="str">
        <f t="shared" si="196"/>
        <v>400917</v>
      </c>
      <c r="F1159" t="s">
        <v>3200</v>
      </c>
      <c r="G1159">
        <v>24</v>
      </c>
      <c r="H1159">
        <v>0</v>
      </c>
      <c r="J1159" t="str">
        <f t="shared" si="197"/>
        <v>100009292</v>
      </c>
      <c r="K1159" s="1">
        <v>47670</v>
      </c>
      <c r="M1159" s="1">
        <v>45845</v>
      </c>
      <c r="N1159" t="str">
        <f t="shared" si="195"/>
        <v>1329002016</v>
      </c>
      <c r="O1159">
        <v>24</v>
      </c>
      <c r="P1159" s="2">
        <v>46247.390682870369</v>
      </c>
      <c r="Q1159" s="2">
        <v>46247.390682870369</v>
      </c>
      <c r="R1159" s="2">
        <v>46247.390682870369</v>
      </c>
      <c r="S1159">
        <v>0</v>
      </c>
      <c r="T1159" t="s">
        <v>2079</v>
      </c>
      <c r="U1159" t="s">
        <v>2079</v>
      </c>
      <c r="W1159" t="str">
        <f t="shared" si="198"/>
        <v>400917</v>
      </c>
      <c r="X1159" t="s">
        <v>37</v>
      </c>
    </row>
    <row r="1160" spans="1:30" x14ac:dyDescent="0.35">
      <c r="A1160" t="s">
        <v>2182</v>
      </c>
      <c r="B1160" t="s">
        <v>31</v>
      </c>
      <c r="C1160" t="s">
        <v>3203</v>
      </c>
      <c r="D1160" t="s">
        <v>2883</v>
      </c>
      <c r="E1160" t="str">
        <f t="shared" si="196"/>
        <v>400917</v>
      </c>
      <c r="F1160" t="s">
        <v>3200</v>
      </c>
      <c r="G1160">
        <v>24</v>
      </c>
      <c r="H1160">
        <v>0</v>
      </c>
      <c r="J1160" t="str">
        <f t="shared" si="197"/>
        <v>100009292</v>
      </c>
      <c r="K1160" s="1">
        <v>47670</v>
      </c>
      <c r="M1160" s="1">
        <v>45845</v>
      </c>
      <c r="N1160" t="str">
        <f t="shared" si="195"/>
        <v>1329002016</v>
      </c>
      <c r="O1160">
        <v>24</v>
      </c>
      <c r="P1160" s="2">
        <v>46247.391365740739</v>
      </c>
      <c r="Q1160" s="2">
        <v>46247.391377314816</v>
      </c>
      <c r="R1160" s="2">
        <v>46247.391365740739</v>
      </c>
      <c r="S1160">
        <v>0</v>
      </c>
      <c r="T1160" t="s">
        <v>2079</v>
      </c>
      <c r="U1160" t="s">
        <v>2079</v>
      </c>
      <c r="W1160" t="str">
        <f t="shared" si="198"/>
        <v>400917</v>
      </c>
      <c r="X1160" t="s">
        <v>37</v>
      </c>
    </row>
    <row r="1161" spans="1:30" x14ac:dyDescent="0.35">
      <c r="A1161" t="s">
        <v>2182</v>
      </c>
      <c r="B1161" t="s">
        <v>31</v>
      </c>
      <c r="C1161" t="s">
        <v>3204</v>
      </c>
      <c r="D1161" t="s">
        <v>2883</v>
      </c>
      <c r="E1161" t="str">
        <f t="shared" si="196"/>
        <v>400917</v>
      </c>
      <c r="F1161" t="s">
        <v>3200</v>
      </c>
      <c r="G1161">
        <v>24</v>
      </c>
      <c r="H1161">
        <v>0</v>
      </c>
      <c r="J1161" t="str">
        <f t="shared" si="197"/>
        <v>100009292</v>
      </c>
      <c r="K1161" s="1">
        <v>47670</v>
      </c>
      <c r="M1161" s="1">
        <v>45845</v>
      </c>
      <c r="N1161" t="str">
        <f t="shared" si="195"/>
        <v>1329002016</v>
      </c>
      <c r="O1161">
        <v>24</v>
      </c>
      <c r="P1161" s="2">
        <v>46247.391631944447</v>
      </c>
      <c r="Q1161" s="2">
        <v>46247.391631944447</v>
      </c>
      <c r="R1161" s="2">
        <v>46247.391631944447</v>
      </c>
      <c r="S1161">
        <v>0</v>
      </c>
      <c r="T1161" t="s">
        <v>2079</v>
      </c>
      <c r="U1161" t="s">
        <v>2079</v>
      </c>
      <c r="W1161" t="str">
        <f t="shared" si="198"/>
        <v>400917</v>
      </c>
      <c r="X1161" t="s">
        <v>37</v>
      </c>
    </row>
    <row r="1162" spans="1:30" x14ac:dyDescent="0.35">
      <c r="A1162" t="s">
        <v>2182</v>
      </c>
      <c r="B1162" t="s">
        <v>31</v>
      </c>
      <c r="C1162" t="s">
        <v>3205</v>
      </c>
      <c r="D1162" t="s">
        <v>2883</v>
      </c>
      <c r="E1162" t="str">
        <f t="shared" si="196"/>
        <v>400917</v>
      </c>
      <c r="F1162" t="s">
        <v>3200</v>
      </c>
      <c r="G1162">
        <v>24</v>
      </c>
      <c r="H1162">
        <v>0</v>
      </c>
      <c r="J1162" t="str">
        <f t="shared" si="197"/>
        <v>100009292</v>
      </c>
      <c r="K1162" s="1">
        <v>47670</v>
      </c>
      <c r="M1162" s="1">
        <v>45845</v>
      </c>
      <c r="N1162" t="str">
        <f t="shared" si="195"/>
        <v>1329002016</v>
      </c>
      <c r="O1162">
        <v>24</v>
      </c>
      <c r="P1162" s="2">
        <v>46247.391886574071</v>
      </c>
      <c r="Q1162" s="2">
        <v>46247.391886574071</v>
      </c>
      <c r="R1162" s="2">
        <v>46247.391886574071</v>
      </c>
      <c r="S1162">
        <v>0</v>
      </c>
      <c r="T1162" t="s">
        <v>2079</v>
      </c>
      <c r="U1162" t="s">
        <v>2079</v>
      </c>
      <c r="W1162" t="str">
        <f t="shared" si="198"/>
        <v>400917</v>
      </c>
      <c r="X1162" t="s">
        <v>37</v>
      </c>
    </row>
    <row r="1163" spans="1:30" x14ac:dyDescent="0.35">
      <c r="A1163" t="s">
        <v>2182</v>
      </c>
      <c r="B1163" t="s">
        <v>31</v>
      </c>
      <c r="C1163" t="s">
        <v>3206</v>
      </c>
      <c r="D1163" t="s">
        <v>33</v>
      </c>
      <c r="E1163" t="str">
        <f>"400905"</f>
        <v>400905</v>
      </c>
      <c r="F1163" t="s">
        <v>1362</v>
      </c>
      <c r="G1163">
        <v>18</v>
      </c>
      <c r="H1163">
        <v>0</v>
      </c>
      <c r="I1163" t="s">
        <v>2289</v>
      </c>
      <c r="J1163" t="str">
        <f>"400003251"</f>
        <v>400003251</v>
      </c>
      <c r="K1163" s="1">
        <v>47690</v>
      </c>
      <c r="M1163" s="1">
        <v>45865</v>
      </c>
      <c r="N1163" t="str">
        <f>"1329002019"</f>
        <v>1329002019</v>
      </c>
      <c r="O1163">
        <v>18</v>
      </c>
      <c r="P1163" s="2">
        <v>46244.415949074071</v>
      </c>
      <c r="Q1163" s="2">
        <v>46247.401377314818</v>
      </c>
      <c r="R1163" s="2">
        <v>46244.415949074071</v>
      </c>
      <c r="S1163">
        <v>0</v>
      </c>
      <c r="T1163" t="s">
        <v>2079</v>
      </c>
      <c r="U1163" t="s">
        <v>2079</v>
      </c>
      <c r="W1163" t="str">
        <f>"400905"</f>
        <v>400905</v>
      </c>
      <c r="X1163" t="s">
        <v>41</v>
      </c>
      <c r="AD1163" s="2">
        <v>46247.401377314818</v>
      </c>
    </row>
    <row r="1164" spans="1:30" x14ac:dyDescent="0.35">
      <c r="A1164" t="s">
        <v>2182</v>
      </c>
      <c r="B1164" t="s">
        <v>31</v>
      </c>
      <c r="C1164" t="s">
        <v>3207</v>
      </c>
      <c r="D1164" t="s">
        <v>33</v>
      </c>
      <c r="E1164" t="str">
        <f>"400448"</f>
        <v>400448</v>
      </c>
      <c r="F1164" t="s">
        <v>1346</v>
      </c>
      <c r="G1164">
        <v>26</v>
      </c>
      <c r="H1164">
        <v>0</v>
      </c>
      <c r="I1164" t="s">
        <v>2288</v>
      </c>
      <c r="J1164" t="str">
        <f>"100005435"</f>
        <v>100005435</v>
      </c>
      <c r="K1164" s="1">
        <v>47263</v>
      </c>
      <c r="M1164" s="1">
        <v>45438</v>
      </c>
      <c r="N1164" t="str">
        <f>"1329002019"</f>
        <v>1329002019</v>
      </c>
      <c r="O1164">
        <v>26</v>
      </c>
      <c r="P1164" s="2">
        <v>46244.382974537039</v>
      </c>
      <c r="Q1164" s="2">
        <v>46247.403796296298</v>
      </c>
      <c r="R1164" s="2">
        <v>46244.382974537039</v>
      </c>
      <c r="S1164">
        <v>0</v>
      </c>
      <c r="T1164" t="s">
        <v>2079</v>
      </c>
      <c r="U1164" t="s">
        <v>2079</v>
      </c>
      <c r="W1164" t="str">
        <f>"400448"</f>
        <v>400448</v>
      </c>
      <c r="X1164" t="s">
        <v>37</v>
      </c>
      <c r="AD1164" s="2">
        <v>46247.403796296298</v>
      </c>
    </row>
    <row r="1165" spans="1:30" x14ac:dyDescent="0.35">
      <c r="A1165" t="s">
        <v>2182</v>
      </c>
      <c r="B1165" t="s">
        <v>31</v>
      </c>
      <c r="C1165" t="s">
        <v>3208</v>
      </c>
      <c r="D1165" t="s">
        <v>33</v>
      </c>
      <c r="E1165" t="str">
        <f>"400460"</f>
        <v>400460</v>
      </c>
      <c r="F1165" t="s">
        <v>3182</v>
      </c>
      <c r="G1165">
        <v>7</v>
      </c>
      <c r="H1165">
        <v>0</v>
      </c>
      <c r="I1165" t="s">
        <v>2293</v>
      </c>
      <c r="J1165" t="str">
        <f>"100005422"</f>
        <v>100005422</v>
      </c>
      <c r="K1165" s="1">
        <v>47260</v>
      </c>
      <c r="M1165" s="1">
        <v>45435</v>
      </c>
      <c r="N1165" t="str">
        <f>"1329002019"</f>
        <v>1329002019</v>
      </c>
      <c r="O1165">
        <v>7</v>
      </c>
      <c r="P1165" s="2">
        <v>46244.357592592591</v>
      </c>
      <c r="Q1165" s="2">
        <v>46247.413136574076</v>
      </c>
      <c r="R1165" s="2">
        <v>46244.357592592591</v>
      </c>
      <c r="S1165">
        <v>0</v>
      </c>
      <c r="T1165" t="s">
        <v>2079</v>
      </c>
      <c r="U1165" t="s">
        <v>2079</v>
      </c>
      <c r="W1165" t="str">
        <f>"400460"</f>
        <v>400460</v>
      </c>
      <c r="X1165" t="s">
        <v>37</v>
      </c>
      <c r="AD1165" s="2">
        <v>46247.413136574076</v>
      </c>
    </row>
    <row r="1166" spans="1:30" x14ac:dyDescent="0.35">
      <c r="A1166" t="s">
        <v>2182</v>
      </c>
      <c r="B1166" t="s">
        <v>31</v>
      </c>
      <c r="C1166" t="s">
        <v>3209</v>
      </c>
      <c r="D1166" t="s">
        <v>33</v>
      </c>
      <c r="E1166" t="str">
        <f>"400607"</f>
        <v>400607</v>
      </c>
      <c r="F1166" t="s">
        <v>1475</v>
      </c>
      <c r="G1166">
        <v>10</v>
      </c>
      <c r="H1166">
        <v>0</v>
      </c>
      <c r="I1166" t="s">
        <v>2290</v>
      </c>
      <c r="J1166" t="str">
        <f>"100005095"</f>
        <v>100005095</v>
      </c>
      <c r="K1166" s="1">
        <v>47232</v>
      </c>
      <c r="M1166" s="1">
        <v>45407</v>
      </c>
      <c r="N1166" t="str">
        <f>"1329002019"</f>
        <v>1329002019</v>
      </c>
      <c r="O1166">
        <v>10</v>
      </c>
      <c r="P1166" s="2">
        <v>46244.356319444443</v>
      </c>
      <c r="Q1166" s="2">
        <v>46247.416550925926</v>
      </c>
      <c r="R1166" s="2">
        <v>46244.356319444443</v>
      </c>
      <c r="S1166">
        <v>0</v>
      </c>
      <c r="T1166" t="s">
        <v>2079</v>
      </c>
      <c r="U1166" t="s">
        <v>2079</v>
      </c>
      <c r="W1166" t="str">
        <f>"400607"</f>
        <v>400607</v>
      </c>
      <c r="X1166" t="s">
        <v>37</v>
      </c>
      <c r="AD1166" s="2">
        <v>46247.416550925926</v>
      </c>
    </row>
    <row r="1167" spans="1:30" x14ac:dyDescent="0.35">
      <c r="A1167" t="s">
        <v>2182</v>
      </c>
      <c r="B1167" t="s">
        <v>31</v>
      </c>
      <c r="C1167" t="s">
        <v>3210</v>
      </c>
      <c r="D1167" t="s">
        <v>33</v>
      </c>
      <c r="E1167" t="str">
        <f>"400447"</f>
        <v>400447</v>
      </c>
      <c r="F1167" t="s">
        <v>3180</v>
      </c>
      <c r="G1167">
        <v>10</v>
      </c>
      <c r="H1167">
        <v>0</v>
      </c>
      <c r="I1167" t="s">
        <v>2291</v>
      </c>
      <c r="J1167" t="str">
        <f>"100005423"</f>
        <v>100005423</v>
      </c>
      <c r="K1167" s="1">
        <v>47260</v>
      </c>
      <c r="M1167" s="1">
        <v>45435</v>
      </c>
      <c r="N1167" t="str">
        <f>"1329002019"</f>
        <v>1329002019</v>
      </c>
      <c r="O1167">
        <v>10</v>
      </c>
      <c r="P1167" s="2">
        <v>46244.352835648147</v>
      </c>
      <c r="Q1167" s="2">
        <v>46247.420891203707</v>
      </c>
      <c r="R1167" s="2">
        <v>46244.352835648147</v>
      </c>
      <c r="S1167">
        <v>0</v>
      </c>
      <c r="T1167" t="s">
        <v>2079</v>
      </c>
      <c r="U1167" t="s">
        <v>2079</v>
      </c>
      <c r="W1167" t="str">
        <f>"400447"</f>
        <v>400447</v>
      </c>
      <c r="X1167" t="s">
        <v>37</v>
      </c>
      <c r="AD1167" s="2">
        <v>46247.420891203707</v>
      </c>
    </row>
    <row r="1168" spans="1:30" x14ac:dyDescent="0.35">
      <c r="A1168" t="s">
        <v>2182</v>
      </c>
      <c r="B1168" t="s">
        <v>31</v>
      </c>
      <c r="C1168" t="s">
        <v>3211</v>
      </c>
      <c r="D1168" t="s">
        <v>2883</v>
      </c>
      <c r="E1168" t="str">
        <f>"400921"</f>
        <v>400921</v>
      </c>
      <c r="F1168" t="s">
        <v>3212</v>
      </c>
      <c r="G1168">
        <v>24</v>
      </c>
      <c r="H1168">
        <v>0</v>
      </c>
      <c r="J1168" t="str">
        <f>"100009224"</f>
        <v>100009224</v>
      </c>
      <c r="K1168" s="1">
        <v>47663</v>
      </c>
      <c r="M1168" s="1">
        <v>45838</v>
      </c>
      <c r="N1168" t="str">
        <f t="shared" ref="N1168:N1179" si="199">"1329002017"</f>
        <v>1329002017</v>
      </c>
      <c r="O1168">
        <v>24</v>
      </c>
      <c r="P1168" s="2">
        <v>46250.456516203703</v>
      </c>
      <c r="Q1168" s="2">
        <v>46250.456516203703</v>
      </c>
      <c r="R1168" s="2">
        <v>46250.456516203703</v>
      </c>
      <c r="S1168">
        <v>0</v>
      </c>
      <c r="T1168" t="s">
        <v>2079</v>
      </c>
      <c r="U1168" t="s">
        <v>2079</v>
      </c>
      <c r="W1168" t="str">
        <f>"400921"</f>
        <v>400921</v>
      </c>
      <c r="X1168" t="s">
        <v>37</v>
      </c>
    </row>
    <row r="1169" spans="1:30" x14ac:dyDescent="0.35">
      <c r="A1169" t="s">
        <v>2182</v>
      </c>
      <c r="B1169" t="s">
        <v>31</v>
      </c>
      <c r="C1169" t="s">
        <v>3213</v>
      </c>
      <c r="D1169" t="s">
        <v>2883</v>
      </c>
      <c r="E1169" t="str">
        <f>"400921"</f>
        <v>400921</v>
      </c>
      <c r="F1169" t="s">
        <v>3212</v>
      </c>
      <c r="G1169">
        <v>24</v>
      </c>
      <c r="H1169">
        <v>0</v>
      </c>
      <c r="J1169" t="str">
        <f>"100009224"</f>
        <v>100009224</v>
      </c>
      <c r="K1169" s="1">
        <v>47663</v>
      </c>
      <c r="M1169" s="1">
        <v>45838</v>
      </c>
      <c r="N1169" t="str">
        <f t="shared" si="199"/>
        <v>1329002017</v>
      </c>
      <c r="O1169">
        <v>24</v>
      </c>
      <c r="P1169" s="2">
        <v>46250.534131944441</v>
      </c>
      <c r="Q1169" s="2">
        <v>46250.534143518518</v>
      </c>
      <c r="R1169" s="2">
        <v>46250.534131944441</v>
      </c>
      <c r="S1169">
        <v>0</v>
      </c>
      <c r="T1169" t="s">
        <v>2079</v>
      </c>
      <c r="U1169" t="s">
        <v>2079</v>
      </c>
      <c r="W1169" t="str">
        <f>"400921"</f>
        <v>400921</v>
      </c>
      <c r="X1169" t="s">
        <v>37</v>
      </c>
    </row>
    <row r="1170" spans="1:30" x14ac:dyDescent="0.35">
      <c r="A1170" t="s">
        <v>2182</v>
      </c>
      <c r="B1170" t="s">
        <v>31</v>
      </c>
      <c r="C1170" t="s">
        <v>3214</v>
      </c>
      <c r="D1170" t="s">
        <v>2883</v>
      </c>
      <c r="E1170" t="str">
        <f>"400921"</f>
        <v>400921</v>
      </c>
      <c r="F1170" t="s">
        <v>3212</v>
      </c>
      <c r="G1170">
        <v>24</v>
      </c>
      <c r="H1170">
        <v>0</v>
      </c>
      <c r="J1170" t="str">
        <f>"100009224"</f>
        <v>100009224</v>
      </c>
      <c r="K1170" s="1">
        <v>47663</v>
      </c>
      <c r="M1170" s="1">
        <v>45838</v>
      </c>
      <c r="N1170" t="str">
        <f t="shared" si="199"/>
        <v>1329002017</v>
      </c>
      <c r="O1170">
        <v>24</v>
      </c>
      <c r="P1170" s="2">
        <v>46250.53534722222</v>
      </c>
      <c r="Q1170" s="2">
        <v>46250.53534722222</v>
      </c>
      <c r="R1170" s="2">
        <v>46250.53534722222</v>
      </c>
      <c r="S1170">
        <v>0</v>
      </c>
      <c r="T1170" t="s">
        <v>2079</v>
      </c>
      <c r="U1170" t="s">
        <v>2079</v>
      </c>
      <c r="W1170" t="str">
        <f>"400921"</f>
        <v>400921</v>
      </c>
      <c r="X1170" t="s">
        <v>37</v>
      </c>
    </row>
    <row r="1171" spans="1:30" x14ac:dyDescent="0.35">
      <c r="A1171" t="s">
        <v>2182</v>
      </c>
      <c r="B1171" t="s">
        <v>31</v>
      </c>
      <c r="C1171" t="s">
        <v>3215</v>
      </c>
      <c r="D1171" t="s">
        <v>2883</v>
      </c>
      <c r="E1171" t="str">
        <f>"400921"</f>
        <v>400921</v>
      </c>
      <c r="F1171" t="s">
        <v>3212</v>
      </c>
      <c r="G1171">
        <v>24</v>
      </c>
      <c r="H1171">
        <v>0</v>
      </c>
      <c r="J1171" t="str">
        <f>"100009224"</f>
        <v>100009224</v>
      </c>
      <c r="K1171" s="1">
        <v>47663</v>
      </c>
      <c r="M1171" s="1">
        <v>45838</v>
      </c>
      <c r="N1171" t="str">
        <f t="shared" si="199"/>
        <v>1329002017</v>
      </c>
      <c r="O1171">
        <v>24</v>
      </c>
      <c r="P1171" s="2">
        <v>46250.53597222222</v>
      </c>
      <c r="Q1171" s="2">
        <v>46250.53597222222</v>
      </c>
      <c r="R1171" s="2">
        <v>46250.53597222222</v>
      </c>
      <c r="S1171">
        <v>0</v>
      </c>
      <c r="T1171" t="s">
        <v>2079</v>
      </c>
      <c r="U1171" t="s">
        <v>2079</v>
      </c>
      <c r="W1171" t="str">
        <f>"400921"</f>
        <v>400921</v>
      </c>
      <c r="X1171" t="s">
        <v>37</v>
      </c>
    </row>
    <row r="1172" spans="1:30" x14ac:dyDescent="0.35">
      <c r="A1172" t="s">
        <v>2182</v>
      </c>
      <c r="B1172" t="s">
        <v>31</v>
      </c>
      <c r="C1172" t="s">
        <v>3216</v>
      </c>
      <c r="D1172" t="s">
        <v>2883</v>
      </c>
      <c r="E1172" t="str">
        <f>"400498"</f>
        <v>400498</v>
      </c>
      <c r="F1172" t="s">
        <v>3217</v>
      </c>
      <c r="G1172">
        <v>40</v>
      </c>
      <c r="H1172">
        <v>0</v>
      </c>
      <c r="J1172" t="str">
        <f>"100005702"</f>
        <v>100005702</v>
      </c>
      <c r="K1172" s="1">
        <v>47294</v>
      </c>
      <c r="M1172" s="1">
        <v>45469</v>
      </c>
      <c r="N1172" t="str">
        <f t="shared" si="199"/>
        <v>1329002017</v>
      </c>
      <c r="O1172">
        <v>40</v>
      </c>
      <c r="P1172" s="2">
        <v>46250.540914351855</v>
      </c>
      <c r="Q1172" s="2">
        <v>46250.540925925925</v>
      </c>
      <c r="R1172" s="2">
        <v>46250.540914351855</v>
      </c>
      <c r="S1172">
        <v>0</v>
      </c>
      <c r="T1172" t="s">
        <v>2079</v>
      </c>
      <c r="U1172" t="s">
        <v>2079</v>
      </c>
      <c r="W1172" t="str">
        <f>"400498"</f>
        <v>400498</v>
      </c>
      <c r="X1172" t="s">
        <v>37</v>
      </c>
    </row>
    <row r="1173" spans="1:30" x14ac:dyDescent="0.35">
      <c r="A1173" t="s">
        <v>2182</v>
      </c>
      <c r="B1173" t="s">
        <v>31</v>
      </c>
      <c r="C1173" t="s">
        <v>3218</v>
      </c>
      <c r="D1173" t="s">
        <v>2883</v>
      </c>
      <c r="E1173" t="str">
        <f t="shared" ref="E1173:E1178" si="200">"400926"</f>
        <v>400926</v>
      </c>
      <c r="F1173" t="s">
        <v>3219</v>
      </c>
      <c r="G1173">
        <v>24</v>
      </c>
      <c r="H1173">
        <v>0</v>
      </c>
      <c r="J1173" t="str">
        <f t="shared" ref="J1173:J1178" si="201">"100009204"</f>
        <v>100009204</v>
      </c>
      <c r="K1173" s="1">
        <v>47661</v>
      </c>
      <c r="M1173" s="1">
        <v>45836</v>
      </c>
      <c r="N1173" t="str">
        <f t="shared" si="199"/>
        <v>1329002017</v>
      </c>
      <c r="O1173">
        <v>24</v>
      </c>
      <c r="P1173" s="2">
        <v>46250.541539351849</v>
      </c>
      <c r="Q1173" s="2">
        <v>46250.541539351849</v>
      </c>
      <c r="R1173" s="2">
        <v>46250.541539351849</v>
      </c>
      <c r="S1173">
        <v>0</v>
      </c>
      <c r="T1173" t="s">
        <v>2079</v>
      </c>
      <c r="U1173" t="s">
        <v>2079</v>
      </c>
      <c r="W1173" t="str">
        <f t="shared" ref="W1173:W1178" si="202">"400926"</f>
        <v>400926</v>
      </c>
      <c r="X1173" t="s">
        <v>37</v>
      </c>
    </row>
    <row r="1174" spans="1:30" x14ac:dyDescent="0.35">
      <c r="A1174" t="s">
        <v>2182</v>
      </c>
      <c r="B1174" t="s">
        <v>31</v>
      </c>
      <c r="C1174" t="s">
        <v>3220</v>
      </c>
      <c r="D1174" t="s">
        <v>2883</v>
      </c>
      <c r="E1174" t="str">
        <f t="shared" si="200"/>
        <v>400926</v>
      </c>
      <c r="F1174" t="s">
        <v>3219</v>
      </c>
      <c r="G1174">
        <v>24</v>
      </c>
      <c r="H1174">
        <v>0</v>
      </c>
      <c r="J1174" t="str">
        <f t="shared" si="201"/>
        <v>100009204</v>
      </c>
      <c r="K1174" s="1">
        <v>47661</v>
      </c>
      <c r="M1174" s="1">
        <v>45836</v>
      </c>
      <c r="N1174" t="str">
        <f t="shared" si="199"/>
        <v>1329002017</v>
      </c>
      <c r="O1174">
        <v>24</v>
      </c>
      <c r="P1174" s="2">
        <v>46250.542199074072</v>
      </c>
      <c r="Q1174" s="2">
        <v>46250.542199074072</v>
      </c>
      <c r="R1174" s="2">
        <v>46250.542199074072</v>
      </c>
      <c r="S1174">
        <v>0</v>
      </c>
      <c r="T1174" t="s">
        <v>2079</v>
      </c>
      <c r="U1174" t="s">
        <v>2079</v>
      </c>
      <c r="W1174" t="str">
        <f t="shared" si="202"/>
        <v>400926</v>
      </c>
      <c r="X1174" t="s">
        <v>37</v>
      </c>
    </row>
    <row r="1175" spans="1:30" x14ac:dyDescent="0.35">
      <c r="A1175" t="s">
        <v>2182</v>
      </c>
      <c r="B1175" t="s">
        <v>31</v>
      </c>
      <c r="C1175" t="s">
        <v>3221</v>
      </c>
      <c r="D1175" t="s">
        <v>2883</v>
      </c>
      <c r="E1175" t="str">
        <f t="shared" si="200"/>
        <v>400926</v>
      </c>
      <c r="F1175" t="s">
        <v>3219</v>
      </c>
      <c r="G1175">
        <v>23</v>
      </c>
      <c r="H1175">
        <v>0</v>
      </c>
      <c r="J1175" t="str">
        <f t="shared" si="201"/>
        <v>100009204</v>
      </c>
      <c r="K1175" s="1">
        <v>47661</v>
      </c>
      <c r="M1175" s="1">
        <v>45836</v>
      </c>
      <c r="N1175" t="str">
        <f t="shared" si="199"/>
        <v>1329002017</v>
      </c>
      <c r="O1175">
        <v>23</v>
      </c>
      <c r="P1175" s="2">
        <v>46250.542847222219</v>
      </c>
      <c r="Q1175" s="2">
        <v>46250.542847222219</v>
      </c>
      <c r="R1175" s="2">
        <v>46250.542847222219</v>
      </c>
      <c r="S1175">
        <v>0</v>
      </c>
      <c r="T1175" t="s">
        <v>2079</v>
      </c>
      <c r="U1175" t="s">
        <v>2079</v>
      </c>
      <c r="W1175" t="str">
        <f t="shared" si="202"/>
        <v>400926</v>
      </c>
      <c r="X1175" t="s">
        <v>37</v>
      </c>
    </row>
    <row r="1176" spans="1:30" x14ac:dyDescent="0.35">
      <c r="A1176" t="s">
        <v>2182</v>
      </c>
      <c r="B1176" t="s">
        <v>31</v>
      </c>
      <c r="C1176" t="s">
        <v>3222</v>
      </c>
      <c r="D1176" t="s">
        <v>2883</v>
      </c>
      <c r="E1176" t="str">
        <f t="shared" si="200"/>
        <v>400926</v>
      </c>
      <c r="F1176" t="s">
        <v>3219</v>
      </c>
      <c r="G1176">
        <v>24</v>
      </c>
      <c r="H1176">
        <v>0</v>
      </c>
      <c r="J1176" t="str">
        <f t="shared" si="201"/>
        <v>100009204</v>
      </c>
      <c r="K1176" s="1">
        <v>47661</v>
      </c>
      <c r="M1176" s="1">
        <v>45836</v>
      </c>
      <c r="N1176" t="str">
        <f t="shared" si="199"/>
        <v>1329002017</v>
      </c>
      <c r="O1176">
        <v>24</v>
      </c>
      <c r="P1176" s="2">
        <v>46250.543391203704</v>
      </c>
      <c r="Q1176" s="2">
        <v>46250.543391203704</v>
      </c>
      <c r="R1176" s="2">
        <v>46250.543391203704</v>
      </c>
      <c r="S1176">
        <v>0</v>
      </c>
      <c r="T1176" t="s">
        <v>2079</v>
      </c>
      <c r="U1176" t="s">
        <v>2079</v>
      </c>
      <c r="W1176" t="str">
        <f t="shared" si="202"/>
        <v>400926</v>
      </c>
      <c r="X1176" t="s">
        <v>37</v>
      </c>
    </row>
    <row r="1177" spans="1:30" x14ac:dyDescent="0.35">
      <c r="A1177" t="s">
        <v>2182</v>
      </c>
      <c r="B1177" t="s">
        <v>31</v>
      </c>
      <c r="C1177" t="s">
        <v>3223</v>
      </c>
      <c r="D1177" t="s">
        <v>2883</v>
      </c>
      <c r="E1177" t="str">
        <f t="shared" si="200"/>
        <v>400926</v>
      </c>
      <c r="F1177" t="s">
        <v>3219</v>
      </c>
      <c r="G1177">
        <v>24</v>
      </c>
      <c r="H1177">
        <v>0</v>
      </c>
      <c r="J1177" t="str">
        <f t="shared" si="201"/>
        <v>100009204</v>
      </c>
      <c r="K1177" s="1">
        <v>47661</v>
      </c>
      <c r="M1177" s="1">
        <v>45836</v>
      </c>
      <c r="N1177" t="str">
        <f t="shared" si="199"/>
        <v>1329002017</v>
      </c>
      <c r="O1177">
        <v>24</v>
      </c>
      <c r="P1177" s="2">
        <v>46250.54378472222</v>
      </c>
      <c r="Q1177" s="2">
        <v>46250.54378472222</v>
      </c>
      <c r="R1177" s="2">
        <v>46250.54378472222</v>
      </c>
      <c r="S1177">
        <v>0</v>
      </c>
      <c r="T1177" t="s">
        <v>2079</v>
      </c>
      <c r="U1177" t="s">
        <v>2079</v>
      </c>
      <c r="W1177" t="str">
        <f t="shared" si="202"/>
        <v>400926</v>
      </c>
      <c r="X1177" t="s">
        <v>37</v>
      </c>
    </row>
    <row r="1178" spans="1:30" x14ac:dyDescent="0.35">
      <c r="A1178" t="s">
        <v>2182</v>
      </c>
      <c r="B1178" t="s">
        <v>31</v>
      </c>
      <c r="C1178" t="s">
        <v>3224</v>
      </c>
      <c r="D1178" t="s">
        <v>2883</v>
      </c>
      <c r="E1178" t="str">
        <f t="shared" si="200"/>
        <v>400926</v>
      </c>
      <c r="F1178" t="s">
        <v>3219</v>
      </c>
      <c r="G1178">
        <v>24</v>
      </c>
      <c r="H1178">
        <v>0</v>
      </c>
      <c r="J1178" t="str">
        <f t="shared" si="201"/>
        <v>100009204</v>
      </c>
      <c r="K1178" s="1">
        <v>47661</v>
      </c>
      <c r="M1178" s="1">
        <v>45836</v>
      </c>
      <c r="N1178" t="str">
        <f t="shared" si="199"/>
        <v>1329002017</v>
      </c>
      <c r="O1178">
        <v>24</v>
      </c>
      <c r="P1178" s="2">
        <v>46250.544108796297</v>
      </c>
      <c r="Q1178" s="2">
        <v>46250.544108796297</v>
      </c>
      <c r="R1178" s="2">
        <v>46250.544108796297</v>
      </c>
      <c r="S1178">
        <v>0</v>
      </c>
      <c r="T1178" t="s">
        <v>2079</v>
      </c>
      <c r="U1178" t="s">
        <v>2079</v>
      </c>
      <c r="W1178" t="str">
        <f t="shared" si="202"/>
        <v>400926</v>
      </c>
      <c r="X1178" t="s">
        <v>37</v>
      </c>
    </row>
    <row r="1179" spans="1:30" x14ac:dyDescent="0.35">
      <c r="A1179" t="s">
        <v>2182</v>
      </c>
      <c r="B1179" t="s">
        <v>31</v>
      </c>
      <c r="C1179" t="s">
        <v>3225</v>
      </c>
      <c r="D1179" t="s">
        <v>33</v>
      </c>
      <c r="E1179" t="str">
        <f>"400921"</f>
        <v>400921</v>
      </c>
      <c r="F1179" t="s">
        <v>3212</v>
      </c>
      <c r="G1179">
        <v>24</v>
      </c>
      <c r="H1179">
        <v>0</v>
      </c>
      <c r="I1179" t="s">
        <v>2276</v>
      </c>
      <c r="J1179" t="str">
        <f>"100009224"</f>
        <v>100009224</v>
      </c>
      <c r="K1179" s="1">
        <v>47663</v>
      </c>
      <c r="M1179" s="1">
        <v>45838</v>
      </c>
      <c r="N1179" t="str">
        <f t="shared" si="199"/>
        <v>1329002017</v>
      </c>
      <c r="O1179">
        <v>24</v>
      </c>
      <c r="P1179" s="2">
        <v>46250.534537037034</v>
      </c>
      <c r="Q1179" s="2">
        <v>46250.567847222221</v>
      </c>
      <c r="R1179" s="2">
        <v>46250.534537037034</v>
      </c>
      <c r="S1179">
        <v>0</v>
      </c>
      <c r="T1179" t="s">
        <v>2079</v>
      </c>
      <c r="U1179" t="s">
        <v>2079</v>
      </c>
      <c r="W1179" t="str">
        <f>"400921"</f>
        <v>400921</v>
      </c>
      <c r="X1179" t="s">
        <v>37</v>
      </c>
      <c r="AD1179" s="2">
        <v>46250.567847222221</v>
      </c>
    </row>
    <row r="1180" spans="1:30" x14ac:dyDescent="0.35">
      <c r="A1180" t="s">
        <v>2182</v>
      </c>
      <c r="B1180" t="s">
        <v>31</v>
      </c>
      <c r="C1180" t="s">
        <v>3226</v>
      </c>
      <c r="D1180" t="s">
        <v>33</v>
      </c>
      <c r="E1180" t="str">
        <f>"400412"</f>
        <v>400412</v>
      </c>
      <c r="F1180" t="s">
        <v>3227</v>
      </c>
      <c r="G1180">
        <v>21</v>
      </c>
      <c r="H1180">
        <v>0</v>
      </c>
      <c r="I1180" t="s">
        <v>3228</v>
      </c>
      <c r="J1180" t="str">
        <f>"100008869"</f>
        <v>100008869</v>
      </c>
      <c r="K1180" s="1">
        <v>47629</v>
      </c>
      <c r="M1180" s="1">
        <v>45804</v>
      </c>
      <c r="N1180" t="s">
        <v>2183</v>
      </c>
      <c r="O1180">
        <v>21</v>
      </c>
      <c r="P1180" s="2">
        <v>46245.639108796298</v>
      </c>
      <c r="Q1180" s="2">
        <v>46250.570439814815</v>
      </c>
      <c r="R1180" s="2">
        <v>46245.639108796298</v>
      </c>
      <c r="S1180">
        <v>0</v>
      </c>
      <c r="T1180" t="s">
        <v>2079</v>
      </c>
      <c r="U1180" t="s">
        <v>2079</v>
      </c>
      <c r="W1180" t="str">
        <f>"400412"</f>
        <v>400412</v>
      </c>
      <c r="X1180" t="s">
        <v>37</v>
      </c>
      <c r="AD1180" s="2">
        <v>46250.570439814815</v>
      </c>
    </row>
    <row r="1181" spans="1:30" x14ac:dyDescent="0.35">
      <c r="A1181" t="s">
        <v>2182</v>
      </c>
      <c r="B1181" t="s">
        <v>31</v>
      </c>
      <c r="C1181" t="s">
        <v>3229</v>
      </c>
      <c r="D1181" t="s">
        <v>33</v>
      </c>
      <c r="E1181" t="str">
        <f>"400477"</f>
        <v>400477</v>
      </c>
      <c r="F1181" t="s">
        <v>1842</v>
      </c>
      <c r="G1181">
        <v>8</v>
      </c>
      <c r="H1181">
        <v>0</v>
      </c>
      <c r="I1181" t="s">
        <v>2269</v>
      </c>
      <c r="J1181" t="str">
        <f>"100010374"</f>
        <v>100010374</v>
      </c>
      <c r="K1181" s="1">
        <v>47768</v>
      </c>
      <c r="M1181" s="1">
        <v>45943</v>
      </c>
      <c r="N1181" t="s">
        <v>2183</v>
      </c>
      <c r="O1181">
        <v>8</v>
      </c>
      <c r="P1181" s="2">
        <v>46245.640393518515</v>
      </c>
      <c r="Q1181" s="2">
        <v>46250.573009259257</v>
      </c>
      <c r="R1181" s="2">
        <v>46245.640393518515</v>
      </c>
      <c r="S1181">
        <v>0</v>
      </c>
      <c r="T1181" t="s">
        <v>2079</v>
      </c>
      <c r="U1181" t="s">
        <v>2079</v>
      </c>
      <c r="W1181" t="str">
        <f>"400477"</f>
        <v>400477</v>
      </c>
      <c r="X1181" t="s">
        <v>37</v>
      </c>
      <c r="AD1181" s="2">
        <v>46250.573009259257</v>
      </c>
    </row>
    <row r="1182" spans="1:30" x14ac:dyDescent="0.35">
      <c r="A1182" t="s">
        <v>2182</v>
      </c>
      <c r="B1182" t="s">
        <v>31</v>
      </c>
      <c r="C1182" t="s">
        <v>3230</v>
      </c>
      <c r="D1182" t="s">
        <v>33</v>
      </c>
      <c r="E1182" t="str">
        <f>"400412"</f>
        <v>400412</v>
      </c>
      <c r="F1182" t="s">
        <v>3227</v>
      </c>
      <c r="G1182">
        <v>52</v>
      </c>
      <c r="H1182">
        <v>0</v>
      </c>
      <c r="I1182" t="s">
        <v>2268</v>
      </c>
      <c r="J1182" t="str">
        <f>"100008869"</f>
        <v>100008869</v>
      </c>
      <c r="K1182" s="1">
        <v>47629</v>
      </c>
      <c r="M1182" s="1">
        <v>45804</v>
      </c>
      <c r="N1182" t="s">
        <v>2183</v>
      </c>
      <c r="O1182">
        <v>52</v>
      </c>
      <c r="P1182" s="2">
        <v>46245.639664351853</v>
      </c>
      <c r="Q1182" s="2">
        <v>46250.574664351851</v>
      </c>
      <c r="R1182" s="2">
        <v>46245.639664351853</v>
      </c>
      <c r="S1182">
        <v>0</v>
      </c>
      <c r="T1182" t="s">
        <v>2079</v>
      </c>
      <c r="U1182" t="s">
        <v>2079</v>
      </c>
      <c r="W1182" t="str">
        <f>"400412"</f>
        <v>400412</v>
      </c>
      <c r="X1182" t="s">
        <v>37</v>
      </c>
      <c r="AD1182" s="2">
        <v>46250.574664351851</v>
      </c>
    </row>
    <row r="1183" spans="1:30" x14ac:dyDescent="0.35">
      <c r="A1183" t="s">
        <v>2182</v>
      </c>
      <c r="B1183" t="s">
        <v>31</v>
      </c>
      <c r="C1183" t="s">
        <v>3231</v>
      </c>
      <c r="D1183" t="s">
        <v>33</v>
      </c>
      <c r="E1183" t="str">
        <f>"400766"</f>
        <v>400766</v>
      </c>
      <c r="F1183" t="s">
        <v>2568</v>
      </c>
      <c r="G1183">
        <v>4</v>
      </c>
      <c r="H1183">
        <v>0</v>
      </c>
      <c r="I1183" t="s">
        <v>2261</v>
      </c>
      <c r="J1183" t="str">
        <f>"100009139"</f>
        <v>100009139</v>
      </c>
      <c r="K1183" s="1">
        <v>47656</v>
      </c>
      <c r="M1183" s="1">
        <v>45831</v>
      </c>
      <c r="N1183" t="s">
        <v>2183</v>
      </c>
      <c r="O1183">
        <v>4</v>
      </c>
      <c r="P1183" s="2">
        <v>46245.642164351855</v>
      </c>
      <c r="Q1183" s="2">
        <v>46250.576458333337</v>
      </c>
      <c r="R1183" s="2">
        <v>46245.642164351855</v>
      </c>
      <c r="S1183">
        <v>0</v>
      </c>
      <c r="T1183" t="s">
        <v>2079</v>
      </c>
      <c r="U1183" t="s">
        <v>2079</v>
      </c>
      <c r="W1183" t="str">
        <f>"400766"</f>
        <v>400766</v>
      </c>
      <c r="X1183" t="s">
        <v>41</v>
      </c>
      <c r="AD1183" s="2">
        <v>46250.576458333337</v>
      </c>
    </row>
    <row r="1184" spans="1:30" x14ac:dyDescent="0.35">
      <c r="A1184" t="s">
        <v>2182</v>
      </c>
      <c r="B1184" t="s">
        <v>31</v>
      </c>
      <c r="C1184" t="s">
        <v>3232</v>
      </c>
      <c r="D1184" t="s">
        <v>33</v>
      </c>
      <c r="E1184" t="str">
        <f>"400918"</f>
        <v>400918</v>
      </c>
      <c r="F1184" t="s">
        <v>2602</v>
      </c>
      <c r="G1184">
        <v>24</v>
      </c>
      <c r="H1184">
        <v>0</v>
      </c>
      <c r="I1184" t="s">
        <v>2355</v>
      </c>
      <c r="J1184" t="str">
        <f>"100010777"</f>
        <v>100010777</v>
      </c>
      <c r="K1184" s="1">
        <v>47806</v>
      </c>
      <c r="M1184" s="1">
        <v>45981</v>
      </c>
      <c r="N1184" t="s">
        <v>2183</v>
      </c>
      <c r="O1184">
        <v>24</v>
      </c>
      <c r="P1184" s="2">
        <v>46245.64329861111</v>
      </c>
      <c r="Q1184" s="2">
        <v>46250.579814814817</v>
      </c>
      <c r="R1184" s="2">
        <v>46245.64329861111</v>
      </c>
      <c r="S1184">
        <v>0</v>
      </c>
      <c r="T1184" t="s">
        <v>2079</v>
      </c>
      <c r="U1184" t="s">
        <v>2079</v>
      </c>
      <c r="W1184" t="str">
        <f>"400918"</f>
        <v>400918</v>
      </c>
      <c r="X1184" t="s">
        <v>37</v>
      </c>
      <c r="AD1184" s="2">
        <v>46250.579814814817</v>
      </c>
    </row>
    <row r="1185" spans="1:30" x14ac:dyDescent="0.35">
      <c r="A1185" t="s">
        <v>2182</v>
      </c>
      <c r="B1185" t="s">
        <v>31</v>
      </c>
      <c r="C1185" t="s">
        <v>3233</v>
      </c>
      <c r="D1185" t="s">
        <v>33</v>
      </c>
      <c r="E1185" t="str">
        <f>"400766"</f>
        <v>400766</v>
      </c>
      <c r="F1185" t="s">
        <v>2568</v>
      </c>
      <c r="G1185">
        <v>3</v>
      </c>
      <c r="H1185">
        <v>0</v>
      </c>
      <c r="I1185" t="s">
        <v>2303</v>
      </c>
      <c r="J1185" t="str">
        <f>"100008947"</f>
        <v>100008947</v>
      </c>
      <c r="K1185" s="1">
        <v>47634</v>
      </c>
      <c r="M1185" s="1">
        <v>45809</v>
      </c>
      <c r="N1185" t="s">
        <v>2183</v>
      </c>
      <c r="O1185">
        <v>3</v>
      </c>
      <c r="P1185" s="2">
        <v>46245.641377314816</v>
      </c>
      <c r="Q1185" s="2">
        <v>46250.582974537036</v>
      </c>
      <c r="R1185" s="2">
        <v>46245.641377314816</v>
      </c>
      <c r="S1185">
        <v>0</v>
      </c>
      <c r="T1185" t="s">
        <v>2079</v>
      </c>
      <c r="U1185" t="s">
        <v>2079</v>
      </c>
      <c r="W1185" t="str">
        <f>"400766"</f>
        <v>400766</v>
      </c>
      <c r="X1185" t="s">
        <v>41</v>
      </c>
      <c r="AD1185" s="2">
        <v>46250.582974537036</v>
      </c>
    </row>
    <row r="1186" spans="1:30" x14ac:dyDescent="0.35">
      <c r="A1186" t="s">
        <v>2182</v>
      </c>
      <c r="B1186" t="s">
        <v>31</v>
      </c>
      <c r="C1186" t="s">
        <v>3234</v>
      </c>
      <c r="D1186" t="s">
        <v>2883</v>
      </c>
      <c r="E1186" t="str">
        <f>"400921"</f>
        <v>400921</v>
      </c>
      <c r="F1186" t="s">
        <v>3212</v>
      </c>
      <c r="G1186">
        <v>19</v>
      </c>
      <c r="H1186">
        <v>0</v>
      </c>
      <c r="J1186" t="str">
        <f>"100009224"</f>
        <v>100009224</v>
      </c>
      <c r="K1186" s="1">
        <v>47663</v>
      </c>
      <c r="M1186" s="1">
        <v>45838</v>
      </c>
      <c r="N1186" t="str">
        <f>"1329002017"</f>
        <v>1329002017</v>
      </c>
      <c r="O1186">
        <v>24</v>
      </c>
      <c r="P1186" s="2">
        <v>46250.543090277781</v>
      </c>
      <c r="Q1186" s="2">
        <v>46250.604780092595</v>
      </c>
      <c r="R1186" s="2">
        <v>46250.543090277781</v>
      </c>
      <c r="S1186">
        <v>0</v>
      </c>
      <c r="T1186" t="s">
        <v>2079</v>
      </c>
      <c r="U1186" t="s">
        <v>2079</v>
      </c>
      <c r="W1186" t="str">
        <f>"400921"</f>
        <v>400921</v>
      </c>
      <c r="X1186" t="s">
        <v>37</v>
      </c>
    </row>
    <row r="1187" spans="1:30" x14ac:dyDescent="0.35">
      <c r="A1187" t="s">
        <v>2182</v>
      </c>
      <c r="B1187" t="s">
        <v>31</v>
      </c>
      <c r="C1187" t="s">
        <v>3235</v>
      </c>
      <c r="D1187" t="s">
        <v>33</v>
      </c>
      <c r="E1187" t="str">
        <f>"400921"</f>
        <v>400921</v>
      </c>
      <c r="F1187" t="s">
        <v>3212</v>
      </c>
      <c r="G1187">
        <v>5</v>
      </c>
      <c r="H1187">
        <v>0</v>
      </c>
      <c r="I1187" t="s">
        <v>3236</v>
      </c>
      <c r="J1187" t="str">
        <f>"100009224"</f>
        <v>100009224</v>
      </c>
      <c r="K1187" s="1">
        <v>47663</v>
      </c>
      <c r="M1187" s="1">
        <v>45838</v>
      </c>
      <c r="N1187" t="str">
        <f>"1329002017"</f>
        <v>1329002017</v>
      </c>
      <c r="O1187">
        <v>0</v>
      </c>
      <c r="P1187" s="2">
        <v>46250.604768518519</v>
      </c>
      <c r="Q1187" s="2">
        <v>46250.608981481484</v>
      </c>
      <c r="S1187">
        <v>1</v>
      </c>
      <c r="U1187" t="s">
        <v>2079</v>
      </c>
      <c r="W1187" t="str">
        <f>"400921"</f>
        <v>400921</v>
      </c>
      <c r="X1187" t="s">
        <v>37</v>
      </c>
      <c r="AD1187" s="2">
        <v>46250.608981481484</v>
      </c>
    </row>
    <row r="1188" spans="1:30" x14ac:dyDescent="0.35">
      <c r="A1188" t="s">
        <v>2182</v>
      </c>
      <c r="B1188" t="s">
        <v>31</v>
      </c>
      <c r="C1188" t="s">
        <v>3237</v>
      </c>
      <c r="D1188" t="s">
        <v>33</v>
      </c>
      <c r="E1188" t="str">
        <f>"400399"</f>
        <v>400399</v>
      </c>
      <c r="F1188" t="s">
        <v>1576</v>
      </c>
      <c r="G1188">
        <v>12</v>
      </c>
      <c r="H1188">
        <v>0</v>
      </c>
      <c r="I1188" t="s">
        <v>2265</v>
      </c>
      <c r="J1188" t="str">
        <f>"100010886"</f>
        <v>100010886</v>
      </c>
      <c r="K1188" s="1">
        <v>47813</v>
      </c>
      <c r="M1188" s="1">
        <v>45988</v>
      </c>
      <c r="N1188" t="str">
        <f>"1329002016"</f>
        <v>1329002016</v>
      </c>
      <c r="O1188">
        <v>52</v>
      </c>
      <c r="P1188" s="2">
        <v>46247.388564814813</v>
      </c>
      <c r="Q1188" s="2">
        <v>46251.304942129631</v>
      </c>
      <c r="R1188" s="2">
        <v>46247.388564814813</v>
      </c>
      <c r="S1188">
        <v>0</v>
      </c>
      <c r="T1188" t="s">
        <v>2079</v>
      </c>
      <c r="U1188" t="s">
        <v>2079</v>
      </c>
      <c r="W1188" t="str">
        <f>"400399"</f>
        <v>400399</v>
      </c>
      <c r="X1188" t="s">
        <v>37</v>
      </c>
      <c r="AD1188" s="2">
        <v>46249.466238425928</v>
      </c>
    </row>
    <row r="1189" spans="1:30" x14ac:dyDescent="0.35">
      <c r="A1189" t="s">
        <v>2182</v>
      </c>
      <c r="B1189" t="s">
        <v>31</v>
      </c>
      <c r="C1189" t="s">
        <v>3238</v>
      </c>
      <c r="D1189" t="s">
        <v>33</v>
      </c>
      <c r="E1189" t="str">
        <f>"400426"</f>
        <v>400426</v>
      </c>
      <c r="F1189" t="s">
        <v>34</v>
      </c>
      <c r="G1189">
        <v>14</v>
      </c>
      <c r="H1189">
        <v>0</v>
      </c>
      <c r="I1189" t="s">
        <v>2226</v>
      </c>
      <c r="J1189" t="str">
        <f>"153000403"</f>
        <v>153000403</v>
      </c>
      <c r="K1189" s="1">
        <v>48018</v>
      </c>
      <c r="M1189" s="1">
        <v>46193</v>
      </c>
      <c r="N1189" t="str">
        <f>"1329001953"</f>
        <v>1329001953</v>
      </c>
      <c r="O1189">
        <v>24</v>
      </c>
      <c r="P1189" s="2">
        <v>46219.480532407404</v>
      </c>
      <c r="Q1189" s="2">
        <v>46251.365706018521</v>
      </c>
      <c r="R1189" s="2">
        <v>46219.480532407404</v>
      </c>
      <c r="S1189">
        <v>0</v>
      </c>
      <c r="T1189" t="s">
        <v>2079</v>
      </c>
      <c r="U1189" t="s">
        <v>2079</v>
      </c>
      <c r="W1189" t="str">
        <f>"400426"</f>
        <v>400426</v>
      </c>
      <c r="X1189" t="s">
        <v>37</v>
      </c>
      <c r="AD1189" s="2">
        <v>46219.588206018518</v>
      </c>
    </row>
    <row r="1190" spans="1:30" x14ac:dyDescent="0.35">
      <c r="A1190" t="s">
        <v>2182</v>
      </c>
      <c r="B1190" t="s">
        <v>31</v>
      </c>
      <c r="C1190" t="s">
        <v>3239</v>
      </c>
      <c r="D1190" t="s">
        <v>33</v>
      </c>
      <c r="E1190" t="str">
        <f>"400405"</f>
        <v>400405</v>
      </c>
      <c r="F1190" t="s">
        <v>519</v>
      </c>
      <c r="G1190">
        <v>15</v>
      </c>
      <c r="H1190">
        <v>0</v>
      </c>
      <c r="I1190" t="s">
        <v>2224</v>
      </c>
      <c r="J1190" t="str">
        <f>"153000440"</f>
        <v>153000440</v>
      </c>
      <c r="K1190" s="1">
        <v>48036</v>
      </c>
      <c r="M1190" s="1">
        <v>46211</v>
      </c>
      <c r="N1190" t="str">
        <f>"1329001951"</f>
        <v>1329001951</v>
      </c>
      <c r="O1190">
        <v>52</v>
      </c>
      <c r="P1190" s="2">
        <v>46218.570567129631</v>
      </c>
      <c r="Q1190" s="2">
        <v>46251.365844907406</v>
      </c>
      <c r="R1190" s="2">
        <v>46218.570567129631</v>
      </c>
      <c r="S1190">
        <v>0</v>
      </c>
      <c r="T1190" t="s">
        <v>2079</v>
      </c>
      <c r="U1190" t="s">
        <v>2079</v>
      </c>
      <c r="V1190" t="s">
        <v>3174</v>
      </c>
      <c r="W1190" t="str">
        <f>"400405"</f>
        <v>400405</v>
      </c>
      <c r="X1190" t="s">
        <v>37</v>
      </c>
      <c r="AD1190" s="2">
        <v>46218.608726851853</v>
      </c>
    </row>
    <row r="1191" spans="1:30" x14ac:dyDescent="0.35">
      <c r="A1191" t="s">
        <v>2182</v>
      </c>
      <c r="B1191" t="s">
        <v>31</v>
      </c>
      <c r="C1191" t="s">
        <v>3240</v>
      </c>
      <c r="D1191" t="s">
        <v>33</v>
      </c>
      <c r="E1191" t="str">
        <f>"400399"</f>
        <v>400399</v>
      </c>
      <c r="F1191" t="s">
        <v>1576</v>
      </c>
      <c r="G1191">
        <v>4</v>
      </c>
      <c r="H1191">
        <v>0</v>
      </c>
      <c r="I1191" t="s">
        <v>2222</v>
      </c>
      <c r="J1191" t="str">
        <f>"100010886"</f>
        <v>100010886</v>
      </c>
      <c r="K1191" s="1">
        <v>47813</v>
      </c>
      <c r="M1191" s="1">
        <v>45988</v>
      </c>
      <c r="N1191" t="str">
        <f>"1329002016"</f>
        <v>1329002016</v>
      </c>
      <c r="O1191">
        <v>52</v>
      </c>
      <c r="P1191" s="2">
        <v>46247.386018518519</v>
      </c>
      <c r="Q1191" s="2">
        <v>46251.366041666668</v>
      </c>
      <c r="R1191" s="2">
        <v>46247.386018518519</v>
      </c>
      <c r="S1191">
        <v>0</v>
      </c>
      <c r="T1191" t="s">
        <v>2079</v>
      </c>
      <c r="U1191" t="s">
        <v>2079</v>
      </c>
      <c r="W1191" t="str">
        <f>"400399"</f>
        <v>400399</v>
      </c>
      <c r="X1191" t="s">
        <v>37</v>
      </c>
      <c r="AD1191" s="2">
        <v>46251.30023148148</v>
      </c>
    </row>
    <row r="1192" spans="1:30" x14ac:dyDescent="0.35">
      <c r="A1192" t="s">
        <v>2182</v>
      </c>
      <c r="B1192" t="s">
        <v>31</v>
      </c>
      <c r="C1192" t="s">
        <v>3241</v>
      </c>
      <c r="D1192" t="s">
        <v>33</v>
      </c>
      <c r="E1192" t="str">
        <f>"401047"</f>
        <v>401047</v>
      </c>
      <c r="F1192" t="s">
        <v>1730</v>
      </c>
      <c r="G1192">
        <v>2</v>
      </c>
      <c r="H1192">
        <v>0</v>
      </c>
      <c r="I1192" t="s">
        <v>2236</v>
      </c>
      <c r="J1192" t="str">
        <f>"153000449"</f>
        <v>153000449</v>
      </c>
      <c r="K1192" s="1">
        <v>48040</v>
      </c>
      <c r="M1192" s="1">
        <v>46215</v>
      </c>
      <c r="N1192" t="str">
        <f>"1329001992"</f>
        <v>1329001992</v>
      </c>
      <c r="O1192">
        <v>4</v>
      </c>
      <c r="P1192" s="2">
        <v>46229.393923611111</v>
      </c>
      <c r="Q1192" s="2">
        <v>46251.598645833335</v>
      </c>
      <c r="R1192" s="2">
        <v>46229.393923611111</v>
      </c>
      <c r="S1192">
        <v>0</v>
      </c>
      <c r="T1192" t="s">
        <v>2079</v>
      </c>
      <c r="U1192" t="s">
        <v>2079</v>
      </c>
      <c r="W1192" t="str">
        <f>"401047"</f>
        <v>401047</v>
      </c>
      <c r="X1192" t="s">
        <v>41</v>
      </c>
      <c r="AD1192" s="2">
        <v>46237.610300925924</v>
      </c>
    </row>
    <row r="1193" spans="1:30" x14ac:dyDescent="0.35">
      <c r="A1193" t="s">
        <v>2182</v>
      </c>
      <c r="B1193" t="s">
        <v>31</v>
      </c>
      <c r="C1193" t="s">
        <v>3242</v>
      </c>
      <c r="D1193" t="s">
        <v>33</v>
      </c>
      <c r="E1193" t="str">
        <f>"400498"</f>
        <v>400498</v>
      </c>
      <c r="F1193" t="s">
        <v>3217</v>
      </c>
      <c r="G1193">
        <v>40</v>
      </c>
      <c r="H1193">
        <v>0</v>
      </c>
      <c r="I1193" t="s">
        <v>2951</v>
      </c>
      <c r="J1193" t="str">
        <f>"100005702"</f>
        <v>100005702</v>
      </c>
      <c r="K1193" s="1">
        <v>47294</v>
      </c>
      <c r="M1193" s="1">
        <v>45469</v>
      </c>
      <c r="N1193" t="str">
        <f>"1329002017"</f>
        <v>1329002017</v>
      </c>
      <c r="O1193">
        <v>40</v>
      </c>
      <c r="P1193" s="2">
        <v>46250.478773148148</v>
      </c>
      <c r="Q1193" s="2">
        <v>46251.63894675926</v>
      </c>
      <c r="R1193" s="2">
        <v>46250.478773148148</v>
      </c>
      <c r="S1193">
        <v>0</v>
      </c>
      <c r="T1193" t="s">
        <v>2079</v>
      </c>
      <c r="U1193" t="s">
        <v>2079</v>
      </c>
      <c r="W1193" t="str">
        <f>"400498"</f>
        <v>400498</v>
      </c>
      <c r="X1193" t="s">
        <v>37</v>
      </c>
      <c r="AD1193" s="2">
        <v>46251.63894675926</v>
      </c>
    </row>
    <row r="1194" spans="1:30" x14ac:dyDescent="0.35">
      <c r="A1194" t="s">
        <v>2182</v>
      </c>
      <c r="B1194" t="s">
        <v>31</v>
      </c>
      <c r="C1194" t="s">
        <v>3243</v>
      </c>
      <c r="D1194" t="s">
        <v>33</v>
      </c>
      <c r="E1194" t="str">
        <f>"400927"</f>
        <v>400927</v>
      </c>
      <c r="F1194" t="s">
        <v>1459</v>
      </c>
      <c r="G1194">
        <v>24</v>
      </c>
      <c r="H1194">
        <v>0</v>
      </c>
      <c r="I1194" t="s">
        <v>2255</v>
      </c>
      <c r="J1194" t="str">
        <f>"100010268"</f>
        <v>100010268</v>
      </c>
      <c r="K1194" s="1">
        <v>47760</v>
      </c>
      <c r="M1194" s="1">
        <v>45935</v>
      </c>
      <c r="N1194" t="str">
        <f>"1329002016"</f>
        <v>1329002016</v>
      </c>
      <c r="O1194">
        <v>24</v>
      </c>
      <c r="P1194" s="2">
        <v>46247.319537037038</v>
      </c>
      <c r="Q1194" s="2">
        <v>46251.641469907408</v>
      </c>
      <c r="R1194" s="2">
        <v>46247.319537037038</v>
      </c>
      <c r="S1194">
        <v>0</v>
      </c>
      <c r="T1194" t="s">
        <v>2079</v>
      </c>
      <c r="U1194" t="s">
        <v>2079</v>
      </c>
      <c r="W1194" t="str">
        <f>"400927"</f>
        <v>400927</v>
      </c>
      <c r="X1194" t="s">
        <v>37</v>
      </c>
      <c r="AD1194" s="2">
        <v>46251.641469907408</v>
      </c>
    </row>
    <row r="1195" spans="1:30" x14ac:dyDescent="0.35">
      <c r="A1195" t="s">
        <v>2182</v>
      </c>
      <c r="B1195" t="s">
        <v>31</v>
      </c>
      <c r="C1195" t="s">
        <v>3244</v>
      </c>
      <c r="D1195" t="s">
        <v>33</v>
      </c>
      <c r="E1195" t="str">
        <f>"400498"</f>
        <v>400498</v>
      </c>
      <c r="F1195" t="s">
        <v>3217</v>
      </c>
      <c r="G1195">
        <v>40</v>
      </c>
      <c r="H1195">
        <v>0</v>
      </c>
      <c r="I1195" t="s">
        <v>3245</v>
      </c>
      <c r="J1195" t="str">
        <f>"100005702"</f>
        <v>100005702</v>
      </c>
      <c r="K1195" s="1">
        <v>47294</v>
      </c>
      <c r="M1195" s="1">
        <v>45469</v>
      </c>
      <c r="N1195" t="str">
        <f>"1329002017"</f>
        <v>1329002017</v>
      </c>
      <c r="O1195">
        <v>40</v>
      </c>
      <c r="P1195" s="2">
        <v>46250.53733796296</v>
      </c>
      <c r="Q1195" s="2">
        <v>46251.644363425927</v>
      </c>
      <c r="R1195" s="2">
        <v>46250.53733796296</v>
      </c>
      <c r="S1195">
        <v>0</v>
      </c>
      <c r="T1195" t="s">
        <v>2079</v>
      </c>
      <c r="U1195" t="s">
        <v>2079</v>
      </c>
      <c r="W1195" t="str">
        <f>"400498"</f>
        <v>400498</v>
      </c>
      <c r="X1195" t="s">
        <v>37</v>
      </c>
      <c r="AD1195" s="2">
        <v>46251.644363425927</v>
      </c>
    </row>
    <row r="1196" spans="1:30" x14ac:dyDescent="0.35">
      <c r="A1196" t="s">
        <v>2182</v>
      </c>
      <c r="B1196" t="s">
        <v>31</v>
      </c>
      <c r="C1196" t="s">
        <v>3246</v>
      </c>
      <c r="D1196" t="s">
        <v>33</v>
      </c>
      <c r="E1196" t="str">
        <f>"400498"</f>
        <v>400498</v>
      </c>
      <c r="F1196" t="s">
        <v>3217</v>
      </c>
      <c r="G1196">
        <v>40</v>
      </c>
      <c r="H1196">
        <v>0</v>
      </c>
      <c r="I1196" t="s">
        <v>2227</v>
      </c>
      <c r="J1196" t="str">
        <f>"100005702"</f>
        <v>100005702</v>
      </c>
      <c r="K1196" s="1">
        <v>47294</v>
      </c>
      <c r="M1196" s="1">
        <v>45469</v>
      </c>
      <c r="N1196" t="str">
        <f>"1329002017"</f>
        <v>1329002017</v>
      </c>
      <c r="O1196">
        <v>40</v>
      </c>
      <c r="P1196" s="2">
        <v>46250.536736111113</v>
      </c>
      <c r="Q1196" s="2">
        <v>46251.646006944444</v>
      </c>
      <c r="R1196" s="2">
        <v>46250.536736111113</v>
      </c>
      <c r="S1196">
        <v>0</v>
      </c>
      <c r="T1196" t="s">
        <v>2079</v>
      </c>
      <c r="U1196" t="s">
        <v>2079</v>
      </c>
      <c r="W1196" t="str">
        <f>"400498"</f>
        <v>400498</v>
      </c>
      <c r="X1196" t="s">
        <v>37</v>
      </c>
      <c r="AD1196" s="2">
        <v>46251.646006944444</v>
      </c>
    </row>
    <row r="1197" spans="1:30" x14ac:dyDescent="0.35">
      <c r="A1197" t="s">
        <v>2182</v>
      </c>
      <c r="B1197" t="s">
        <v>31</v>
      </c>
      <c r="C1197" t="s">
        <v>3247</v>
      </c>
      <c r="D1197" t="s">
        <v>33</v>
      </c>
      <c r="E1197" t="str">
        <f>"400921"</f>
        <v>400921</v>
      </c>
      <c r="F1197" t="s">
        <v>3212</v>
      </c>
      <c r="G1197">
        <v>24</v>
      </c>
      <c r="H1197">
        <v>0</v>
      </c>
      <c r="I1197" t="s">
        <v>2234</v>
      </c>
      <c r="J1197" t="str">
        <f>"100009224"</f>
        <v>100009224</v>
      </c>
      <c r="K1197" s="1">
        <v>47663</v>
      </c>
      <c r="M1197" s="1">
        <v>45838</v>
      </c>
      <c r="N1197" t="str">
        <f>"1329002017"</f>
        <v>1329002017</v>
      </c>
      <c r="O1197">
        <v>24</v>
      </c>
      <c r="P1197" s="2">
        <v>46250.542534722219</v>
      </c>
      <c r="Q1197" s="2">
        <v>46251.646979166668</v>
      </c>
      <c r="R1197" s="2">
        <v>46250.542534722219</v>
      </c>
      <c r="S1197">
        <v>0</v>
      </c>
      <c r="T1197" t="s">
        <v>2079</v>
      </c>
      <c r="U1197" t="s">
        <v>2079</v>
      </c>
      <c r="W1197" t="str">
        <f>"400921"</f>
        <v>400921</v>
      </c>
      <c r="X1197" t="s">
        <v>37</v>
      </c>
      <c r="AD1197" s="2">
        <v>46251.646979166668</v>
      </c>
    </row>
    <row r="1198" spans="1:30" x14ac:dyDescent="0.35">
      <c r="A1198" t="s">
        <v>2182</v>
      </c>
      <c r="B1198" t="s">
        <v>31</v>
      </c>
      <c r="C1198" t="s">
        <v>3248</v>
      </c>
      <c r="D1198" t="s">
        <v>33</v>
      </c>
      <c r="E1198" t="str">
        <f>"400498"</f>
        <v>400498</v>
      </c>
      <c r="F1198" t="s">
        <v>3217</v>
      </c>
      <c r="G1198">
        <v>40</v>
      </c>
      <c r="H1198">
        <v>0</v>
      </c>
      <c r="I1198" t="s">
        <v>2241</v>
      </c>
      <c r="J1198" t="str">
        <f>"100005702"</f>
        <v>100005702</v>
      </c>
      <c r="K1198" s="1">
        <v>47294</v>
      </c>
      <c r="M1198" s="1">
        <v>45469</v>
      </c>
      <c r="N1198" t="str">
        <f>"1329002017"</f>
        <v>1329002017</v>
      </c>
      <c r="O1198">
        <v>40</v>
      </c>
      <c r="P1198" s="2">
        <v>46250.541863425926</v>
      </c>
      <c r="Q1198" s="2">
        <v>46251.649594907409</v>
      </c>
      <c r="R1198" s="2">
        <v>46250.541863425926</v>
      </c>
      <c r="S1198">
        <v>0</v>
      </c>
      <c r="T1198" t="s">
        <v>2079</v>
      </c>
      <c r="U1198" t="s">
        <v>2079</v>
      </c>
      <c r="W1198" t="str">
        <f>"400498"</f>
        <v>400498</v>
      </c>
      <c r="X1198" t="s">
        <v>37</v>
      </c>
      <c r="AD1198" s="2">
        <v>46251.649594907409</v>
      </c>
    </row>
    <row r="1199" spans="1:30" x14ac:dyDescent="0.35">
      <c r="A1199" t="s">
        <v>2182</v>
      </c>
      <c r="B1199" t="s">
        <v>31</v>
      </c>
      <c r="C1199" t="s">
        <v>3249</v>
      </c>
      <c r="D1199" t="s">
        <v>33</v>
      </c>
      <c r="E1199" t="str">
        <f>"400914"</f>
        <v>400914</v>
      </c>
      <c r="F1199" t="s">
        <v>2205</v>
      </c>
      <c r="G1199">
        <v>3</v>
      </c>
      <c r="H1199">
        <v>0</v>
      </c>
      <c r="I1199" t="s">
        <v>2206</v>
      </c>
      <c r="J1199" t="str">
        <f>"400004620"</f>
        <v>400004620</v>
      </c>
      <c r="K1199" s="1">
        <v>48036</v>
      </c>
      <c r="M1199" s="1">
        <v>46211</v>
      </c>
      <c r="N1199" t="str">
        <f>"1329001991"</f>
        <v>1329001991</v>
      </c>
      <c r="O1199">
        <v>4</v>
      </c>
      <c r="P1199" s="2">
        <v>46231.57439814815</v>
      </c>
      <c r="Q1199" s="2">
        <v>46252.404606481483</v>
      </c>
      <c r="R1199" s="2">
        <v>46231.57439814815</v>
      </c>
      <c r="S1199">
        <v>0</v>
      </c>
      <c r="T1199" t="s">
        <v>2079</v>
      </c>
      <c r="U1199" t="s">
        <v>2079</v>
      </c>
      <c r="W1199" t="str">
        <f>"400914"</f>
        <v>400914</v>
      </c>
      <c r="X1199" t="s">
        <v>41</v>
      </c>
      <c r="AD1199" s="2">
        <v>46252.307106481479</v>
      </c>
    </row>
    <row r="1200" spans="1:30" x14ac:dyDescent="0.35">
      <c r="A1200" t="s">
        <v>2182</v>
      </c>
      <c r="B1200" t="s">
        <v>31</v>
      </c>
      <c r="C1200" t="s">
        <v>3250</v>
      </c>
      <c r="D1200" t="s">
        <v>33</v>
      </c>
      <c r="E1200" t="str">
        <f>"400498"</f>
        <v>400498</v>
      </c>
      <c r="F1200" t="s">
        <v>3217</v>
      </c>
      <c r="G1200">
        <v>36</v>
      </c>
      <c r="H1200">
        <v>0</v>
      </c>
      <c r="I1200" t="s">
        <v>2221</v>
      </c>
      <c r="J1200" t="str">
        <f>"100005702"</f>
        <v>100005702</v>
      </c>
      <c r="K1200" s="1">
        <v>47294</v>
      </c>
      <c r="M1200" s="1">
        <v>45469</v>
      </c>
      <c r="N1200" t="str">
        <f>"1329002017"</f>
        <v>1329002017</v>
      </c>
      <c r="O1200">
        <v>36</v>
      </c>
      <c r="P1200" s="2">
        <v>46250.537939814814</v>
      </c>
      <c r="Q1200" s="2">
        <v>46252.414780092593</v>
      </c>
      <c r="R1200" s="2">
        <v>46250.537939814814</v>
      </c>
      <c r="S1200">
        <v>0</v>
      </c>
      <c r="T1200" t="s">
        <v>2079</v>
      </c>
      <c r="U1200" t="s">
        <v>2079</v>
      </c>
      <c r="W1200" t="str">
        <f>"400498"</f>
        <v>400498</v>
      </c>
      <c r="X1200" t="s">
        <v>37</v>
      </c>
      <c r="AD1200" s="2">
        <v>46252.414780092593</v>
      </c>
    </row>
    <row r="1201" spans="1:30" x14ac:dyDescent="0.35">
      <c r="A1201" t="s">
        <v>2182</v>
      </c>
      <c r="B1201" t="s">
        <v>31</v>
      </c>
      <c r="C1201" t="s">
        <v>3251</v>
      </c>
      <c r="D1201" t="s">
        <v>33</v>
      </c>
      <c r="E1201" t="str">
        <f>"400729"</f>
        <v>400729</v>
      </c>
      <c r="F1201" t="s">
        <v>2285</v>
      </c>
      <c r="G1201">
        <v>15</v>
      </c>
      <c r="H1201">
        <v>0</v>
      </c>
      <c r="I1201" t="s">
        <v>2229</v>
      </c>
      <c r="J1201" t="str">
        <f>"0002203355"</f>
        <v>0002203355</v>
      </c>
      <c r="K1201" s="1">
        <v>47329</v>
      </c>
      <c r="M1201" s="1">
        <v>45504</v>
      </c>
      <c r="N1201" t="str">
        <f>"1329002003"</f>
        <v>1329002003</v>
      </c>
      <c r="O1201">
        <v>15</v>
      </c>
      <c r="P1201" s="2">
        <v>46240.311631944445</v>
      </c>
      <c r="Q1201" s="2">
        <v>46252.416481481479</v>
      </c>
      <c r="R1201" s="2">
        <v>46240.311631944445</v>
      </c>
      <c r="S1201">
        <v>0</v>
      </c>
      <c r="T1201" t="s">
        <v>2079</v>
      </c>
      <c r="U1201" t="s">
        <v>2079</v>
      </c>
      <c r="V1201" t="s">
        <v>2421</v>
      </c>
      <c r="W1201" t="str">
        <f>"400729"</f>
        <v>400729</v>
      </c>
      <c r="X1201" t="s">
        <v>37</v>
      </c>
      <c r="AD1201" s="2">
        <v>46242.348900462966</v>
      </c>
    </row>
    <row r="1202" spans="1:30" x14ac:dyDescent="0.35">
      <c r="A1202" t="s">
        <v>2182</v>
      </c>
      <c r="B1202" t="s">
        <v>31</v>
      </c>
      <c r="C1202" t="s">
        <v>3252</v>
      </c>
      <c r="D1202" t="s">
        <v>33</v>
      </c>
      <c r="E1202" t="str">
        <f>"400498"</f>
        <v>400498</v>
      </c>
      <c r="F1202" t="s">
        <v>3217</v>
      </c>
      <c r="G1202">
        <v>40</v>
      </c>
      <c r="H1202">
        <v>0</v>
      </c>
      <c r="I1202" t="s">
        <v>2421</v>
      </c>
      <c r="J1202" t="str">
        <f>"100005702"</f>
        <v>100005702</v>
      </c>
      <c r="K1202" s="1">
        <v>47294</v>
      </c>
      <c r="M1202" s="1">
        <v>45469</v>
      </c>
      <c r="N1202" t="str">
        <f>"1329002017"</f>
        <v>1329002017</v>
      </c>
      <c r="O1202">
        <v>40</v>
      </c>
      <c r="P1202" s="2">
        <v>46250.538553240738</v>
      </c>
      <c r="Q1202" s="2">
        <v>46252.418634259258</v>
      </c>
      <c r="R1202" s="2">
        <v>46250.538553240738</v>
      </c>
      <c r="S1202">
        <v>0</v>
      </c>
      <c r="T1202" t="s">
        <v>2079</v>
      </c>
      <c r="U1202" t="s">
        <v>2079</v>
      </c>
      <c r="W1202" t="str">
        <f>"400498"</f>
        <v>400498</v>
      </c>
      <c r="X1202" t="s">
        <v>37</v>
      </c>
      <c r="AD1202" s="2">
        <v>46252.418634259258</v>
      </c>
    </row>
    <row r="1203" spans="1:30" x14ac:dyDescent="0.35">
      <c r="A1203" t="s">
        <v>2182</v>
      </c>
      <c r="B1203" t="s">
        <v>31</v>
      </c>
      <c r="C1203" t="s">
        <v>3253</v>
      </c>
      <c r="D1203" t="s">
        <v>33</v>
      </c>
      <c r="E1203" t="str">
        <f>"400926"</f>
        <v>400926</v>
      </c>
      <c r="F1203" t="s">
        <v>3219</v>
      </c>
      <c r="G1203">
        <v>24</v>
      </c>
      <c r="H1203">
        <v>0</v>
      </c>
      <c r="I1203" t="s">
        <v>3254</v>
      </c>
      <c r="J1203" t="str">
        <f>"100009204"</f>
        <v>100009204</v>
      </c>
      <c r="K1203" s="1">
        <v>47661</v>
      </c>
      <c r="M1203" s="1">
        <v>45836</v>
      </c>
      <c r="N1203" t="str">
        <f>"1329002017"</f>
        <v>1329002017</v>
      </c>
      <c r="O1203">
        <v>24</v>
      </c>
      <c r="P1203" s="2">
        <v>46250.539155092592</v>
      </c>
      <c r="Q1203" s="2">
        <v>46252.421770833331</v>
      </c>
      <c r="R1203" s="2">
        <v>46250.539155092592</v>
      </c>
      <c r="S1203">
        <v>0</v>
      </c>
      <c r="T1203" t="s">
        <v>2079</v>
      </c>
      <c r="U1203" t="s">
        <v>2079</v>
      </c>
      <c r="W1203" t="str">
        <f>"400926"</f>
        <v>400926</v>
      </c>
      <c r="X1203" t="s">
        <v>37</v>
      </c>
      <c r="AD1203" s="2">
        <v>46252.421770833331</v>
      </c>
    </row>
    <row r="1204" spans="1:30" x14ac:dyDescent="0.35">
      <c r="A1204" t="s">
        <v>2182</v>
      </c>
      <c r="B1204" t="s">
        <v>31</v>
      </c>
      <c r="C1204" t="s">
        <v>3255</v>
      </c>
      <c r="D1204" t="s">
        <v>33</v>
      </c>
      <c r="E1204" t="str">
        <f>"400420"</f>
        <v>400420</v>
      </c>
      <c r="F1204" t="s">
        <v>1661</v>
      </c>
      <c r="G1204">
        <v>3</v>
      </c>
      <c r="H1204">
        <v>0</v>
      </c>
      <c r="I1204" t="s">
        <v>2214</v>
      </c>
      <c r="J1204" t="str">
        <f>"153000420"</f>
        <v>153000420</v>
      </c>
      <c r="K1204" s="1">
        <v>48025</v>
      </c>
      <c r="M1204" s="1">
        <v>46200</v>
      </c>
      <c r="N1204" t="str">
        <f>"1329001930"</f>
        <v>1329001930</v>
      </c>
      <c r="O1204">
        <v>19</v>
      </c>
      <c r="P1204" s="2">
        <v>46215.351180555554</v>
      </c>
      <c r="Q1204" s="2">
        <v>46252.422962962963</v>
      </c>
      <c r="R1204" s="2">
        <v>46215.351180555554</v>
      </c>
      <c r="S1204">
        <v>0</v>
      </c>
      <c r="T1204" t="s">
        <v>2079</v>
      </c>
      <c r="U1204" t="s">
        <v>2079</v>
      </c>
      <c r="V1204" t="s">
        <v>2445</v>
      </c>
      <c r="W1204" t="str">
        <f>"400420"</f>
        <v>400420</v>
      </c>
      <c r="X1204" t="s">
        <v>37</v>
      </c>
      <c r="AD1204" s="2">
        <v>46215.40766203704</v>
      </c>
    </row>
    <row r="1205" spans="1:30" x14ac:dyDescent="0.35">
      <c r="A1205" t="s">
        <v>2182</v>
      </c>
      <c r="B1205" t="s">
        <v>31</v>
      </c>
      <c r="C1205" t="s">
        <v>3256</v>
      </c>
      <c r="D1205" t="s">
        <v>33</v>
      </c>
      <c r="E1205" t="str">
        <f>"400927"</f>
        <v>400927</v>
      </c>
      <c r="F1205" t="s">
        <v>1459</v>
      </c>
      <c r="G1205">
        <v>24</v>
      </c>
      <c r="H1205">
        <v>0</v>
      </c>
      <c r="I1205" t="s">
        <v>2220</v>
      </c>
      <c r="J1205" t="str">
        <f>"100010268"</f>
        <v>100010268</v>
      </c>
      <c r="K1205" s="1">
        <v>47760</v>
      </c>
      <c r="M1205" s="1">
        <v>45935</v>
      </c>
      <c r="N1205" t="str">
        <f>"1329002016"</f>
        <v>1329002016</v>
      </c>
      <c r="O1205">
        <v>24</v>
      </c>
      <c r="P1205" s="2">
        <v>46247.319861111115</v>
      </c>
      <c r="Q1205" s="2">
        <v>46252.424780092595</v>
      </c>
      <c r="R1205" s="2">
        <v>46247.319861111115</v>
      </c>
      <c r="S1205">
        <v>0</v>
      </c>
      <c r="T1205" t="s">
        <v>2079</v>
      </c>
      <c r="U1205" t="s">
        <v>2079</v>
      </c>
      <c r="W1205" t="str">
        <f>"400927"</f>
        <v>400927</v>
      </c>
      <c r="X1205" t="s">
        <v>37</v>
      </c>
      <c r="AD1205" s="2">
        <v>46252.424780092595</v>
      </c>
    </row>
    <row r="1206" spans="1:30" x14ac:dyDescent="0.35">
      <c r="A1206" t="s">
        <v>2182</v>
      </c>
      <c r="B1206" t="s">
        <v>31</v>
      </c>
      <c r="C1206" t="s">
        <v>3257</v>
      </c>
      <c r="D1206" t="s">
        <v>33</v>
      </c>
      <c r="E1206" t="str">
        <f>"400927"</f>
        <v>400927</v>
      </c>
      <c r="F1206" t="s">
        <v>1459</v>
      </c>
      <c r="G1206">
        <v>24</v>
      </c>
      <c r="H1206">
        <v>0</v>
      </c>
      <c r="I1206" t="s">
        <v>2219</v>
      </c>
      <c r="J1206" t="str">
        <f>"100010268"</f>
        <v>100010268</v>
      </c>
      <c r="K1206" s="1">
        <v>47760</v>
      </c>
      <c r="M1206" s="1">
        <v>45935</v>
      </c>
      <c r="N1206" t="str">
        <f>"1329002016"</f>
        <v>1329002016</v>
      </c>
      <c r="O1206">
        <v>24</v>
      </c>
      <c r="P1206" s="2">
        <v>46247.320162037038</v>
      </c>
      <c r="Q1206" s="2">
        <v>46252.427847222221</v>
      </c>
      <c r="R1206" s="2">
        <v>46247.320162037038</v>
      </c>
      <c r="S1206">
        <v>0</v>
      </c>
      <c r="T1206" t="s">
        <v>2079</v>
      </c>
      <c r="U1206" t="s">
        <v>2079</v>
      </c>
      <c r="W1206" t="str">
        <f>"400927"</f>
        <v>400927</v>
      </c>
      <c r="X1206" t="s">
        <v>37</v>
      </c>
      <c r="AD1206" s="2">
        <v>46252.427847222221</v>
      </c>
    </row>
    <row r="1207" spans="1:30" x14ac:dyDescent="0.35">
      <c r="A1207" t="s">
        <v>2182</v>
      </c>
      <c r="B1207" t="s">
        <v>31</v>
      </c>
      <c r="C1207" t="s">
        <v>3258</v>
      </c>
      <c r="D1207" t="s">
        <v>33</v>
      </c>
      <c r="E1207" t="str">
        <f>"400921"</f>
        <v>400921</v>
      </c>
      <c r="F1207" t="s">
        <v>3212</v>
      </c>
      <c r="G1207">
        <v>24</v>
      </c>
      <c r="H1207">
        <v>0</v>
      </c>
      <c r="I1207" t="s">
        <v>2218</v>
      </c>
      <c r="J1207" t="str">
        <f>"100009315"</f>
        <v>100009315</v>
      </c>
      <c r="K1207" s="1">
        <v>47671</v>
      </c>
      <c r="M1207" s="1">
        <v>45846</v>
      </c>
      <c r="N1207" t="str">
        <f>"1329002017"</f>
        <v>1329002017</v>
      </c>
      <c r="O1207">
        <v>24</v>
      </c>
      <c r="P1207" s="2">
        <v>46250.539768518516</v>
      </c>
      <c r="Q1207" s="2">
        <v>46252.430196759262</v>
      </c>
      <c r="R1207" s="2">
        <v>46250.539768518516</v>
      </c>
      <c r="S1207">
        <v>0</v>
      </c>
      <c r="T1207" t="s">
        <v>2079</v>
      </c>
      <c r="U1207" t="s">
        <v>2079</v>
      </c>
      <c r="W1207" t="str">
        <f>"400921"</f>
        <v>400921</v>
      </c>
      <c r="X1207" t="s">
        <v>37</v>
      </c>
      <c r="AD1207" s="2">
        <v>46252.430196759262</v>
      </c>
    </row>
    <row r="1208" spans="1:30" x14ac:dyDescent="0.35">
      <c r="A1208" t="s">
        <v>2182</v>
      </c>
      <c r="B1208" t="s">
        <v>31</v>
      </c>
      <c r="C1208" t="s">
        <v>3259</v>
      </c>
      <c r="D1208" t="s">
        <v>2883</v>
      </c>
      <c r="E1208" t="str">
        <f>"400903"</f>
        <v>400903</v>
      </c>
      <c r="F1208" t="s">
        <v>1712</v>
      </c>
      <c r="G1208">
        <v>4</v>
      </c>
      <c r="H1208">
        <v>0</v>
      </c>
      <c r="J1208" t="str">
        <f>"600001059"</f>
        <v>600001059</v>
      </c>
      <c r="K1208" s="1">
        <v>47897</v>
      </c>
      <c r="M1208" s="1">
        <v>46072</v>
      </c>
      <c r="O1208">
        <v>0</v>
      </c>
      <c r="P1208" s="2">
        <v>46252.431377314817</v>
      </c>
      <c r="Q1208" s="2">
        <v>46252.431377314817</v>
      </c>
      <c r="S1208">
        <v>1</v>
      </c>
      <c r="U1208" t="s">
        <v>2079</v>
      </c>
      <c r="W1208" t="str">
        <f>"400903"</f>
        <v>400903</v>
      </c>
      <c r="X1208" t="s">
        <v>41</v>
      </c>
    </row>
    <row r="1209" spans="1:30" x14ac:dyDescent="0.35">
      <c r="A1209" t="s">
        <v>2182</v>
      </c>
      <c r="B1209" t="s">
        <v>31</v>
      </c>
      <c r="C1209" t="s">
        <v>3260</v>
      </c>
      <c r="D1209" t="s">
        <v>2883</v>
      </c>
      <c r="E1209" t="str">
        <f>"400903"</f>
        <v>400903</v>
      </c>
      <c r="F1209" t="s">
        <v>1712</v>
      </c>
      <c r="G1209">
        <v>4</v>
      </c>
      <c r="H1209">
        <v>0</v>
      </c>
      <c r="J1209" t="str">
        <f>"600001059"</f>
        <v>600001059</v>
      </c>
      <c r="K1209" s="1">
        <v>47897</v>
      </c>
      <c r="M1209" s="1">
        <v>46072</v>
      </c>
      <c r="O1209">
        <v>0</v>
      </c>
      <c r="P1209" s="2">
        <v>46252.43178240741</v>
      </c>
      <c r="Q1209" s="2">
        <v>46252.43178240741</v>
      </c>
      <c r="S1209">
        <v>1</v>
      </c>
      <c r="U1209" t="s">
        <v>2079</v>
      </c>
      <c r="W1209" t="str">
        <f>"400903"</f>
        <v>400903</v>
      </c>
      <c r="X1209" t="s">
        <v>41</v>
      </c>
    </row>
    <row r="1210" spans="1:30" x14ac:dyDescent="0.35">
      <c r="A1210" t="s">
        <v>2182</v>
      </c>
      <c r="B1210" t="s">
        <v>31</v>
      </c>
      <c r="C1210" t="s">
        <v>3261</v>
      </c>
      <c r="D1210" t="s">
        <v>33</v>
      </c>
      <c r="E1210" t="str">
        <f>"400921"</f>
        <v>400921</v>
      </c>
      <c r="F1210" t="s">
        <v>3212</v>
      </c>
      <c r="G1210">
        <v>24</v>
      </c>
      <c r="H1210">
        <v>0</v>
      </c>
      <c r="I1210" t="s">
        <v>2232</v>
      </c>
      <c r="J1210" t="str">
        <f>"100009315"</f>
        <v>100009315</v>
      </c>
      <c r="K1210" s="1">
        <v>47671</v>
      </c>
      <c r="M1210" s="1">
        <v>45846</v>
      </c>
      <c r="N1210" t="str">
        <f>"1329002017"</f>
        <v>1329002017</v>
      </c>
      <c r="O1210">
        <v>24</v>
      </c>
      <c r="P1210" s="2">
        <v>46250.54011574074</v>
      </c>
      <c r="Q1210" s="2">
        <v>46252.432083333333</v>
      </c>
      <c r="R1210" s="2">
        <v>46250.54011574074</v>
      </c>
      <c r="S1210">
        <v>0</v>
      </c>
      <c r="T1210" t="s">
        <v>2079</v>
      </c>
      <c r="U1210" t="s">
        <v>2079</v>
      </c>
      <c r="W1210" t="str">
        <f>"400921"</f>
        <v>400921</v>
      </c>
      <c r="X1210" t="s">
        <v>37</v>
      </c>
      <c r="AD1210" s="2">
        <v>46252.432083333333</v>
      </c>
    </row>
    <row r="1211" spans="1:30" x14ac:dyDescent="0.35">
      <c r="A1211" t="s">
        <v>2182</v>
      </c>
      <c r="B1211" t="s">
        <v>31</v>
      </c>
      <c r="C1211" t="s">
        <v>3262</v>
      </c>
      <c r="D1211" t="s">
        <v>2883</v>
      </c>
      <c r="E1211" t="str">
        <f>"400903"</f>
        <v>400903</v>
      </c>
      <c r="F1211" t="s">
        <v>1712</v>
      </c>
      <c r="G1211">
        <v>4</v>
      </c>
      <c r="H1211">
        <v>0</v>
      </c>
      <c r="J1211" t="str">
        <f>"600001059"</f>
        <v>600001059</v>
      </c>
      <c r="K1211" s="1">
        <v>47897</v>
      </c>
      <c r="M1211" s="1">
        <v>46072</v>
      </c>
      <c r="O1211">
        <v>0</v>
      </c>
      <c r="P1211" s="2">
        <v>46252.432500000003</v>
      </c>
      <c r="Q1211" s="2">
        <v>46252.432500000003</v>
      </c>
      <c r="S1211">
        <v>1</v>
      </c>
      <c r="U1211" t="s">
        <v>2079</v>
      </c>
      <c r="W1211" t="str">
        <f>"400903"</f>
        <v>400903</v>
      </c>
      <c r="X1211" t="s">
        <v>41</v>
      </c>
    </row>
    <row r="1212" spans="1:30" x14ac:dyDescent="0.35">
      <c r="A1212" t="s">
        <v>2182</v>
      </c>
      <c r="B1212" t="s">
        <v>31</v>
      </c>
      <c r="C1212" t="s">
        <v>3263</v>
      </c>
      <c r="D1212" t="s">
        <v>2883</v>
      </c>
      <c r="E1212" t="str">
        <f>"400903"</f>
        <v>400903</v>
      </c>
      <c r="F1212" t="s">
        <v>1712</v>
      </c>
      <c r="G1212">
        <v>4</v>
      </c>
      <c r="H1212">
        <v>0</v>
      </c>
      <c r="J1212" t="str">
        <f>"600001059"</f>
        <v>600001059</v>
      </c>
      <c r="K1212" s="1">
        <v>47897</v>
      </c>
      <c r="M1212" s="1">
        <v>46072</v>
      </c>
      <c r="O1212">
        <v>0</v>
      </c>
      <c r="P1212" s="2">
        <v>46252.432754629626</v>
      </c>
      <c r="Q1212" s="2">
        <v>46252.432766203703</v>
      </c>
      <c r="S1212">
        <v>1</v>
      </c>
      <c r="U1212" t="s">
        <v>2079</v>
      </c>
      <c r="W1212" t="str">
        <f>"400903"</f>
        <v>400903</v>
      </c>
      <c r="X1212" t="s">
        <v>41</v>
      </c>
    </row>
    <row r="1213" spans="1:30" x14ac:dyDescent="0.35">
      <c r="A1213" t="s">
        <v>2182</v>
      </c>
      <c r="B1213" t="s">
        <v>31</v>
      </c>
      <c r="C1213" t="s">
        <v>3264</v>
      </c>
      <c r="D1213" t="s">
        <v>2883</v>
      </c>
      <c r="E1213" t="str">
        <f>"400903"</f>
        <v>400903</v>
      </c>
      <c r="F1213" t="s">
        <v>1712</v>
      </c>
      <c r="G1213">
        <v>4</v>
      </c>
      <c r="H1213">
        <v>0</v>
      </c>
      <c r="J1213" t="str">
        <f>"600001059"</f>
        <v>600001059</v>
      </c>
      <c r="K1213" s="1">
        <v>47897</v>
      </c>
      <c r="M1213" s="1">
        <v>46072</v>
      </c>
      <c r="O1213">
        <v>0</v>
      </c>
      <c r="P1213" s="2">
        <v>46252.429502314815</v>
      </c>
      <c r="Q1213" s="2">
        <v>46252.436377314814</v>
      </c>
      <c r="S1213">
        <v>1</v>
      </c>
      <c r="T1213" t="s">
        <v>2079</v>
      </c>
      <c r="U1213" t="s">
        <v>2079</v>
      </c>
      <c r="W1213" t="str">
        <f>"400903"</f>
        <v>400903</v>
      </c>
      <c r="X1213" t="s">
        <v>41</v>
      </c>
    </row>
    <row r="1214" spans="1:30" x14ac:dyDescent="0.35">
      <c r="A1214" t="s">
        <v>2182</v>
      </c>
      <c r="B1214" t="s">
        <v>31</v>
      </c>
      <c r="C1214" t="s">
        <v>3265</v>
      </c>
      <c r="D1214" t="s">
        <v>33</v>
      </c>
      <c r="E1214" t="str">
        <f>"400460"</f>
        <v>400460</v>
      </c>
      <c r="F1214" t="s">
        <v>3182</v>
      </c>
      <c r="G1214">
        <v>30</v>
      </c>
      <c r="H1214">
        <v>0</v>
      </c>
      <c r="I1214" t="s">
        <v>2228</v>
      </c>
      <c r="J1214" t="str">
        <f>"100005422"</f>
        <v>100005422</v>
      </c>
      <c r="K1214" s="1">
        <v>47260</v>
      </c>
      <c r="M1214" s="1">
        <v>45435</v>
      </c>
      <c r="N1214" t="str">
        <f>"1329002019"</f>
        <v>1329002019</v>
      </c>
      <c r="O1214">
        <v>30</v>
      </c>
      <c r="P1214" s="2">
        <v>46244.352418981478</v>
      </c>
      <c r="Q1214" s="2">
        <v>46252.445601851854</v>
      </c>
      <c r="R1214" s="2">
        <v>46244.352418981478</v>
      </c>
      <c r="S1214">
        <v>0</v>
      </c>
      <c r="T1214" t="s">
        <v>2079</v>
      </c>
      <c r="U1214" t="s">
        <v>2079</v>
      </c>
      <c r="W1214" t="str">
        <f>"400460"</f>
        <v>400460</v>
      </c>
      <c r="X1214" t="s">
        <v>37</v>
      </c>
      <c r="AD1214" s="2">
        <v>46252.445601851854</v>
      </c>
    </row>
    <row r="1215" spans="1:30" x14ac:dyDescent="0.35">
      <c r="A1215" t="s">
        <v>2182</v>
      </c>
      <c r="B1215" t="s">
        <v>31</v>
      </c>
      <c r="C1215" t="s">
        <v>3266</v>
      </c>
      <c r="D1215" t="s">
        <v>33</v>
      </c>
      <c r="E1215" t="str">
        <f>"400927"</f>
        <v>400927</v>
      </c>
      <c r="F1215" t="s">
        <v>1459</v>
      </c>
      <c r="G1215">
        <v>24</v>
      </c>
      <c r="H1215">
        <v>0</v>
      </c>
      <c r="I1215" t="s">
        <v>2445</v>
      </c>
      <c r="J1215" t="str">
        <f>"100010268"</f>
        <v>100010268</v>
      </c>
      <c r="K1215" s="1">
        <v>47760</v>
      </c>
      <c r="M1215" s="1">
        <v>45935</v>
      </c>
      <c r="N1215" t="str">
        <f>"1329002016"</f>
        <v>1329002016</v>
      </c>
      <c r="O1215">
        <v>24</v>
      </c>
      <c r="P1215" s="2">
        <v>46247.320428240739</v>
      </c>
      <c r="Q1215" s="2">
        <v>46252.447835648149</v>
      </c>
      <c r="R1215" s="2">
        <v>46247.320428240739</v>
      </c>
      <c r="S1215">
        <v>0</v>
      </c>
      <c r="T1215" t="s">
        <v>2079</v>
      </c>
      <c r="U1215" t="s">
        <v>2079</v>
      </c>
      <c r="W1215" t="str">
        <f>"400927"</f>
        <v>400927</v>
      </c>
      <c r="X1215" t="s">
        <v>37</v>
      </c>
      <c r="AD1215" s="2">
        <v>46252.447835648149</v>
      </c>
    </row>
    <row r="1216" spans="1:30" x14ac:dyDescent="0.35">
      <c r="A1216" t="s">
        <v>2182</v>
      </c>
      <c r="B1216" t="s">
        <v>31</v>
      </c>
      <c r="C1216" t="s">
        <v>3267</v>
      </c>
      <c r="D1216" t="s">
        <v>33</v>
      </c>
      <c r="E1216" t="str">
        <f>"400921"</f>
        <v>400921</v>
      </c>
      <c r="F1216" t="s">
        <v>3212</v>
      </c>
      <c r="G1216">
        <v>24</v>
      </c>
      <c r="H1216">
        <v>0</v>
      </c>
      <c r="I1216" t="s">
        <v>2233</v>
      </c>
      <c r="J1216" t="str">
        <f>"100009224"</f>
        <v>100009224</v>
      </c>
      <c r="K1216" s="1">
        <v>47663</v>
      </c>
      <c r="M1216" s="1">
        <v>45838</v>
      </c>
      <c r="N1216" t="str">
        <f>"1329002017"</f>
        <v>1329002017</v>
      </c>
      <c r="O1216">
        <v>24</v>
      </c>
      <c r="P1216" s="2">
        <v>46250.54047453704</v>
      </c>
      <c r="Q1216" s="2">
        <v>46252.457337962966</v>
      </c>
      <c r="R1216" s="2">
        <v>46250.54047453704</v>
      </c>
      <c r="S1216">
        <v>0</v>
      </c>
      <c r="T1216" t="s">
        <v>2079</v>
      </c>
      <c r="U1216" t="s">
        <v>2079</v>
      </c>
      <c r="W1216" t="str">
        <f>"400921"</f>
        <v>400921</v>
      </c>
      <c r="X1216" t="s">
        <v>37</v>
      </c>
      <c r="AD1216" s="2">
        <v>46252.457337962966</v>
      </c>
    </row>
    <row r="1217" spans="1:30" x14ac:dyDescent="0.35">
      <c r="A1217" t="s">
        <v>2182</v>
      </c>
      <c r="B1217" t="s">
        <v>31</v>
      </c>
      <c r="C1217" t="s">
        <v>3268</v>
      </c>
      <c r="D1217" t="s">
        <v>33</v>
      </c>
      <c r="E1217" t="str">
        <f>"400903"</f>
        <v>400903</v>
      </c>
      <c r="F1217" t="s">
        <v>1712</v>
      </c>
      <c r="G1217">
        <v>4</v>
      </c>
      <c r="H1217">
        <v>0</v>
      </c>
      <c r="I1217" t="s">
        <v>3269</v>
      </c>
      <c r="J1217" t="str">
        <f>"600000971"</f>
        <v>600000971</v>
      </c>
      <c r="K1217" s="1">
        <v>47897</v>
      </c>
      <c r="M1217" s="1">
        <v>46072</v>
      </c>
      <c r="O1217">
        <v>0</v>
      </c>
      <c r="P1217" s="2">
        <v>46252.436365740738</v>
      </c>
      <c r="Q1217" s="2">
        <v>46252.459178240744</v>
      </c>
      <c r="S1217">
        <v>1</v>
      </c>
      <c r="U1217" t="s">
        <v>2079</v>
      </c>
      <c r="W1217" t="str">
        <f>"400903"</f>
        <v>400903</v>
      </c>
      <c r="X1217" t="s">
        <v>41</v>
      </c>
      <c r="AD1217" s="2">
        <v>46252.459178240744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18"/>
  <sheetViews>
    <sheetView topLeftCell="A517" workbookViewId="0">
      <selection activeCell="A536" sqref="A536:XFD1118"/>
    </sheetView>
  </sheetViews>
  <sheetFormatPr defaultRowHeight="14.5" x14ac:dyDescent="0.35"/>
  <sheetData>
    <row r="1" spans="1:19" x14ac:dyDescent="0.35">
      <c r="A1" t="s">
        <v>1523</v>
      </c>
      <c r="B1" t="s">
        <v>1524</v>
      </c>
      <c r="C1" t="s">
        <v>2</v>
      </c>
      <c r="D1" t="s">
        <v>1525</v>
      </c>
      <c r="E1" t="s">
        <v>1526</v>
      </c>
      <c r="F1" t="s">
        <v>4</v>
      </c>
      <c r="G1" t="s">
        <v>5</v>
      </c>
      <c r="H1" t="s">
        <v>1527</v>
      </c>
      <c r="I1" t="s">
        <v>23</v>
      </c>
      <c r="J1" t="s">
        <v>1528</v>
      </c>
      <c r="K1" t="s">
        <v>6</v>
      </c>
      <c r="L1" t="s">
        <v>1529</v>
      </c>
      <c r="M1" t="s">
        <v>1530</v>
      </c>
      <c r="N1" t="s">
        <v>1531</v>
      </c>
      <c r="O1" t="s">
        <v>1532</v>
      </c>
      <c r="P1" t="s">
        <v>1533</v>
      </c>
      <c r="Q1" t="s">
        <v>1534</v>
      </c>
      <c r="R1" t="s">
        <v>9</v>
      </c>
      <c r="S1" t="s">
        <v>10</v>
      </c>
    </row>
    <row r="2" spans="1:19" x14ac:dyDescent="0.35">
      <c r="A2" t="s">
        <v>30</v>
      </c>
      <c r="B2" t="s">
        <v>31</v>
      </c>
      <c r="C2" t="s">
        <v>1535</v>
      </c>
      <c r="D2" t="str">
        <f>"2501718144"</f>
        <v>2501718144</v>
      </c>
      <c r="E2" t="s">
        <v>1536</v>
      </c>
      <c r="F2" t="str">
        <f>"400411"</f>
        <v>400411</v>
      </c>
      <c r="G2" t="s">
        <v>1537</v>
      </c>
      <c r="H2" t="s">
        <v>1538</v>
      </c>
      <c r="I2" t="s">
        <v>41</v>
      </c>
      <c r="J2">
        <v>1</v>
      </c>
      <c r="K2">
        <v>1</v>
      </c>
      <c r="L2" t="str">
        <f>"520721"</f>
        <v>520721</v>
      </c>
      <c r="M2" t="s">
        <v>1539</v>
      </c>
      <c r="N2" t="s">
        <v>1540</v>
      </c>
      <c r="O2" s="2">
        <v>46251.987453703703</v>
      </c>
      <c r="P2" s="2">
        <v>46251.987453703703</v>
      </c>
      <c r="Q2" s="2">
        <v>46251.987453703703</v>
      </c>
      <c r="R2" t="str">
        <f>"153000352"</f>
        <v>153000352</v>
      </c>
      <c r="S2" s="1">
        <v>48002</v>
      </c>
    </row>
    <row r="3" spans="1:19" x14ac:dyDescent="0.35">
      <c r="A3" t="s">
        <v>30</v>
      </c>
      <c r="B3" t="s">
        <v>31</v>
      </c>
      <c r="C3" t="s">
        <v>1541</v>
      </c>
      <c r="D3" t="str">
        <f>"2501718140"</f>
        <v>2501718140</v>
      </c>
      <c r="E3" t="s">
        <v>1536</v>
      </c>
      <c r="F3" t="str">
        <f>"400426"</f>
        <v>400426</v>
      </c>
      <c r="G3" t="s">
        <v>34</v>
      </c>
      <c r="H3" t="s">
        <v>1516</v>
      </c>
      <c r="I3" t="s">
        <v>37</v>
      </c>
      <c r="J3">
        <v>12</v>
      </c>
      <c r="K3">
        <v>30</v>
      </c>
      <c r="L3" t="str">
        <f>"520593"</f>
        <v>520593</v>
      </c>
      <c r="M3" t="s">
        <v>1542</v>
      </c>
      <c r="N3" t="s">
        <v>1543</v>
      </c>
      <c r="O3" s="2">
        <v>46251.985810185186</v>
      </c>
      <c r="P3" s="2">
        <v>46251.985810185186</v>
      </c>
      <c r="Q3" s="2">
        <v>46251.985810185186</v>
      </c>
      <c r="R3" t="str">
        <f>"153000403"</f>
        <v>153000403</v>
      </c>
      <c r="S3" s="1">
        <v>48016</v>
      </c>
    </row>
    <row r="4" spans="1:19" x14ac:dyDescent="0.35">
      <c r="A4" t="s">
        <v>30</v>
      </c>
      <c r="B4" t="s">
        <v>31</v>
      </c>
      <c r="C4" t="s">
        <v>1541</v>
      </c>
      <c r="D4" t="str">
        <f>"2501718140"</f>
        <v>2501718140</v>
      </c>
      <c r="E4" t="s">
        <v>1536</v>
      </c>
      <c r="F4" t="str">
        <f>"400426"</f>
        <v>400426</v>
      </c>
      <c r="G4" t="s">
        <v>34</v>
      </c>
      <c r="H4" t="s">
        <v>1544</v>
      </c>
      <c r="I4" t="s">
        <v>37</v>
      </c>
      <c r="J4">
        <v>18</v>
      </c>
      <c r="K4">
        <v>30</v>
      </c>
      <c r="L4" t="str">
        <f>"520593"</f>
        <v>520593</v>
      </c>
      <c r="M4" t="s">
        <v>1542</v>
      </c>
      <c r="N4" t="s">
        <v>1543</v>
      </c>
      <c r="O4" s="2">
        <v>46251.983981481484</v>
      </c>
      <c r="P4" s="2">
        <v>46251.983981481484</v>
      </c>
      <c r="Q4" s="2">
        <v>46251.983981481484</v>
      </c>
      <c r="R4" t="str">
        <f>"153000403"</f>
        <v>153000403</v>
      </c>
      <c r="S4" s="1">
        <v>48016</v>
      </c>
    </row>
    <row r="5" spans="1:19" x14ac:dyDescent="0.35">
      <c r="A5" t="s">
        <v>30</v>
      </c>
      <c r="B5" t="s">
        <v>31</v>
      </c>
      <c r="C5" t="s">
        <v>1541</v>
      </c>
      <c r="D5" t="str">
        <f>"2501718140"</f>
        <v>2501718140</v>
      </c>
      <c r="E5" t="s">
        <v>1536</v>
      </c>
      <c r="F5" t="str">
        <f>"400413"</f>
        <v>400413</v>
      </c>
      <c r="G5" t="s">
        <v>1545</v>
      </c>
      <c r="H5" t="s">
        <v>1546</v>
      </c>
      <c r="I5" t="s">
        <v>37</v>
      </c>
      <c r="J5">
        <v>23</v>
      </c>
      <c r="K5">
        <v>30</v>
      </c>
      <c r="L5" t="str">
        <f>"520593"</f>
        <v>520593</v>
      </c>
      <c r="M5" t="s">
        <v>1542</v>
      </c>
      <c r="N5" t="s">
        <v>1543</v>
      </c>
      <c r="O5" s="2">
        <v>46251.982754629629</v>
      </c>
      <c r="P5" s="2">
        <v>46251.982754629629</v>
      </c>
      <c r="Q5" s="2">
        <v>46251.982754629629</v>
      </c>
      <c r="R5" t="str">
        <f>"153000382"</f>
        <v>153000382</v>
      </c>
      <c r="S5" s="1">
        <v>48011</v>
      </c>
    </row>
    <row r="6" spans="1:19" x14ac:dyDescent="0.35">
      <c r="A6" t="s">
        <v>30</v>
      </c>
      <c r="B6" t="s">
        <v>31</v>
      </c>
      <c r="C6" t="s">
        <v>1541</v>
      </c>
      <c r="D6" t="str">
        <f>"2501718140"</f>
        <v>2501718140</v>
      </c>
      <c r="E6" t="s">
        <v>1536</v>
      </c>
      <c r="F6" t="str">
        <f>"400413"</f>
        <v>400413</v>
      </c>
      <c r="G6" t="s">
        <v>1545</v>
      </c>
      <c r="H6" t="s">
        <v>1547</v>
      </c>
      <c r="I6" t="s">
        <v>37</v>
      </c>
      <c r="J6">
        <v>7</v>
      </c>
      <c r="K6">
        <v>30</v>
      </c>
      <c r="L6" t="str">
        <f>"520593"</f>
        <v>520593</v>
      </c>
      <c r="M6" t="s">
        <v>1542</v>
      </c>
      <c r="N6" t="s">
        <v>1543</v>
      </c>
      <c r="O6" s="2">
        <v>46251.981064814812</v>
      </c>
      <c r="P6" s="2">
        <v>46251.981064814812</v>
      </c>
      <c r="Q6" s="2">
        <v>46251.981064814812</v>
      </c>
      <c r="R6" t="str">
        <f>"153000382"</f>
        <v>153000382</v>
      </c>
      <c r="S6" s="1">
        <v>48011</v>
      </c>
    </row>
    <row r="7" spans="1:19" x14ac:dyDescent="0.35">
      <c r="A7" t="s">
        <v>30</v>
      </c>
      <c r="B7" t="s">
        <v>31</v>
      </c>
      <c r="C7" t="s">
        <v>1548</v>
      </c>
      <c r="D7" t="str">
        <f>"2501718135"</f>
        <v>2501718135</v>
      </c>
      <c r="E7" t="s">
        <v>1536</v>
      </c>
      <c r="F7" t="str">
        <f>"400483"</f>
        <v>400483</v>
      </c>
      <c r="G7" t="s">
        <v>1518</v>
      </c>
      <c r="H7" t="s">
        <v>1549</v>
      </c>
      <c r="I7" t="s">
        <v>41</v>
      </c>
      <c r="J7">
        <v>1</v>
      </c>
      <c r="K7">
        <v>2</v>
      </c>
      <c r="L7" t="str">
        <f>"520721"</f>
        <v>520721</v>
      </c>
      <c r="M7" t="s">
        <v>1550</v>
      </c>
      <c r="N7" t="s">
        <v>1540</v>
      </c>
      <c r="O7" s="2">
        <v>46251.367118055554</v>
      </c>
      <c r="P7" s="2">
        <v>46251.367118055554</v>
      </c>
      <c r="Q7" s="2">
        <v>46251.367118055554</v>
      </c>
      <c r="R7" t="str">
        <f>"153000066"</f>
        <v>153000066</v>
      </c>
      <c r="S7" s="1">
        <v>47875</v>
      </c>
    </row>
    <row r="8" spans="1:19" x14ac:dyDescent="0.35">
      <c r="A8" t="s">
        <v>30</v>
      </c>
      <c r="B8" t="s">
        <v>31</v>
      </c>
      <c r="C8" t="s">
        <v>1548</v>
      </c>
      <c r="D8" t="str">
        <f>"2501718135"</f>
        <v>2501718135</v>
      </c>
      <c r="E8" t="s">
        <v>1536</v>
      </c>
      <c r="F8" t="str">
        <f>"400483"</f>
        <v>400483</v>
      </c>
      <c r="G8" t="s">
        <v>1518</v>
      </c>
      <c r="H8" t="s">
        <v>1551</v>
      </c>
      <c r="I8" t="s">
        <v>41</v>
      </c>
      <c r="J8">
        <v>1</v>
      </c>
      <c r="K8">
        <v>2</v>
      </c>
      <c r="L8" t="str">
        <f>"520721"</f>
        <v>520721</v>
      </c>
      <c r="M8" t="s">
        <v>1550</v>
      </c>
      <c r="N8" t="s">
        <v>1540</v>
      </c>
      <c r="O8" s="2">
        <v>46251.365682870368</v>
      </c>
      <c r="P8" s="2">
        <v>46251.365682870368</v>
      </c>
      <c r="Q8" s="2">
        <v>46251.365682870368</v>
      </c>
      <c r="R8" t="str">
        <f>"153000066"</f>
        <v>153000066</v>
      </c>
      <c r="S8" s="1">
        <v>47875</v>
      </c>
    </row>
    <row r="9" spans="1:19" x14ac:dyDescent="0.35">
      <c r="A9" t="s">
        <v>30</v>
      </c>
      <c r="B9" t="s">
        <v>31</v>
      </c>
      <c r="C9" t="s">
        <v>1548</v>
      </c>
      <c r="D9" t="str">
        <f>"2501718135"</f>
        <v>2501718135</v>
      </c>
      <c r="E9" t="s">
        <v>1536</v>
      </c>
      <c r="F9" t="str">
        <f>"400485"</f>
        <v>400485</v>
      </c>
      <c r="G9" t="s">
        <v>1552</v>
      </c>
      <c r="H9" t="s">
        <v>1553</v>
      </c>
      <c r="I9" t="s">
        <v>41</v>
      </c>
      <c r="J9">
        <v>2</v>
      </c>
      <c r="K9">
        <v>2</v>
      </c>
      <c r="L9" t="str">
        <f>"520721"</f>
        <v>520721</v>
      </c>
      <c r="M9" t="s">
        <v>1550</v>
      </c>
      <c r="N9" t="s">
        <v>1540</v>
      </c>
      <c r="O9" s="2">
        <v>46251.364050925928</v>
      </c>
      <c r="P9" s="2">
        <v>46251.364050925928</v>
      </c>
      <c r="Q9" s="2">
        <v>46251.364050925928</v>
      </c>
      <c r="R9" t="str">
        <f>"100010811"</f>
        <v>100010811</v>
      </c>
      <c r="S9" s="1">
        <v>47810</v>
      </c>
    </row>
    <row r="10" spans="1:19" x14ac:dyDescent="0.35">
      <c r="A10" t="s">
        <v>30</v>
      </c>
      <c r="B10" t="s">
        <v>31</v>
      </c>
      <c r="C10" t="s">
        <v>1554</v>
      </c>
      <c r="D10" t="str">
        <f>"2501718133"</f>
        <v>2501718133</v>
      </c>
      <c r="E10" t="s">
        <v>1536</v>
      </c>
      <c r="F10" t="str">
        <f>"400405"</f>
        <v>400405</v>
      </c>
      <c r="G10" t="s">
        <v>519</v>
      </c>
      <c r="H10" t="s">
        <v>1514</v>
      </c>
      <c r="I10" t="s">
        <v>37</v>
      </c>
      <c r="J10">
        <v>32</v>
      </c>
      <c r="K10">
        <v>52</v>
      </c>
      <c r="L10" t="str">
        <f>"521161"</f>
        <v>521161</v>
      </c>
      <c r="M10" t="s">
        <v>1555</v>
      </c>
      <c r="N10" t="s">
        <v>1556</v>
      </c>
      <c r="O10" s="2">
        <v>46251.356678240743</v>
      </c>
      <c r="P10" s="2">
        <v>46251.356678240743</v>
      </c>
      <c r="Q10" s="2">
        <v>46251.356678240743</v>
      </c>
      <c r="R10" t="str">
        <f>"153000440"</f>
        <v>153000440</v>
      </c>
      <c r="S10" s="1">
        <v>48036</v>
      </c>
    </row>
    <row r="11" spans="1:19" x14ac:dyDescent="0.35">
      <c r="A11" t="s">
        <v>30</v>
      </c>
      <c r="B11" t="s">
        <v>31</v>
      </c>
      <c r="C11" t="s">
        <v>1554</v>
      </c>
      <c r="D11" t="str">
        <f>"2501718133"</f>
        <v>2501718133</v>
      </c>
      <c r="E11" t="s">
        <v>1536</v>
      </c>
      <c r="F11" t="str">
        <f>"400405"</f>
        <v>400405</v>
      </c>
      <c r="G11" t="s">
        <v>519</v>
      </c>
      <c r="H11" t="s">
        <v>1557</v>
      </c>
      <c r="I11" t="s">
        <v>37</v>
      </c>
      <c r="J11">
        <v>20</v>
      </c>
      <c r="K11">
        <v>52</v>
      </c>
      <c r="L11" t="str">
        <f>"521161"</f>
        <v>521161</v>
      </c>
      <c r="M11" t="s">
        <v>1555</v>
      </c>
      <c r="N11" t="s">
        <v>1556</v>
      </c>
      <c r="O11" s="2">
        <v>46251.354548611111</v>
      </c>
      <c r="P11" s="2">
        <v>46251.354548611111</v>
      </c>
      <c r="Q11" s="2">
        <v>46251.354548611111</v>
      </c>
      <c r="R11" t="str">
        <f>"153000440"</f>
        <v>153000440</v>
      </c>
      <c r="S11" s="1">
        <v>48036</v>
      </c>
    </row>
    <row r="12" spans="1:19" x14ac:dyDescent="0.35">
      <c r="A12" t="s">
        <v>30</v>
      </c>
      <c r="B12" t="s">
        <v>31</v>
      </c>
      <c r="C12" t="s">
        <v>1558</v>
      </c>
      <c r="D12" t="str">
        <f>"2501718089"</f>
        <v>2501718089</v>
      </c>
      <c r="E12" t="s">
        <v>1536</v>
      </c>
      <c r="F12" t="str">
        <f>"400405"</f>
        <v>400405</v>
      </c>
      <c r="G12" t="s">
        <v>519</v>
      </c>
      <c r="H12" t="s">
        <v>1557</v>
      </c>
      <c r="I12" t="s">
        <v>37</v>
      </c>
      <c r="J12">
        <v>26</v>
      </c>
      <c r="K12">
        <v>130</v>
      </c>
      <c r="L12" t="str">
        <f>"521088"</f>
        <v>521088</v>
      </c>
      <c r="M12" t="s">
        <v>1559</v>
      </c>
      <c r="N12" t="s">
        <v>1560</v>
      </c>
      <c r="O12" s="2">
        <v>46249.359884259262</v>
      </c>
      <c r="P12" s="2">
        <v>46249.359884259262</v>
      </c>
      <c r="Q12" s="2">
        <v>46249.359884259262</v>
      </c>
      <c r="R12" t="str">
        <f>"153000440"</f>
        <v>153000440</v>
      </c>
      <c r="S12" s="1">
        <v>48036</v>
      </c>
    </row>
    <row r="13" spans="1:19" x14ac:dyDescent="0.35">
      <c r="A13" t="s">
        <v>30</v>
      </c>
      <c r="B13" t="s">
        <v>31</v>
      </c>
      <c r="C13" t="s">
        <v>1561</v>
      </c>
      <c r="D13" t="str">
        <f>"2501718096"</f>
        <v>2501718096</v>
      </c>
      <c r="E13" t="s">
        <v>1536</v>
      </c>
      <c r="F13" t="str">
        <f>"400398"</f>
        <v>400398</v>
      </c>
      <c r="G13" t="s">
        <v>1562</v>
      </c>
      <c r="H13" t="s">
        <v>1563</v>
      </c>
      <c r="I13" t="s">
        <v>41</v>
      </c>
      <c r="J13">
        <v>2</v>
      </c>
      <c r="K13">
        <v>6</v>
      </c>
      <c r="L13" t="str">
        <f>"520721"</f>
        <v>520721</v>
      </c>
      <c r="M13" t="s">
        <v>1564</v>
      </c>
      <c r="N13" t="s">
        <v>1540</v>
      </c>
      <c r="O13" s="2">
        <v>46249.320833333331</v>
      </c>
      <c r="P13" s="2">
        <v>46249.320833333331</v>
      </c>
      <c r="Q13" s="2">
        <v>46249.320833333331</v>
      </c>
      <c r="R13" t="str">
        <f>"153000247"</f>
        <v>153000247</v>
      </c>
      <c r="S13" s="1">
        <v>47950</v>
      </c>
    </row>
    <row r="14" spans="1:19" x14ac:dyDescent="0.35">
      <c r="A14" t="s">
        <v>30</v>
      </c>
      <c r="B14" t="s">
        <v>31</v>
      </c>
      <c r="C14" t="s">
        <v>1561</v>
      </c>
      <c r="D14" t="str">
        <f>"2501718096"</f>
        <v>2501718096</v>
      </c>
      <c r="E14" t="s">
        <v>1536</v>
      </c>
      <c r="F14" t="str">
        <f>"400398"</f>
        <v>400398</v>
      </c>
      <c r="G14" t="s">
        <v>1562</v>
      </c>
      <c r="H14" t="s">
        <v>1565</v>
      </c>
      <c r="I14" t="s">
        <v>41</v>
      </c>
      <c r="J14">
        <v>1</v>
      </c>
      <c r="K14">
        <v>6</v>
      </c>
      <c r="L14" t="str">
        <f>"520721"</f>
        <v>520721</v>
      </c>
      <c r="M14" t="s">
        <v>1564</v>
      </c>
      <c r="N14" t="s">
        <v>1540</v>
      </c>
      <c r="O14" s="2">
        <v>46249.317256944443</v>
      </c>
      <c r="P14" s="2">
        <v>46249.317256944443</v>
      </c>
      <c r="Q14" s="2">
        <v>46249.317256944443</v>
      </c>
      <c r="R14" t="str">
        <f>"153000247"</f>
        <v>153000247</v>
      </c>
      <c r="S14" s="1">
        <v>47950</v>
      </c>
    </row>
    <row r="15" spans="1:19" x14ac:dyDescent="0.35">
      <c r="A15" t="s">
        <v>30</v>
      </c>
      <c r="B15" t="s">
        <v>31</v>
      </c>
      <c r="C15" t="s">
        <v>1566</v>
      </c>
      <c r="D15" t="str">
        <f>"2501718100"</f>
        <v>2501718100</v>
      </c>
      <c r="E15" t="s">
        <v>1536</v>
      </c>
      <c r="F15" t="str">
        <f>"400398"</f>
        <v>400398</v>
      </c>
      <c r="G15" t="s">
        <v>1562</v>
      </c>
      <c r="H15" t="s">
        <v>1567</v>
      </c>
      <c r="I15" t="s">
        <v>41</v>
      </c>
      <c r="J15">
        <v>1</v>
      </c>
      <c r="K15">
        <v>20</v>
      </c>
      <c r="L15" t="str">
        <f>"520801"</f>
        <v>520801</v>
      </c>
      <c r="M15" t="s">
        <v>1559</v>
      </c>
      <c r="N15" t="s">
        <v>1568</v>
      </c>
      <c r="O15" s="2">
        <v>46249.30809027778</v>
      </c>
      <c r="P15" s="2">
        <v>46249.30809027778</v>
      </c>
      <c r="Q15" s="2">
        <v>46249.30809027778</v>
      </c>
      <c r="R15" t="str">
        <f>"153000247"</f>
        <v>153000247</v>
      </c>
      <c r="S15" s="1">
        <v>47950</v>
      </c>
    </row>
    <row r="16" spans="1:19" x14ac:dyDescent="0.35">
      <c r="A16" t="s">
        <v>30</v>
      </c>
      <c r="B16" t="s">
        <v>31</v>
      </c>
      <c r="C16" t="s">
        <v>1566</v>
      </c>
      <c r="D16" t="str">
        <f>"2501718100"</f>
        <v>2501718100</v>
      </c>
      <c r="E16" t="s">
        <v>1536</v>
      </c>
      <c r="F16" t="str">
        <f>"400398"</f>
        <v>400398</v>
      </c>
      <c r="G16" t="s">
        <v>1562</v>
      </c>
      <c r="H16" t="s">
        <v>1569</v>
      </c>
      <c r="I16" t="s">
        <v>41</v>
      </c>
      <c r="J16">
        <v>1</v>
      </c>
      <c r="K16">
        <v>20</v>
      </c>
      <c r="L16" t="str">
        <f>"520801"</f>
        <v>520801</v>
      </c>
      <c r="M16" t="s">
        <v>1559</v>
      </c>
      <c r="N16" t="s">
        <v>1568</v>
      </c>
      <c r="O16" s="2">
        <v>46249.3125</v>
      </c>
      <c r="P16" s="2">
        <v>46249.3125</v>
      </c>
      <c r="Q16" s="2">
        <v>46249.3125</v>
      </c>
      <c r="R16" t="str">
        <f>"153000247"</f>
        <v>153000247</v>
      </c>
      <c r="S16" s="1">
        <v>47950</v>
      </c>
    </row>
    <row r="17" spans="1:19" x14ac:dyDescent="0.35">
      <c r="A17" t="s">
        <v>30</v>
      </c>
      <c r="B17" t="s">
        <v>31</v>
      </c>
      <c r="C17" t="s">
        <v>1570</v>
      </c>
      <c r="D17" t="str">
        <f>"2501718114"</f>
        <v>2501718114</v>
      </c>
      <c r="E17" t="s">
        <v>1536</v>
      </c>
      <c r="F17" t="str">
        <f>"400413"</f>
        <v>400413</v>
      </c>
      <c r="G17" t="s">
        <v>1545</v>
      </c>
      <c r="H17" t="s">
        <v>1547</v>
      </c>
      <c r="I17" t="s">
        <v>37</v>
      </c>
      <c r="J17">
        <v>17</v>
      </c>
      <c r="K17">
        <v>65</v>
      </c>
      <c r="L17" t="str">
        <f t="shared" ref="L17:L25" si="0">"520721"</f>
        <v>520721</v>
      </c>
      <c r="M17" t="s">
        <v>1550</v>
      </c>
      <c r="N17" t="s">
        <v>1540</v>
      </c>
      <c r="O17" s="2">
        <v>46249.336087962962</v>
      </c>
      <c r="P17" s="2">
        <v>46249.336087962962</v>
      </c>
      <c r="Q17" s="2">
        <v>46249.336087962962</v>
      </c>
      <c r="R17" t="str">
        <f>"153000382"</f>
        <v>153000382</v>
      </c>
      <c r="S17" s="1">
        <v>48011</v>
      </c>
    </row>
    <row r="18" spans="1:19" x14ac:dyDescent="0.35">
      <c r="A18" t="s">
        <v>30</v>
      </c>
      <c r="B18" t="s">
        <v>31</v>
      </c>
      <c r="C18" t="s">
        <v>1570</v>
      </c>
      <c r="D18" t="str">
        <f>"2501718114"</f>
        <v>2501718114</v>
      </c>
      <c r="E18" t="s">
        <v>1536</v>
      </c>
      <c r="F18" t="str">
        <f>"400413"</f>
        <v>400413</v>
      </c>
      <c r="G18" t="s">
        <v>1545</v>
      </c>
      <c r="H18" t="s">
        <v>1571</v>
      </c>
      <c r="I18" t="s">
        <v>37</v>
      </c>
      <c r="J18">
        <v>24</v>
      </c>
      <c r="K18">
        <v>65</v>
      </c>
      <c r="L18" t="str">
        <f t="shared" si="0"/>
        <v>520721</v>
      </c>
      <c r="M18" t="s">
        <v>1550</v>
      </c>
      <c r="N18" t="s">
        <v>1540</v>
      </c>
      <c r="O18" s="2">
        <v>46249.327673611115</v>
      </c>
      <c r="P18" s="2">
        <v>46249.327673611115</v>
      </c>
      <c r="Q18" s="2">
        <v>46249.327673611115</v>
      </c>
      <c r="R18" t="str">
        <f>"153000382"</f>
        <v>153000382</v>
      </c>
      <c r="S18" s="1">
        <v>48011</v>
      </c>
    </row>
    <row r="19" spans="1:19" x14ac:dyDescent="0.35">
      <c r="A19" t="s">
        <v>30</v>
      </c>
      <c r="B19" t="s">
        <v>31</v>
      </c>
      <c r="C19" t="s">
        <v>1570</v>
      </c>
      <c r="D19" t="str">
        <f>"2501718114"</f>
        <v>2501718114</v>
      </c>
      <c r="E19" t="s">
        <v>1536</v>
      </c>
      <c r="F19" t="str">
        <f>"400413"</f>
        <v>400413</v>
      </c>
      <c r="G19" t="s">
        <v>1545</v>
      </c>
      <c r="H19" t="s">
        <v>1572</v>
      </c>
      <c r="I19" t="s">
        <v>37</v>
      </c>
      <c r="J19">
        <v>24</v>
      </c>
      <c r="K19">
        <v>35</v>
      </c>
      <c r="L19" t="str">
        <f t="shared" si="0"/>
        <v>520721</v>
      </c>
      <c r="M19" t="s">
        <v>1550</v>
      </c>
      <c r="N19" t="s">
        <v>1540</v>
      </c>
      <c r="O19" s="2">
        <v>46249.326562499999</v>
      </c>
      <c r="P19" s="2">
        <v>46249.326562499999</v>
      </c>
      <c r="Q19" s="2">
        <v>46249.326562499999</v>
      </c>
      <c r="R19" t="str">
        <f>"153000384"</f>
        <v>153000384</v>
      </c>
      <c r="S19" s="1">
        <v>48011</v>
      </c>
    </row>
    <row r="20" spans="1:19" x14ac:dyDescent="0.35">
      <c r="A20" t="s">
        <v>30</v>
      </c>
      <c r="B20" t="s">
        <v>31</v>
      </c>
      <c r="C20" t="s">
        <v>1570</v>
      </c>
      <c r="D20" t="str">
        <f>"2501718114"</f>
        <v>2501718114</v>
      </c>
      <c r="E20" t="s">
        <v>1536</v>
      </c>
      <c r="F20" t="str">
        <f>"400413"</f>
        <v>400413</v>
      </c>
      <c r="G20" t="s">
        <v>1545</v>
      </c>
      <c r="H20" t="s">
        <v>1573</v>
      </c>
      <c r="I20" t="s">
        <v>37</v>
      </c>
      <c r="J20">
        <v>24</v>
      </c>
      <c r="K20">
        <v>65</v>
      </c>
      <c r="L20" t="str">
        <f t="shared" si="0"/>
        <v>520721</v>
      </c>
      <c r="M20" t="s">
        <v>1550</v>
      </c>
      <c r="N20" t="s">
        <v>1540</v>
      </c>
      <c r="O20" s="2">
        <v>46249.325601851851</v>
      </c>
      <c r="P20" s="2">
        <v>46249.325601851851</v>
      </c>
      <c r="Q20" s="2">
        <v>46249.325601851851</v>
      </c>
      <c r="R20" t="str">
        <f>"153000382"</f>
        <v>153000382</v>
      </c>
      <c r="S20" s="1">
        <v>48011</v>
      </c>
    </row>
    <row r="21" spans="1:19" x14ac:dyDescent="0.35">
      <c r="A21" t="s">
        <v>30</v>
      </c>
      <c r="B21" t="s">
        <v>31</v>
      </c>
      <c r="C21" t="s">
        <v>1570</v>
      </c>
      <c r="D21" t="str">
        <f>"2501718114"</f>
        <v>2501718114</v>
      </c>
      <c r="E21" t="s">
        <v>1536</v>
      </c>
      <c r="F21" t="str">
        <f>"400413"</f>
        <v>400413</v>
      </c>
      <c r="G21" t="s">
        <v>1545</v>
      </c>
      <c r="H21" t="s">
        <v>1574</v>
      </c>
      <c r="I21" t="s">
        <v>37</v>
      </c>
      <c r="J21">
        <v>11</v>
      </c>
      <c r="K21">
        <v>35</v>
      </c>
      <c r="L21" t="str">
        <f t="shared" si="0"/>
        <v>520721</v>
      </c>
      <c r="M21" t="s">
        <v>1550</v>
      </c>
      <c r="N21" t="s">
        <v>1540</v>
      </c>
      <c r="O21" s="2">
        <v>46249.335335648146</v>
      </c>
      <c r="P21" s="2">
        <v>46249.335335648146</v>
      </c>
      <c r="Q21" s="2">
        <v>46249.335335648146</v>
      </c>
      <c r="R21" t="str">
        <f>"153000384"</f>
        <v>153000384</v>
      </c>
      <c r="S21" s="1">
        <v>48011</v>
      </c>
    </row>
    <row r="22" spans="1:19" x14ac:dyDescent="0.35">
      <c r="A22" t="s">
        <v>30</v>
      </c>
      <c r="B22" t="s">
        <v>31</v>
      </c>
      <c r="C22" t="s">
        <v>1575</v>
      </c>
      <c r="D22" t="str">
        <f>"2501718111"</f>
        <v>2501718111</v>
      </c>
      <c r="E22" t="s">
        <v>1536</v>
      </c>
      <c r="F22" t="str">
        <f>"400399"</f>
        <v>400399</v>
      </c>
      <c r="G22" t="s">
        <v>1576</v>
      </c>
      <c r="H22" t="s">
        <v>1577</v>
      </c>
      <c r="I22" t="s">
        <v>37</v>
      </c>
      <c r="J22">
        <v>52</v>
      </c>
      <c r="K22">
        <v>196</v>
      </c>
      <c r="L22" t="str">
        <f t="shared" si="0"/>
        <v>520721</v>
      </c>
      <c r="M22" t="s">
        <v>1550</v>
      </c>
      <c r="N22" t="s">
        <v>1540</v>
      </c>
      <c r="O22" s="2">
        <v>46247.990972222222</v>
      </c>
      <c r="P22" s="2">
        <v>46247.990983796299</v>
      </c>
      <c r="Q22" s="2">
        <v>46247.990983796299</v>
      </c>
      <c r="R22" t="str">
        <f>"153000330"</f>
        <v>153000330</v>
      </c>
      <c r="S22" s="1">
        <v>47986</v>
      </c>
    </row>
    <row r="23" spans="1:19" x14ac:dyDescent="0.35">
      <c r="A23" t="s">
        <v>30</v>
      </c>
      <c r="B23" t="s">
        <v>31</v>
      </c>
      <c r="C23" t="s">
        <v>1575</v>
      </c>
      <c r="D23" t="str">
        <f>"2501718111"</f>
        <v>2501718111</v>
      </c>
      <c r="E23" t="s">
        <v>1536</v>
      </c>
      <c r="F23" t="str">
        <f>"400399"</f>
        <v>400399</v>
      </c>
      <c r="G23" t="s">
        <v>1576</v>
      </c>
      <c r="H23" t="s">
        <v>1557</v>
      </c>
      <c r="I23" t="s">
        <v>37</v>
      </c>
      <c r="J23">
        <v>52</v>
      </c>
      <c r="K23">
        <v>196</v>
      </c>
      <c r="L23" t="str">
        <f t="shared" si="0"/>
        <v>520721</v>
      </c>
      <c r="M23" t="s">
        <v>1550</v>
      </c>
      <c r="N23" t="s">
        <v>1540</v>
      </c>
      <c r="O23" s="2">
        <v>46247.989907407406</v>
      </c>
      <c r="P23" s="2">
        <v>46247.989907407406</v>
      </c>
      <c r="Q23" s="2">
        <v>46247.989907407406</v>
      </c>
      <c r="R23" t="str">
        <f>"153000330"</f>
        <v>153000330</v>
      </c>
      <c r="S23" s="1">
        <v>47986</v>
      </c>
    </row>
    <row r="24" spans="1:19" x14ac:dyDescent="0.35">
      <c r="A24" t="s">
        <v>30</v>
      </c>
      <c r="B24" t="s">
        <v>31</v>
      </c>
      <c r="C24" t="s">
        <v>1575</v>
      </c>
      <c r="D24" t="str">
        <f>"2501718111"</f>
        <v>2501718111</v>
      </c>
      <c r="E24" t="s">
        <v>1536</v>
      </c>
      <c r="F24" t="str">
        <f>"400399"</f>
        <v>400399</v>
      </c>
      <c r="G24" t="s">
        <v>1576</v>
      </c>
      <c r="H24" t="s">
        <v>1578</v>
      </c>
      <c r="I24" t="s">
        <v>37</v>
      </c>
      <c r="J24">
        <v>52</v>
      </c>
      <c r="K24">
        <v>196</v>
      </c>
      <c r="L24" t="str">
        <f t="shared" si="0"/>
        <v>520721</v>
      </c>
      <c r="M24" t="s">
        <v>1550</v>
      </c>
      <c r="N24" t="s">
        <v>1540</v>
      </c>
      <c r="O24" s="2">
        <v>46247.988761574074</v>
      </c>
      <c r="P24" s="2">
        <v>46247.988761574074</v>
      </c>
      <c r="Q24" s="2">
        <v>46247.988761574074</v>
      </c>
      <c r="R24" t="str">
        <f>"153000330"</f>
        <v>153000330</v>
      </c>
      <c r="S24" s="1">
        <v>47986</v>
      </c>
    </row>
    <row r="25" spans="1:19" x14ac:dyDescent="0.35">
      <c r="A25" t="s">
        <v>30</v>
      </c>
      <c r="B25" t="s">
        <v>31</v>
      </c>
      <c r="C25" t="s">
        <v>1575</v>
      </c>
      <c r="D25" t="str">
        <f>"2501718111"</f>
        <v>2501718111</v>
      </c>
      <c r="E25" t="s">
        <v>1536</v>
      </c>
      <c r="F25" t="str">
        <f>"400399"</f>
        <v>400399</v>
      </c>
      <c r="G25" t="s">
        <v>1576</v>
      </c>
      <c r="H25" t="s">
        <v>1579</v>
      </c>
      <c r="I25" t="s">
        <v>37</v>
      </c>
      <c r="J25">
        <v>40</v>
      </c>
      <c r="K25">
        <v>196</v>
      </c>
      <c r="L25" t="str">
        <f t="shared" si="0"/>
        <v>520721</v>
      </c>
      <c r="M25" t="s">
        <v>1550</v>
      </c>
      <c r="N25" t="s">
        <v>1540</v>
      </c>
      <c r="O25" s="2">
        <v>46247.99291666667</v>
      </c>
      <c r="P25" s="2">
        <v>46247.99291666667</v>
      </c>
      <c r="Q25" s="2">
        <v>46247.99291666667</v>
      </c>
      <c r="R25" t="str">
        <f>"153000330"</f>
        <v>153000330</v>
      </c>
      <c r="S25" s="1">
        <v>47986</v>
      </c>
    </row>
    <row r="26" spans="1:19" x14ac:dyDescent="0.35">
      <c r="A26" t="s">
        <v>30</v>
      </c>
      <c r="B26" t="s">
        <v>31</v>
      </c>
      <c r="C26" t="s">
        <v>1580</v>
      </c>
      <c r="D26" t="str">
        <f>"2501718106"</f>
        <v>2501718106</v>
      </c>
      <c r="E26" t="s">
        <v>1536</v>
      </c>
      <c r="F26" t="str">
        <f>"400904"</f>
        <v>400904</v>
      </c>
      <c r="G26" t="s">
        <v>167</v>
      </c>
      <c r="H26" t="s">
        <v>1581</v>
      </c>
      <c r="I26" t="s">
        <v>41</v>
      </c>
      <c r="J26">
        <v>2</v>
      </c>
      <c r="K26">
        <v>2</v>
      </c>
      <c r="L26" t="str">
        <f>"521234"</f>
        <v>521234</v>
      </c>
      <c r="M26" t="s">
        <v>1582</v>
      </c>
      <c r="N26" t="s">
        <v>1583</v>
      </c>
      <c r="O26" s="2">
        <v>46247.988333333335</v>
      </c>
      <c r="P26" s="2">
        <v>46247.988344907404</v>
      </c>
      <c r="Q26" s="2">
        <v>46247.988344907404</v>
      </c>
      <c r="R26" t="str">
        <f>"400004146"</f>
        <v>400004146</v>
      </c>
      <c r="S26" s="1">
        <v>47890</v>
      </c>
    </row>
    <row r="27" spans="1:19" x14ac:dyDescent="0.35">
      <c r="A27" t="s">
        <v>30</v>
      </c>
      <c r="B27" t="s">
        <v>31</v>
      </c>
      <c r="C27" t="s">
        <v>1584</v>
      </c>
      <c r="D27" t="str">
        <f t="shared" ref="D27:D35" si="1">"2501718101"</f>
        <v>2501718101</v>
      </c>
      <c r="E27" t="s">
        <v>1536</v>
      </c>
      <c r="F27" t="str">
        <f t="shared" ref="F27:F41" si="2">"400398"</f>
        <v>400398</v>
      </c>
      <c r="G27" t="s">
        <v>1562</v>
      </c>
      <c r="H27" t="s">
        <v>1585</v>
      </c>
      <c r="I27" t="s">
        <v>41</v>
      </c>
      <c r="J27">
        <v>4</v>
      </c>
      <c r="K27">
        <v>33</v>
      </c>
      <c r="L27" t="str">
        <f t="shared" ref="L27:L41" si="3">"520801"</f>
        <v>520801</v>
      </c>
      <c r="M27" t="s">
        <v>1586</v>
      </c>
      <c r="N27" t="s">
        <v>1568</v>
      </c>
      <c r="O27" s="2">
        <v>46249.305787037039</v>
      </c>
      <c r="P27" s="2">
        <v>46249.305787037039</v>
      </c>
      <c r="Q27" s="2">
        <v>46249.305787037039</v>
      </c>
      <c r="R27" t="str">
        <f t="shared" ref="R27:R41" si="4">"153000247"</f>
        <v>153000247</v>
      </c>
      <c r="S27" s="1">
        <v>47950</v>
      </c>
    </row>
    <row r="28" spans="1:19" x14ac:dyDescent="0.35">
      <c r="A28" t="s">
        <v>30</v>
      </c>
      <c r="B28" t="s">
        <v>31</v>
      </c>
      <c r="C28" t="s">
        <v>1584</v>
      </c>
      <c r="D28" t="str">
        <f t="shared" si="1"/>
        <v>2501718101</v>
      </c>
      <c r="E28" t="s">
        <v>1536</v>
      </c>
      <c r="F28" t="str">
        <f t="shared" si="2"/>
        <v>400398</v>
      </c>
      <c r="G28" t="s">
        <v>1562</v>
      </c>
      <c r="H28" t="s">
        <v>1587</v>
      </c>
      <c r="I28" t="s">
        <v>41</v>
      </c>
      <c r="J28">
        <v>4</v>
      </c>
      <c r="K28">
        <v>33</v>
      </c>
      <c r="L28" t="str">
        <f t="shared" si="3"/>
        <v>520801</v>
      </c>
      <c r="M28" t="s">
        <v>1586</v>
      </c>
      <c r="N28" t="s">
        <v>1568</v>
      </c>
      <c r="O28" s="2">
        <v>46249.305694444447</v>
      </c>
      <c r="P28" s="2">
        <v>46249.305694444447</v>
      </c>
      <c r="Q28" s="2">
        <v>46249.305694444447</v>
      </c>
      <c r="R28" t="str">
        <f t="shared" si="4"/>
        <v>153000247</v>
      </c>
      <c r="S28" s="1">
        <v>47950</v>
      </c>
    </row>
    <row r="29" spans="1:19" x14ac:dyDescent="0.35">
      <c r="A29" t="s">
        <v>30</v>
      </c>
      <c r="B29" t="s">
        <v>31</v>
      </c>
      <c r="C29" t="s">
        <v>1584</v>
      </c>
      <c r="D29" t="str">
        <f t="shared" si="1"/>
        <v>2501718101</v>
      </c>
      <c r="E29" t="s">
        <v>1536</v>
      </c>
      <c r="F29" t="str">
        <f t="shared" si="2"/>
        <v>400398</v>
      </c>
      <c r="G29" t="s">
        <v>1562</v>
      </c>
      <c r="H29" t="s">
        <v>1588</v>
      </c>
      <c r="I29" t="s">
        <v>41</v>
      </c>
      <c r="J29">
        <v>4</v>
      </c>
      <c r="K29">
        <v>33</v>
      </c>
      <c r="L29" t="str">
        <f t="shared" si="3"/>
        <v>520801</v>
      </c>
      <c r="M29" t="s">
        <v>1586</v>
      </c>
      <c r="N29" t="s">
        <v>1568</v>
      </c>
      <c r="O29" s="2">
        <v>46249.305266203701</v>
      </c>
      <c r="P29" s="2">
        <v>46249.305266203701</v>
      </c>
      <c r="Q29" s="2">
        <v>46249.305266203701</v>
      </c>
      <c r="R29" t="str">
        <f t="shared" si="4"/>
        <v>153000247</v>
      </c>
      <c r="S29" s="1">
        <v>47950</v>
      </c>
    </row>
    <row r="30" spans="1:19" x14ac:dyDescent="0.35">
      <c r="A30" t="s">
        <v>30</v>
      </c>
      <c r="B30" t="s">
        <v>31</v>
      </c>
      <c r="C30" t="s">
        <v>1584</v>
      </c>
      <c r="D30" t="str">
        <f t="shared" si="1"/>
        <v>2501718101</v>
      </c>
      <c r="E30" t="s">
        <v>1536</v>
      </c>
      <c r="F30" t="str">
        <f t="shared" si="2"/>
        <v>400398</v>
      </c>
      <c r="G30" t="s">
        <v>1562</v>
      </c>
      <c r="H30" t="s">
        <v>1589</v>
      </c>
      <c r="I30" t="s">
        <v>41</v>
      </c>
      <c r="J30">
        <v>4</v>
      </c>
      <c r="K30">
        <v>33</v>
      </c>
      <c r="L30" t="str">
        <f t="shared" si="3"/>
        <v>520801</v>
      </c>
      <c r="M30" t="s">
        <v>1586</v>
      </c>
      <c r="N30" t="s">
        <v>1568</v>
      </c>
      <c r="O30" s="2">
        <v>46249.304363425923</v>
      </c>
      <c r="P30" s="2">
        <v>46249.304363425923</v>
      </c>
      <c r="Q30" s="2">
        <v>46249.304363425923</v>
      </c>
      <c r="R30" t="str">
        <f t="shared" si="4"/>
        <v>153000247</v>
      </c>
      <c r="S30" s="1">
        <v>47950</v>
      </c>
    </row>
    <row r="31" spans="1:19" x14ac:dyDescent="0.35">
      <c r="A31" t="s">
        <v>30</v>
      </c>
      <c r="B31" t="s">
        <v>31</v>
      </c>
      <c r="C31" t="s">
        <v>1584</v>
      </c>
      <c r="D31" t="str">
        <f t="shared" si="1"/>
        <v>2501718101</v>
      </c>
      <c r="E31" t="s">
        <v>1536</v>
      </c>
      <c r="F31" t="str">
        <f t="shared" si="2"/>
        <v>400398</v>
      </c>
      <c r="G31" t="s">
        <v>1562</v>
      </c>
      <c r="H31" t="s">
        <v>1590</v>
      </c>
      <c r="I31" t="s">
        <v>41</v>
      </c>
      <c r="J31">
        <v>4</v>
      </c>
      <c r="K31">
        <v>33</v>
      </c>
      <c r="L31" t="str">
        <f t="shared" si="3"/>
        <v>520801</v>
      </c>
      <c r="M31" t="s">
        <v>1586</v>
      </c>
      <c r="N31" t="s">
        <v>1568</v>
      </c>
      <c r="O31" s="2">
        <v>46249.304293981484</v>
      </c>
      <c r="P31" s="2">
        <v>46249.304293981484</v>
      </c>
      <c r="Q31" s="2">
        <v>46249.304293981484</v>
      </c>
      <c r="R31" t="str">
        <f t="shared" si="4"/>
        <v>153000247</v>
      </c>
      <c r="S31" s="1">
        <v>47950</v>
      </c>
    </row>
    <row r="32" spans="1:19" x14ac:dyDescent="0.35">
      <c r="A32" t="s">
        <v>30</v>
      </c>
      <c r="B32" t="s">
        <v>31</v>
      </c>
      <c r="C32" t="s">
        <v>1584</v>
      </c>
      <c r="D32" t="str">
        <f t="shared" si="1"/>
        <v>2501718101</v>
      </c>
      <c r="E32" t="s">
        <v>1536</v>
      </c>
      <c r="F32" t="str">
        <f t="shared" si="2"/>
        <v>400398</v>
      </c>
      <c r="G32" t="s">
        <v>1562</v>
      </c>
      <c r="H32" t="s">
        <v>1591</v>
      </c>
      <c r="I32" t="s">
        <v>41</v>
      </c>
      <c r="J32">
        <v>4</v>
      </c>
      <c r="K32">
        <v>33</v>
      </c>
      <c r="L32" t="str">
        <f t="shared" si="3"/>
        <v>520801</v>
      </c>
      <c r="M32" t="s">
        <v>1586</v>
      </c>
      <c r="N32" t="s">
        <v>1568</v>
      </c>
      <c r="O32" s="2">
        <v>46249.303796296299</v>
      </c>
      <c r="P32" s="2">
        <v>46249.303796296299</v>
      </c>
      <c r="Q32" s="2">
        <v>46249.303796296299</v>
      </c>
      <c r="R32" t="str">
        <f t="shared" si="4"/>
        <v>153000247</v>
      </c>
      <c r="S32" s="1">
        <v>47950</v>
      </c>
    </row>
    <row r="33" spans="1:19" x14ac:dyDescent="0.35">
      <c r="A33" t="s">
        <v>30</v>
      </c>
      <c r="B33" t="s">
        <v>31</v>
      </c>
      <c r="C33" t="s">
        <v>1584</v>
      </c>
      <c r="D33" t="str">
        <f t="shared" si="1"/>
        <v>2501718101</v>
      </c>
      <c r="E33" t="s">
        <v>1536</v>
      </c>
      <c r="F33" t="str">
        <f t="shared" si="2"/>
        <v>400398</v>
      </c>
      <c r="G33" t="s">
        <v>1562</v>
      </c>
      <c r="H33" t="s">
        <v>1592</v>
      </c>
      <c r="I33" t="s">
        <v>41</v>
      </c>
      <c r="J33">
        <v>4</v>
      </c>
      <c r="K33">
        <v>33</v>
      </c>
      <c r="L33" t="str">
        <f t="shared" si="3"/>
        <v>520801</v>
      </c>
      <c r="M33" t="s">
        <v>1586</v>
      </c>
      <c r="N33" t="s">
        <v>1568</v>
      </c>
      <c r="O33" s="2">
        <v>46249.303333333337</v>
      </c>
      <c r="P33" s="2">
        <v>46249.303333333337</v>
      </c>
      <c r="Q33" s="2">
        <v>46249.303333333337</v>
      </c>
      <c r="R33" t="str">
        <f t="shared" si="4"/>
        <v>153000247</v>
      </c>
      <c r="S33" s="1">
        <v>47950</v>
      </c>
    </row>
    <row r="34" spans="1:19" x14ac:dyDescent="0.35">
      <c r="A34" t="s">
        <v>30</v>
      </c>
      <c r="B34" t="s">
        <v>31</v>
      </c>
      <c r="C34" t="s">
        <v>1584</v>
      </c>
      <c r="D34" t="str">
        <f t="shared" si="1"/>
        <v>2501718101</v>
      </c>
      <c r="E34" t="s">
        <v>1536</v>
      </c>
      <c r="F34" t="str">
        <f t="shared" si="2"/>
        <v>400398</v>
      </c>
      <c r="G34" t="s">
        <v>1562</v>
      </c>
      <c r="H34" t="s">
        <v>1593</v>
      </c>
      <c r="I34" t="s">
        <v>41</v>
      </c>
      <c r="J34">
        <v>4</v>
      </c>
      <c r="K34">
        <v>33</v>
      </c>
      <c r="L34" t="str">
        <f t="shared" si="3"/>
        <v>520801</v>
      </c>
      <c r="M34" t="s">
        <v>1586</v>
      </c>
      <c r="N34" t="s">
        <v>1568</v>
      </c>
      <c r="O34" s="2">
        <v>46249.302800925929</v>
      </c>
      <c r="P34" s="2">
        <v>46249.302800925929</v>
      </c>
      <c r="Q34" s="2">
        <v>46249.302800925929</v>
      </c>
      <c r="R34" t="str">
        <f t="shared" si="4"/>
        <v>153000247</v>
      </c>
      <c r="S34" s="1">
        <v>47950</v>
      </c>
    </row>
    <row r="35" spans="1:19" x14ac:dyDescent="0.35">
      <c r="A35" t="s">
        <v>30</v>
      </c>
      <c r="B35" t="s">
        <v>31</v>
      </c>
      <c r="C35" t="s">
        <v>1584</v>
      </c>
      <c r="D35" t="str">
        <f t="shared" si="1"/>
        <v>2501718101</v>
      </c>
      <c r="E35" t="s">
        <v>1536</v>
      </c>
      <c r="F35" t="str">
        <f t="shared" si="2"/>
        <v>400398</v>
      </c>
      <c r="G35" t="s">
        <v>1562</v>
      </c>
      <c r="H35" t="s">
        <v>1563</v>
      </c>
      <c r="I35" t="s">
        <v>41</v>
      </c>
      <c r="J35">
        <v>1</v>
      </c>
      <c r="K35">
        <v>33</v>
      </c>
      <c r="L35" t="str">
        <f t="shared" si="3"/>
        <v>520801</v>
      </c>
      <c r="M35" t="s">
        <v>1586</v>
      </c>
      <c r="N35" t="s">
        <v>1568</v>
      </c>
      <c r="O35" s="2">
        <v>46249.353807870371</v>
      </c>
      <c r="P35" s="2">
        <v>46249.353807870371</v>
      </c>
      <c r="Q35" s="2">
        <v>46249.353807870371</v>
      </c>
      <c r="R35" t="str">
        <f t="shared" si="4"/>
        <v>153000247</v>
      </c>
      <c r="S35" s="1">
        <v>47950</v>
      </c>
    </row>
    <row r="36" spans="1:19" x14ac:dyDescent="0.35">
      <c r="A36" t="s">
        <v>30</v>
      </c>
      <c r="B36" t="s">
        <v>31</v>
      </c>
      <c r="C36" t="s">
        <v>1566</v>
      </c>
      <c r="D36" t="str">
        <f t="shared" ref="D36:D41" si="5">"2501718100"</f>
        <v>2501718100</v>
      </c>
      <c r="E36" t="s">
        <v>1536</v>
      </c>
      <c r="F36" t="str">
        <f t="shared" si="2"/>
        <v>400398</v>
      </c>
      <c r="G36" t="s">
        <v>1562</v>
      </c>
      <c r="H36" t="s">
        <v>1567</v>
      </c>
      <c r="I36" t="s">
        <v>41</v>
      </c>
      <c r="J36">
        <v>1</v>
      </c>
      <c r="K36">
        <v>20</v>
      </c>
      <c r="L36" t="str">
        <f t="shared" si="3"/>
        <v>520801</v>
      </c>
      <c r="M36" t="s">
        <v>1559</v>
      </c>
      <c r="N36" t="s">
        <v>1568</v>
      </c>
      <c r="O36" s="2">
        <v>46249.308032407411</v>
      </c>
      <c r="P36" s="2">
        <v>46249.308032407411</v>
      </c>
      <c r="Q36" s="2">
        <v>46249.308032407411</v>
      </c>
      <c r="R36" t="str">
        <f t="shared" si="4"/>
        <v>153000247</v>
      </c>
      <c r="S36" s="1">
        <v>47950</v>
      </c>
    </row>
    <row r="37" spans="1:19" x14ac:dyDescent="0.35">
      <c r="A37" t="s">
        <v>30</v>
      </c>
      <c r="B37" t="s">
        <v>31</v>
      </c>
      <c r="C37" t="s">
        <v>1566</v>
      </c>
      <c r="D37" t="str">
        <f t="shared" si="5"/>
        <v>2501718100</v>
      </c>
      <c r="E37" t="s">
        <v>1536</v>
      </c>
      <c r="F37" t="str">
        <f t="shared" si="2"/>
        <v>400398</v>
      </c>
      <c r="G37" t="s">
        <v>1562</v>
      </c>
      <c r="H37" t="s">
        <v>1594</v>
      </c>
      <c r="I37" t="s">
        <v>41</v>
      </c>
      <c r="J37">
        <v>4</v>
      </c>
      <c r="K37">
        <v>20</v>
      </c>
      <c r="L37" t="str">
        <f t="shared" si="3"/>
        <v>520801</v>
      </c>
      <c r="M37" t="s">
        <v>1559</v>
      </c>
      <c r="N37" t="s">
        <v>1568</v>
      </c>
      <c r="O37" s="2">
        <v>46249.31145833333</v>
      </c>
      <c r="P37" s="2">
        <v>46249.31145833333</v>
      </c>
      <c r="Q37" s="2">
        <v>46249.31145833333</v>
      </c>
      <c r="R37" t="str">
        <f t="shared" si="4"/>
        <v>153000247</v>
      </c>
      <c r="S37" s="1">
        <v>47950</v>
      </c>
    </row>
    <row r="38" spans="1:19" x14ac:dyDescent="0.35">
      <c r="A38" t="s">
        <v>30</v>
      </c>
      <c r="B38" t="s">
        <v>31</v>
      </c>
      <c r="C38" t="s">
        <v>1566</v>
      </c>
      <c r="D38" t="str">
        <f t="shared" si="5"/>
        <v>2501718100</v>
      </c>
      <c r="E38" t="s">
        <v>1536</v>
      </c>
      <c r="F38" t="str">
        <f t="shared" si="2"/>
        <v>400398</v>
      </c>
      <c r="G38" t="s">
        <v>1562</v>
      </c>
      <c r="H38" t="s">
        <v>1569</v>
      </c>
      <c r="I38" t="s">
        <v>41</v>
      </c>
      <c r="J38">
        <v>3</v>
      </c>
      <c r="K38">
        <v>20</v>
      </c>
      <c r="L38" t="str">
        <f t="shared" si="3"/>
        <v>520801</v>
      </c>
      <c r="M38" t="s">
        <v>1559</v>
      </c>
      <c r="N38" t="s">
        <v>1568</v>
      </c>
      <c r="O38" s="2">
        <v>46249.312581018516</v>
      </c>
      <c r="P38" s="2">
        <v>46249.312581018516</v>
      </c>
      <c r="Q38" s="2">
        <v>46249.312581018516</v>
      </c>
      <c r="R38" t="str">
        <f t="shared" si="4"/>
        <v>153000247</v>
      </c>
      <c r="S38" s="1">
        <v>47950</v>
      </c>
    </row>
    <row r="39" spans="1:19" x14ac:dyDescent="0.35">
      <c r="A39" t="s">
        <v>30</v>
      </c>
      <c r="B39" t="s">
        <v>31</v>
      </c>
      <c r="C39" t="s">
        <v>1566</v>
      </c>
      <c r="D39" t="str">
        <f t="shared" si="5"/>
        <v>2501718100</v>
      </c>
      <c r="E39" t="s">
        <v>1536</v>
      </c>
      <c r="F39" t="str">
        <f t="shared" si="2"/>
        <v>400398</v>
      </c>
      <c r="G39" t="s">
        <v>1562</v>
      </c>
      <c r="H39" t="s">
        <v>1595</v>
      </c>
      <c r="I39" t="s">
        <v>41</v>
      </c>
      <c r="J39">
        <v>4</v>
      </c>
      <c r="K39">
        <v>20</v>
      </c>
      <c r="L39" t="str">
        <f t="shared" si="3"/>
        <v>520801</v>
      </c>
      <c r="M39" t="s">
        <v>1559</v>
      </c>
      <c r="N39" t="s">
        <v>1568</v>
      </c>
      <c r="O39" s="2">
        <v>46249.309942129628</v>
      </c>
      <c r="P39" s="2">
        <v>46249.309942129628</v>
      </c>
      <c r="Q39" s="2">
        <v>46249.309942129628</v>
      </c>
      <c r="R39" t="str">
        <f t="shared" si="4"/>
        <v>153000247</v>
      </c>
      <c r="S39" s="1">
        <v>47950</v>
      </c>
    </row>
    <row r="40" spans="1:19" x14ac:dyDescent="0.35">
      <c r="A40" t="s">
        <v>30</v>
      </c>
      <c r="B40" t="s">
        <v>31</v>
      </c>
      <c r="C40" t="s">
        <v>1566</v>
      </c>
      <c r="D40" t="str">
        <f t="shared" si="5"/>
        <v>2501718100</v>
      </c>
      <c r="E40" t="s">
        <v>1536</v>
      </c>
      <c r="F40" t="str">
        <f t="shared" si="2"/>
        <v>400398</v>
      </c>
      <c r="G40" t="s">
        <v>1562</v>
      </c>
      <c r="H40" t="s">
        <v>1596</v>
      </c>
      <c r="I40" t="s">
        <v>41</v>
      </c>
      <c r="J40">
        <v>4</v>
      </c>
      <c r="K40">
        <v>20</v>
      </c>
      <c r="L40" t="str">
        <f t="shared" si="3"/>
        <v>520801</v>
      </c>
      <c r="M40" t="s">
        <v>1559</v>
      </c>
      <c r="N40" t="s">
        <v>1568</v>
      </c>
      <c r="O40" s="2">
        <v>46249.309328703705</v>
      </c>
      <c r="P40" s="2">
        <v>46249.309328703705</v>
      </c>
      <c r="Q40" s="2">
        <v>46249.309328703705</v>
      </c>
      <c r="R40" t="str">
        <f t="shared" si="4"/>
        <v>153000247</v>
      </c>
      <c r="S40" s="1">
        <v>47950</v>
      </c>
    </row>
    <row r="41" spans="1:19" x14ac:dyDescent="0.35">
      <c r="A41" t="s">
        <v>30</v>
      </c>
      <c r="B41" t="s">
        <v>31</v>
      </c>
      <c r="C41" t="s">
        <v>1566</v>
      </c>
      <c r="D41" t="str">
        <f t="shared" si="5"/>
        <v>2501718100</v>
      </c>
      <c r="E41" t="s">
        <v>1536</v>
      </c>
      <c r="F41" t="str">
        <f t="shared" si="2"/>
        <v>400398</v>
      </c>
      <c r="G41" t="s">
        <v>1562</v>
      </c>
      <c r="H41" t="s">
        <v>1567</v>
      </c>
      <c r="I41" t="s">
        <v>41</v>
      </c>
      <c r="J41">
        <v>2</v>
      </c>
      <c r="K41">
        <v>20</v>
      </c>
      <c r="L41" t="str">
        <f t="shared" si="3"/>
        <v>520801</v>
      </c>
      <c r="M41" t="s">
        <v>1559</v>
      </c>
      <c r="N41" t="s">
        <v>1568</v>
      </c>
      <c r="O41" s="2">
        <v>46249.307962962965</v>
      </c>
      <c r="P41" s="2">
        <v>46249.307962962965</v>
      </c>
      <c r="Q41" s="2">
        <v>46249.307962962965</v>
      </c>
      <c r="R41" t="str">
        <f t="shared" si="4"/>
        <v>153000247</v>
      </c>
      <c r="S41" s="1">
        <v>47950</v>
      </c>
    </row>
    <row r="42" spans="1:19" x14ac:dyDescent="0.35">
      <c r="A42" t="s">
        <v>30</v>
      </c>
      <c r="B42" t="s">
        <v>31</v>
      </c>
      <c r="C42" t="s">
        <v>1597</v>
      </c>
      <c r="D42" t="str">
        <f>"2501718097"</f>
        <v>2501718097</v>
      </c>
      <c r="E42" t="s">
        <v>1536</v>
      </c>
      <c r="F42" t="str">
        <f>"400441"</f>
        <v>400441</v>
      </c>
      <c r="G42" t="s">
        <v>65</v>
      </c>
      <c r="H42" t="s">
        <v>1510</v>
      </c>
      <c r="I42" t="s">
        <v>41</v>
      </c>
      <c r="J42">
        <v>1</v>
      </c>
      <c r="K42">
        <v>1</v>
      </c>
      <c r="L42" t="str">
        <f>"521234"</f>
        <v>521234</v>
      </c>
      <c r="M42" t="s">
        <v>1598</v>
      </c>
      <c r="N42" t="s">
        <v>1583</v>
      </c>
      <c r="O42" s="2">
        <v>46249.324444444443</v>
      </c>
      <c r="P42" s="2">
        <v>46249.324444444443</v>
      </c>
      <c r="Q42" s="2">
        <v>46249.324444444443</v>
      </c>
      <c r="R42" t="str">
        <f>"153000332"</f>
        <v>153000332</v>
      </c>
      <c r="S42" s="1">
        <v>47986</v>
      </c>
    </row>
    <row r="43" spans="1:19" x14ac:dyDescent="0.35">
      <c r="A43" t="s">
        <v>30</v>
      </c>
      <c r="B43" t="s">
        <v>31</v>
      </c>
      <c r="C43" t="s">
        <v>1561</v>
      </c>
      <c r="D43" t="str">
        <f>"2501718096"</f>
        <v>2501718096</v>
      </c>
      <c r="E43" t="s">
        <v>1536</v>
      </c>
      <c r="F43" t="str">
        <f>"400398"</f>
        <v>400398</v>
      </c>
      <c r="G43" t="s">
        <v>1562</v>
      </c>
      <c r="H43" t="s">
        <v>1565</v>
      </c>
      <c r="I43" t="s">
        <v>41</v>
      </c>
      <c r="J43">
        <v>2</v>
      </c>
      <c r="K43">
        <v>6</v>
      </c>
      <c r="L43" t="str">
        <f>"520721"</f>
        <v>520721</v>
      </c>
      <c r="M43" t="s">
        <v>1564</v>
      </c>
      <c r="N43" t="s">
        <v>1540</v>
      </c>
      <c r="O43" s="2">
        <v>46249.317048611112</v>
      </c>
      <c r="P43" s="2">
        <v>46249.317048611112</v>
      </c>
      <c r="Q43" s="2">
        <v>46249.317048611112</v>
      </c>
      <c r="R43" t="str">
        <f>"153000247"</f>
        <v>153000247</v>
      </c>
      <c r="S43" s="1">
        <v>47950</v>
      </c>
    </row>
    <row r="44" spans="1:19" x14ac:dyDescent="0.35">
      <c r="A44" t="s">
        <v>30</v>
      </c>
      <c r="B44" t="s">
        <v>31</v>
      </c>
      <c r="C44" t="s">
        <v>1561</v>
      </c>
      <c r="D44" t="str">
        <f>"2501718096"</f>
        <v>2501718096</v>
      </c>
      <c r="E44" t="s">
        <v>1536</v>
      </c>
      <c r="F44" t="str">
        <f>"400398"</f>
        <v>400398</v>
      </c>
      <c r="G44" t="s">
        <v>1562</v>
      </c>
      <c r="H44" t="s">
        <v>1565</v>
      </c>
      <c r="I44" t="s">
        <v>41</v>
      </c>
      <c r="J44">
        <v>1</v>
      </c>
      <c r="K44">
        <v>6</v>
      </c>
      <c r="L44" t="str">
        <f>"520721"</f>
        <v>520721</v>
      </c>
      <c r="M44" t="s">
        <v>1564</v>
      </c>
      <c r="N44" t="s">
        <v>1540</v>
      </c>
      <c r="O44" s="2">
        <v>46249.317048611112</v>
      </c>
      <c r="P44" s="2">
        <v>46249.317048611112</v>
      </c>
      <c r="Q44" s="2">
        <v>46249.317048611112</v>
      </c>
      <c r="R44" t="str">
        <f>"153000247"</f>
        <v>153000247</v>
      </c>
      <c r="S44" s="1">
        <v>47950</v>
      </c>
    </row>
    <row r="45" spans="1:19" x14ac:dyDescent="0.35">
      <c r="A45" t="s">
        <v>30</v>
      </c>
      <c r="B45" t="s">
        <v>31</v>
      </c>
      <c r="C45" t="s">
        <v>1561</v>
      </c>
      <c r="D45" t="str">
        <f>"2501718096"</f>
        <v>2501718096</v>
      </c>
      <c r="E45" t="s">
        <v>1536</v>
      </c>
      <c r="F45" t="str">
        <f>"400398"</f>
        <v>400398</v>
      </c>
      <c r="G45" t="s">
        <v>1562</v>
      </c>
      <c r="H45" t="s">
        <v>1599</v>
      </c>
      <c r="I45" t="s">
        <v>41</v>
      </c>
      <c r="J45">
        <v>1</v>
      </c>
      <c r="K45">
        <v>2</v>
      </c>
      <c r="L45" t="str">
        <f>"520721"</f>
        <v>520721</v>
      </c>
      <c r="M45" t="s">
        <v>1564</v>
      </c>
      <c r="N45" t="s">
        <v>1540</v>
      </c>
      <c r="O45" s="2">
        <v>46249.321134259262</v>
      </c>
      <c r="P45" s="2">
        <v>46249.321134259262</v>
      </c>
      <c r="Q45" s="2">
        <v>46249.321134259262</v>
      </c>
      <c r="R45" t="str">
        <f>"153000212"</f>
        <v>153000212</v>
      </c>
      <c r="S45" s="1">
        <v>47934</v>
      </c>
    </row>
    <row r="46" spans="1:19" x14ac:dyDescent="0.35">
      <c r="A46" t="s">
        <v>30</v>
      </c>
      <c r="B46" t="s">
        <v>31</v>
      </c>
      <c r="C46" t="s">
        <v>1561</v>
      </c>
      <c r="D46" t="str">
        <f>"2501718096"</f>
        <v>2501718096</v>
      </c>
      <c r="E46" t="s">
        <v>1536</v>
      </c>
      <c r="F46" t="str">
        <f>"400398"</f>
        <v>400398</v>
      </c>
      <c r="G46" t="s">
        <v>1562</v>
      </c>
      <c r="H46" t="s">
        <v>1600</v>
      </c>
      <c r="I46" t="s">
        <v>41</v>
      </c>
      <c r="J46">
        <v>1</v>
      </c>
      <c r="K46">
        <v>2</v>
      </c>
      <c r="L46" t="str">
        <f>"520721"</f>
        <v>520721</v>
      </c>
      <c r="M46" t="s">
        <v>1564</v>
      </c>
      <c r="N46" t="s">
        <v>1540</v>
      </c>
      <c r="O46" s="2">
        <v>46249.321261574078</v>
      </c>
      <c r="P46" s="2">
        <v>46249.321261574078</v>
      </c>
      <c r="Q46" s="2">
        <v>46249.321261574078</v>
      </c>
      <c r="R46" t="str">
        <f>"153000212"</f>
        <v>153000212</v>
      </c>
      <c r="S46" s="1">
        <v>47934</v>
      </c>
    </row>
    <row r="47" spans="1:19" x14ac:dyDescent="0.35">
      <c r="A47" t="s">
        <v>30</v>
      </c>
      <c r="B47" t="s">
        <v>31</v>
      </c>
      <c r="C47" t="s">
        <v>1561</v>
      </c>
      <c r="D47" t="str">
        <f>"2501718096"</f>
        <v>2501718096</v>
      </c>
      <c r="E47" t="s">
        <v>1536</v>
      </c>
      <c r="F47" t="str">
        <f>"400411"</f>
        <v>400411</v>
      </c>
      <c r="G47" t="s">
        <v>1537</v>
      </c>
      <c r="H47" t="s">
        <v>1601</v>
      </c>
      <c r="I47" t="s">
        <v>41</v>
      </c>
      <c r="J47">
        <v>4</v>
      </c>
      <c r="K47">
        <v>4</v>
      </c>
      <c r="L47" t="str">
        <f>"520721"</f>
        <v>520721</v>
      </c>
      <c r="M47" t="s">
        <v>1564</v>
      </c>
      <c r="N47" t="s">
        <v>1540</v>
      </c>
      <c r="O47" s="2">
        <v>46249.315023148149</v>
      </c>
      <c r="P47" s="2">
        <v>46249.315023148149</v>
      </c>
      <c r="Q47" s="2">
        <v>46249.315023148149</v>
      </c>
      <c r="R47" t="str">
        <f>"153000352"</f>
        <v>153000352</v>
      </c>
      <c r="S47" s="1">
        <v>48002</v>
      </c>
    </row>
    <row r="48" spans="1:19" x14ac:dyDescent="0.35">
      <c r="A48" t="s">
        <v>30</v>
      </c>
      <c r="B48" t="s">
        <v>31</v>
      </c>
      <c r="C48" t="s">
        <v>1602</v>
      </c>
      <c r="D48" t="str">
        <f>"2501718093"</f>
        <v>2501718093</v>
      </c>
      <c r="E48" t="s">
        <v>1536</v>
      </c>
      <c r="F48" t="str">
        <f>"400393"</f>
        <v>400393</v>
      </c>
      <c r="G48" t="s">
        <v>1603</v>
      </c>
      <c r="H48" t="s">
        <v>1604</v>
      </c>
      <c r="I48" t="s">
        <v>37</v>
      </c>
      <c r="J48">
        <v>5</v>
      </c>
      <c r="K48">
        <v>5</v>
      </c>
      <c r="L48" t="str">
        <f>"521107"</f>
        <v>521107</v>
      </c>
      <c r="M48" t="s">
        <v>1586</v>
      </c>
      <c r="N48" t="s">
        <v>1605</v>
      </c>
      <c r="O48" s="2">
        <v>46247.984178240738</v>
      </c>
      <c r="P48" s="2">
        <v>46247.984178240738</v>
      </c>
      <c r="Q48" s="2">
        <v>46247.984178240738</v>
      </c>
      <c r="R48" t="str">
        <f>"153000215"</f>
        <v>153000215</v>
      </c>
      <c r="S48" s="1">
        <v>47934</v>
      </c>
    </row>
    <row r="49" spans="1:19" x14ac:dyDescent="0.35">
      <c r="A49" t="s">
        <v>30</v>
      </c>
      <c r="B49" t="s">
        <v>31</v>
      </c>
      <c r="C49" t="s">
        <v>1558</v>
      </c>
      <c r="D49" t="str">
        <f t="shared" ref="D49:D60" si="6">"2501718089"</f>
        <v>2501718089</v>
      </c>
      <c r="E49" t="s">
        <v>1536</v>
      </c>
      <c r="F49" t="str">
        <f>"400405"</f>
        <v>400405</v>
      </c>
      <c r="G49" t="s">
        <v>519</v>
      </c>
      <c r="H49" t="s">
        <v>1606</v>
      </c>
      <c r="I49" t="s">
        <v>37</v>
      </c>
      <c r="J49">
        <v>32</v>
      </c>
      <c r="K49">
        <v>130</v>
      </c>
      <c r="L49" t="str">
        <f t="shared" ref="L49:L60" si="7">"521088"</f>
        <v>521088</v>
      </c>
      <c r="M49" t="s">
        <v>1559</v>
      </c>
      <c r="N49" t="s">
        <v>1560</v>
      </c>
      <c r="O49" s="2">
        <v>46249.358414351853</v>
      </c>
      <c r="P49" s="2">
        <v>46249.358414351853</v>
      </c>
      <c r="Q49" s="2">
        <v>46249.358414351853</v>
      </c>
      <c r="R49" t="str">
        <f>"153000440"</f>
        <v>153000440</v>
      </c>
      <c r="S49" s="1">
        <v>48036</v>
      </c>
    </row>
    <row r="50" spans="1:19" x14ac:dyDescent="0.35">
      <c r="A50" t="s">
        <v>30</v>
      </c>
      <c r="B50" t="s">
        <v>31</v>
      </c>
      <c r="C50" t="s">
        <v>1558</v>
      </c>
      <c r="D50" t="str">
        <f t="shared" si="6"/>
        <v>2501718089</v>
      </c>
      <c r="E50" t="s">
        <v>1536</v>
      </c>
      <c r="F50" t="str">
        <f>"400405"</f>
        <v>400405</v>
      </c>
      <c r="G50" t="s">
        <v>519</v>
      </c>
      <c r="H50" t="s">
        <v>1607</v>
      </c>
      <c r="I50" t="s">
        <v>37</v>
      </c>
      <c r="J50">
        <v>52</v>
      </c>
      <c r="K50">
        <v>130</v>
      </c>
      <c r="L50" t="str">
        <f t="shared" si="7"/>
        <v>521088</v>
      </c>
      <c r="M50" t="s">
        <v>1559</v>
      </c>
      <c r="N50" t="s">
        <v>1560</v>
      </c>
      <c r="O50" s="2">
        <v>46249.356539351851</v>
      </c>
      <c r="P50" s="2">
        <v>46249.356539351851</v>
      </c>
      <c r="Q50" s="2">
        <v>46249.356539351851</v>
      </c>
      <c r="R50" t="str">
        <f>"153000440"</f>
        <v>153000440</v>
      </c>
      <c r="S50" s="1">
        <v>48036</v>
      </c>
    </row>
    <row r="51" spans="1:19" x14ac:dyDescent="0.35">
      <c r="A51" t="s">
        <v>30</v>
      </c>
      <c r="B51" t="s">
        <v>31</v>
      </c>
      <c r="C51" t="s">
        <v>1558</v>
      </c>
      <c r="D51" t="str">
        <f t="shared" si="6"/>
        <v>2501718089</v>
      </c>
      <c r="E51" t="s">
        <v>1536</v>
      </c>
      <c r="F51" t="str">
        <f>"400405"</f>
        <v>400405</v>
      </c>
      <c r="G51" t="s">
        <v>519</v>
      </c>
      <c r="H51" t="s">
        <v>1606</v>
      </c>
      <c r="I51" t="s">
        <v>37</v>
      </c>
      <c r="J51">
        <v>20</v>
      </c>
      <c r="K51">
        <v>130</v>
      </c>
      <c r="L51" t="str">
        <f t="shared" si="7"/>
        <v>521088</v>
      </c>
      <c r="M51" t="s">
        <v>1559</v>
      </c>
      <c r="N51" t="s">
        <v>1560</v>
      </c>
      <c r="O51" s="2">
        <v>46249.358877314815</v>
      </c>
      <c r="P51" s="2">
        <v>46249.358877314815</v>
      </c>
      <c r="Q51" s="2">
        <v>46249.358877314815</v>
      </c>
      <c r="R51" t="str">
        <f>"153000440"</f>
        <v>153000440</v>
      </c>
      <c r="S51" s="1">
        <v>48036</v>
      </c>
    </row>
    <row r="52" spans="1:19" x14ac:dyDescent="0.35">
      <c r="A52" t="s">
        <v>30</v>
      </c>
      <c r="B52" t="s">
        <v>31</v>
      </c>
      <c r="C52" t="s">
        <v>1558</v>
      </c>
      <c r="D52" t="str">
        <f t="shared" si="6"/>
        <v>2501718089</v>
      </c>
      <c r="E52" t="s">
        <v>1536</v>
      </c>
      <c r="F52" t="str">
        <f>"400393"</f>
        <v>400393</v>
      </c>
      <c r="G52" t="s">
        <v>1603</v>
      </c>
      <c r="H52" t="s">
        <v>1604</v>
      </c>
      <c r="I52" t="s">
        <v>37</v>
      </c>
      <c r="J52">
        <v>6</v>
      </c>
      <c r="K52">
        <v>6</v>
      </c>
      <c r="L52" t="str">
        <f t="shared" si="7"/>
        <v>521088</v>
      </c>
      <c r="M52" t="s">
        <v>1559</v>
      </c>
      <c r="N52" t="s">
        <v>1560</v>
      </c>
      <c r="O52" s="2">
        <v>46249.363599537035</v>
      </c>
      <c r="P52" s="2">
        <v>46249.363599537035</v>
      </c>
      <c r="Q52" s="2">
        <v>46249.363599537035</v>
      </c>
      <c r="R52" t="str">
        <f>"153000215"</f>
        <v>153000215</v>
      </c>
      <c r="S52" s="1">
        <v>47934</v>
      </c>
    </row>
    <row r="53" spans="1:19" x14ac:dyDescent="0.35">
      <c r="A53" t="s">
        <v>30</v>
      </c>
      <c r="B53" t="s">
        <v>31</v>
      </c>
      <c r="C53" t="s">
        <v>1558</v>
      </c>
      <c r="D53" t="str">
        <f t="shared" si="6"/>
        <v>2501718089</v>
      </c>
      <c r="E53" t="s">
        <v>1536</v>
      </c>
      <c r="F53" t="str">
        <f t="shared" ref="F53:F60" si="8">"400399"</f>
        <v>400399</v>
      </c>
      <c r="G53" t="s">
        <v>1576</v>
      </c>
      <c r="H53" t="s">
        <v>1579</v>
      </c>
      <c r="I53" t="s">
        <v>37</v>
      </c>
      <c r="J53">
        <v>12</v>
      </c>
      <c r="K53">
        <v>12</v>
      </c>
      <c r="L53" t="str">
        <f t="shared" si="7"/>
        <v>521088</v>
      </c>
      <c r="M53" t="s">
        <v>1559</v>
      </c>
      <c r="N53" t="s">
        <v>1560</v>
      </c>
      <c r="O53" s="2">
        <v>46249.365428240744</v>
      </c>
      <c r="P53" s="2">
        <v>46249.365428240744</v>
      </c>
      <c r="Q53" s="2">
        <v>46249.365428240744</v>
      </c>
      <c r="R53" t="str">
        <f>"153000330"</f>
        <v>153000330</v>
      </c>
      <c r="S53" s="1">
        <v>47986</v>
      </c>
    </row>
    <row r="54" spans="1:19" x14ac:dyDescent="0.35">
      <c r="A54" t="s">
        <v>30</v>
      </c>
      <c r="B54" t="s">
        <v>31</v>
      </c>
      <c r="C54" t="s">
        <v>1558</v>
      </c>
      <c r="D54" t="str">
        <f t="shared" si="6"/>
        <v>2501718089</v>
      </c>
      <c r="E54" t="s">
        <v>1536</v>
      </c>
      <c r="F54" t="str">
        <f t="shared" si="8"/>
        <v>400399</v>
      </c>
      <c r="G54" t="s">
        <v>1576</v>
      </c>
      <c r="H54" t="s">
        <v>1608</v>
      </c>
      <c r="I54" t="s">
        <v>37</v>
      </c>
      <c r="J54">
        <v>52</v>
      </c>
      <c r="K54">
        <v>288</v>
      </c>
      <c r="L54" t="str">
        <f t="shared" si="7"/>
        <v>521088</v>
      </c>
      <c r="M54" t="s">
        <v>1559</v>
      </c>
      <c r="N54" t="s">
        <v>1560</v>
      </c>
      <c r="O54" s="2">
        <v>46249.351759259262</v>
      </c>
      <c r="P54" s="2">
        <v>46249.351759259262</v>
      </c>
      <c r="Q54" s="2">
        <v>46249.351759259262</v>
      </c>
      <c r="R54" t="str">
        <f t="shared" ref="R54:R60" si="9">"100010886"</f>
        <v>100010886</v>
      </c>
      <c r="S54" s="1">
        <v>47813</v>
      </c>
    </row>
    <row r="55" spans="1:19" x14ac:dyDescent="0.35">
      <c r="A55" t="s">
        <v>30</v>
      </c>
      <c r="B55" t="s">
        <v>31</v>
      </c>
      <c r="C55" t="s">
        <v>1558</v>
      </c>
      <c r="D55" t="str">
        <f t="shared" si="6"/>
        <v>2501718089</v>
      </c>
      <c r="E55" t="s">
        <v>1536</v>
      </c>
      <c r="F55" t="str">
        <f t="shared" si="8"/>
        <v>400399</v>
      </c>
      <c r="G55" t="s">
        <v>1576</v>
      </c>
      <c r="H55" t="s">
        <v>1609</v>
      </c>
      <c r="I55" t="s">
        <v>37</v>
      </c>
      <c r="J55">
        <v>52</v>
      </c>
      <c r="K55">
        <v>288</v>
      </c>
      <c r="L55" t="str">
        <f t="shared" si="7"/>
        <v>521088</v>
      </c>
      <c r="M55" t="s">
        <v>1559</v>
      </c>
      <c r="N55" t="s">
        <v>1560</v>
      </c>
      <c r="O55" s="2">
        <v>46249.344849537039</v>
      </c>
      <c r="P55" s="2">
        <v>46249.344849537039</v>
      </c>
      <c r="Q55" s="2">
        <v>46249.344849537039</v>
      </c>
      <c r="R55" t="str">
        <f t="shared" si="9"/>
        <v>100010886</v>
      </c>
      <c r="S55" s="1">
        <v>47813</v>
      </c>
    </row>
    <row r="56" spans="1:19" x14ac:dyDescent="0.35">
      <c r="A56" t="s">
        <v>30</v>
      </c>
      <c r="B56" t="s">
        <v>31</v>
      </c>
      <c r="C56" t="s">
        <v>1558</v>
      </c>
      <c r="D56" t="str">
        <f t="shared" si="6"/>
        <v>2501718089</v>
      </c>
      <c r="E56" t="s">
        <v>1536</v>
      </c>
      <c r="F56" t="str">
        <f t="shared" si="8"/>
        <v>400399</v>
      </c>
      <c r="G56" t="s">
        <v>1576</v>
      </c>
      <c r="H56" t="s">
        <v>1610</v>
      </c>
      <c r="I56" t="s">
        <v>37</v>
      </c>
      <c r="J56">
        <v>52</v>
      </c>
      <c r="K56">
        <v>288</v>
      </c>
      <c r="L56" t="str">
        <f t="shared" si="7"/>
        <v>521088</v>
      </c>
      <c r="M56" t="s">
        <v>1559</v>
      </c>
      <c r="N56" t="s">
        <v>1560</v>
      </c>
      <c r="O56" s="2">
        <v>46249.342905092592</v>
      </c>
      <c r="P56" s="2">
        <v>46249.342905092592</v>
      </c>
      <c r="Q56" s="2">
        <v>46249.342905092592</v>
      </c>
      <c r="R56" t="str">
        <f t="shared" si="9"/>
        <v>100010886</v>
      </c>
      <c r="S56" s="1">
        <v>47813</v>
      </c>
    </row>
    <row r="57" spans="1:19" x14ac:dyDescent="0.35">
      <c r="A57" t="s">
        <v>30</v>
      </c>
      <c r="B57" t="s">
        <v>31</v>
      </c>
      <c r="C57" t="s">
        <v>1558</v>
      </c>
      <c r="D57" t="str">
        <f t="shared" si="6"/>
        <v>2501718089</v>
      </c>
      <c r="E57" t="s">
        <v>1536</v>
      </c>
      <c r="F57" t="str">
        <f t="shared" si="8"/>
        <v>400399</v>
      </c>
      <c r="G57" t="s">
        <v>1576</v>
      </c>
      <c r="H57" t="s">
        <v>1611</v>
      </c>
      <c r="I57" t="s">
        <v>37</v>
      </c>
      <c r="J57">
        <v>52</v>
      </c>
      <c r="K57">
        <v>288</v>
      </c>
      <c r="L57" t="str">
        <f t="shared" si="7"/>
        <v>521088</v>
      </c>
      <c r="M57" t="s">
        <v>1559</v>
      </c>
      <c r="N57" t="s">
        <v>1560</v>
      </c>
      <c r="O57" s="2">
        <v>46249.341400462959</v>
      </c>
      <c r="P57" s="2">
        <v>46249.341400462959</v>
      </c>
      <c r="Q57" s="2">
        <v>46249.341400462959</v>
      </c>
      <c r="R57" t="str">
        <f t="shared" si="9"/>
        <v>100010886</v>
      </c>
      <c r="S57" s="1">
        <v>47813</v>
      </c>
    </row>
    <row r="58" spans="1:19" x14ac:dyDescent="0.35">
      <c r="A58" t="s">
        <v>30</v>
      </c>
      <c r="B58" t="s">
        <v>31</v>
      </c>
      <c r="C58" t="s">
        <v>1558</v>
      </c>
      <c r="D58" t="str">
        <f t="shared" si="6"/>
        <v>2501718089</v>
      </c>
      <c r="E58" t="s">
        <v>1536</v>
      </c>
      <c r="F58" t="str">
        <f t="shared" si="8"/>
        <v>400399</v>
      </c>
      <c r="G58" t="s">
        <v>1576</v>
      </c>
      <c r="H58" t="s">
        <v>1612</v>
      </c>
      <c r="I58" t="s">
        <v>37</v>
      </c>
      <c r="J58">
        <v>52</v>
      </c>
      <c r="K58">
        <v>288</v>
      </c>
      <c r="L58" t="str">
        <f t="shared" si="7"/>
        <v>521088</v>
      </c>
      <c r="M58" t="s">
        <v>1559</v>
      </c>
      <c r="N58" t="s">
        <v>1560</v>
      </c>
      <c r="O58" s="2">
        <v>46249.338217592594</v>
      </c>
      <c r="P58" s="2">
        <v>46249.338217592594</v>
      </c>
      <c r="Q58" s="2">
        <v>46249.338217592594</v>
      </c>
      <c r="R58" t="str">
        <f t="shared" si="9"/>
        <v>100010886</v>
      </c>
      <c r="S58" s="1">
        <v>47813</v>
      </c>
    </row>
    <row r="59" spans="1:19" x14ac:dyDescent="0.35">
      <c r="A59" t="s">
        <v>30</v>
      </c>
      <c r="B59" t="s">
        <v>31</v>
      </c>
      <c r="C59" t="s">
        <v>1558</v>
      </c>
      <c r="D59" t="str">
        <f t="shared" si="6"/>
        <v>2501718089</v>
      </c>
      <c r="E59" t="s">
        <v>1536</v>
      </c>
      <c r="F59" t="str">
        <f t="shared" si="8"/>
        <v>400399</v>
      </c>
      <c r="G59" t="s">
        <v>1576</v>
      </c>
      <c r="H59" t="s">
        <v>1613</v>
      </c>
      <c r="I59" t="s">
        <v>37</v>
      </c>
      <c r="J59">
        <v>9</v>
      </c>
      <c r="K59">
        <v>288</v>
      </c>
      <c r="L59" t="str">
        <f t="shared" si="7"/>
        <v>521088</v>
      </c>
      <c r="M59" t="s">
        <v>1559</v>
      </c>
      <c r="N59" t="s">
        <v>1560</v>
      </c>
      <c r="O59" s="2">
        <v>46249.362233796295</v>
      </c>
      <c r="P59" s="2">
        <v>46249.362233796295</v>
      </c>
      <c r="Q59" s="2">
        <v>46249.362233796295</v>
      </c>
      <c r="R59" t="str">
        <f t="shared" si="9"/>
        <v>100010886</v>
      </c>
      <c r="S59" s="1">
        <v>47813</v>
      </c>
    </row>
    <row r="60" spans="1:19" x14ac:dyDescent="0.35">
      <c r="A60" t="s">
        <v>30</v>
      </c>
      <c r="B60" t="s">
        <v>31</v>
      </c>
      <c r="C60" t="s">
        <v>1558</v>
      </c>
      <c r="D60" t="str">
        <f t="shared" si="6"/>
        <v>2501718089</v>
      </c>
      <c r="E60" t="s">
        <v>1536</v>
      </c>
      <c r="F60" t="str">
        <f t="shared" si="8"/>
        <v>400399</v>
      </c>
      <c r="G60" t="s">
        <v>1576</v>
      </c>
      <c r="H60" t="s">
        <v>1614</v>
      </c>
      <c r="I60" t="s">
        <v>37</v>
      </c>
      <c r="J60">
        <v>19</v>
      </c>
      <c r="K60">
        <v>288</v>
      </c>
      <c r="L60" t="str">
        <f t="shared" si="7"/>
        <v>521088</v>
      </c>
      <c r="M60" t="s">
        <v>1559</v>
      </c>
      <c r="N60" t="s">
        <v>1560</v>
      </c>
      <c r="O60" s="2">
        <v>46249.360821759263</v>
      </c>
      <c r="P60" s="2">
        <v>46249.360821759263</v>
      </c>
      <c r="Q60" s="2">
        <v>46249.360821759263</v>
      </c>
      <c r="R60" t="str">
        <f t="shared" si="9"/>
        <v>100010886</v>
      </c>
      <c r="S60" s="1">
        <v>47813</v>
      </c>
    </row>
    <row r="61" spans="1:19" x14ac:dyDescent="0.35">
      <c r="A61" t="s">
        <v>30</v>
      </c>
      <c r="B61" t="s">
        <v>31</v>
      </c>
      <c r="C61" t="s">
        <v>1615</v>
      </c>
      <c r="D61" t="str">
        <f>"2501718081"</f>
        <v>2501718081</v>
      </c>
      <c r="E61" t="s">
        <v>1536</v>
      </c>
      <c r="F61" t="str">
        <f>"400441"</f>
        <v>400441</v>
      </c>
      <c r="G61" t="s">
        <v>65</v>
      </c>
      <c r="H61" t="s">
        <v>1616</v>
      </c>
      <c r="I61" t="s">
        <v>41</v>
      </c>
      <c r="J61">
        <v>4</v>
      </c>
      <c r="K61">
        <v>4</v>
      </c>
      <c r="L61" t="str">
        <f>"521234"</f>
        <v>521234</v>
      </c>
      <c r="M61" t="s">
        <v>1617</v>
      </c>
      <c r="N61" t="s">
        <v>1583</v>
      </c>
      <c r="O61" s="2">
        <v>46246.93246527778</v>
      </c>
      <c r="P61" s="2">
        <v>46246.93246527778</v>
      </c>
      <c r="Q61" s="2">
        <v>46246.93246527778</v>
      </c>
      <c r="R61" t="str">
        <f>"153000332"</f>
        <v>153000332</v>
      </c>
      <c r="S61" s="1">
        <v>47986</v>
      </c>
    </row>
    <row r="62" spans="1:19" x14ac:dyDescent="0.35">
      <c r="A62" t="s">
        <v>30</v>
      </c>
      <c r="B62" t="s">
        <v>31</v>
      </c>
      <c r="C62" t="s">
        <v>1618</v>
      </c>
      <c r="D62" t="str">
        <f>"2501718082"</f>
        <v>2501718082</v>
      </c>
      <c r="E62" t="s">
        <v>1536</v>
      </c>
      <c r="F62" t="str">
        <f t="shared" ref="F62:F67" si="10">"400398"</f>
        <v>400398</v>
      </c>
      <c r="G62" t="s">
        <v>1562</v>
      </c>
      <c r="H62" t="s">
        <v>1599</v>
      </c>
      <c r="I62" t="s">
        <v>41</v>
      </c>
      <c r="J62">
        <v>3</v>
      </c>
      <c r="K62">
        <v>10</v>
      </c>
      <c r="L62" t="str">
        <f t="shared" ref="L62:L67" si="11">"520721"</f>
        <v>520721</v>
      </c>
      <c r="M62" t="s">
        <v>1619</v>
      </c>
      <c r="N62" t="s">
        <v>1540</v>
      </c>
      <c r="O62" s="2">
        <v>46246.938344907408</v>
      </c>
      <c r="P62" s="2">
        <v>46246.938344907408</v>
      </c>
      <c r="Q62" s="2">
        <v>46246.938344907408</v>
      </c>
      <c r="R62" t="str">
        <f t="shared" ref="R62:R67" si="12">"153000212"</f>
        <v>153000212</v>
      </c>
      <c r="S62" s="1">
        <v>47934</v>
      </c>
    </row>
    <row r="63" spans="1:19" x14ac:dyDescent="0.35">
      <c r="A63" t="s">
        <v>30</v>
      </c>
      <c r="B63" t="s">
        <v>31</v>
      </c>
      <c r="C63" t="s">
        <v>1618</v>
      </c>
      <c r="D63" t="str">
        <f>"2501718082"</f>
        <v>2501718082</v>
      </c>
      <c r="E63" t="s">
        <v>1536</v>
      </c>
      <c r="F63" t="str">
        <f t="shared" si="10"/>
        <v>400398</v>
      </c>
      <c r="G63" t="s">
        <v>1562</v>
      </c>
      <c r="H63" t="s">
        <v>1620</v>
      </c>
      <c r="I63" t="s">
        <v>41</v>
      </c>
      <c r="J63">
        <v>4</v>
      </c>
      <c r="K63">
        <v>10</v>
      </c>
      <c r="L63" t="str">
        <f t="shared" si="11"/>
        <v>520721</v>
      </c>
      <c r="M63" t="s">
        <v>1619</v>
      </c>
      <c r="N63" t="s">
        <v>1540</v>
      </c>
      <c r="O63" s="2">
        <v>46246.943854166668</v>
      </c>
      <c r="P63" s="2">
        <v>46246.943854166668</v>
      </c>
      <c r="Q63" s="2">
        <v>46246.943854166668</v>
      </c>
      <c r="R63" t="str">
        <f t="shared" si="12"/>
        <v>153000212</v>
      </c>
      <c r="S63" s="1">
        <v>47934</v>
      </c>
    </row>
    <row r="64" spans="1:19" x14ac:dyDescent="0.35">
      <c r="A64" t="s">
        <v>30</v>
      </c>
      <c r="B64" t="s">
        <v>31</v>
      </c>
      <c r="C64" t="s">
        <v>1618</v>
      </c>
      <c r="D64" t="str">
        <f>"2501718082"</f>
        <v>2501718082</v>
      </c>
      <c r="E64" t="s">
        <v>1536</v>
      </c>
      <c r="F64" t="str">
        <f t="shared" si="10"/>
        <v>400398</v>
      </c>
      <c r="G64" t="s">
        <v>1562</v>
      </c>
      <c r="H64" t="s">
        <v>1621</v>
      </c>
      <c r="I64" t="s">
        <v>41</v>
      </c>
      <c r="J64">
        <v>3</v>
      </c>
      <c r="K64">
        <v>10</v>
      </c>
      <c r="L64" t="str">
        <f t="shared" si="11"/>
        <v>520721</v>
      </c>
      <c r="M64" t="s">
        <v>1619</v>
      </c>
      <c r="N64" t="s">
        <v>1540</v>
      </c>
      <c r="O64" s="2">
        <v>46246.9374537037</v>
      </c>
      <c r="P64" s="2">
        <v>46246.9374537037</v>
      </c>
      <c r="Q64" s="2">
        <v>46246.9374537037</v>
      </c>
      <c r="R64" t="str">
        <f t="shared" si="12"/>
        <v>153000212</v>
      </c>
      <c r="S64" s="1">
        <v>47934</v>
      </c>
    </row>
    <row r="65" spans="1:19" x14ac:dyDescent="0.35">
      <c r="A65" t="s">
        <v>30</v>
      </c>
      <c r="B65" t="s">
        <v>31</v>
      </c>
      <c r="C65" t="s">
        <v>1622</v>
      </c>
      <c r="D65" t="str">
        <f>"2501718084"</f>
        <v>2501718084</v>
      </c>
      <c r="E65" t="s">
        <v>1536</v>
      </c>
      <c r="F65" t="str">
        <f t="shared" si="10"/>
        <v>400398</v>
      </c>
      <c r="G65" t="s">
        <v>1562</v>
      </c>
      <c r="H65" t="s">
        <v>1621</v>
      </c>
      <c r="I65" t="s">
        <v>41</v>
      </c>
      <c r="J65">
        <v>1</v>
      </c>
      <c r="K65">
        <v>9</v>
      </c>
      <c r="L65" t="str">
        <f t="shared" si="11"/>
        <v>520721</v>
      </c>
      <c r="M65" t="s">
        <v>1623</v>
      </c>
      <c r="N65" t="s">
        <v>1540</v>
      </c>
      <c r="O65" s="2">
        <v>46246.937141203707</v>
      </c>
      <c r="P65" s="2">
        <v>46246.937141203707</v>
      </c>
      <c r="Q65" s="2">
        <v>46246.937141203707</v>
      </c>
      <c r="R65" t="str">
        <f t="shared" si="12"/>
        <v>153000212</v>
      </c>
      <c r="S65" s="1">
        <v>47934</v>
      </c>
    </row>
    <row r="66" spans="1:19" x14ac:dyDescent="0.35">
      <c r="A66" t="s">
        <v>30</v>
      </c>
      <c r="B66" t="s">
        <v>31</v>
      </c>
      <c r="C66" t="s">
        <v>1622</v>
      </c>
      <c r="D66" t="str">
        <f>"2501718084"</f>
        <v>2501718084</v>
      </c>
      <c r="E66" t="s">
        <v>1536</v>
      </c>
      <c r="F66" t="str">
        <f t="shared" si="10"/>
        <v>400398</v>
      </c>
      <c r="G66" t="s">
        <v>1562</v>
      </c>
      <c r="H66" t="s">
        <v>1624</v>
      </c>
      <c r="I66" t="s">
        <v>41</v>
      </c>
      <c r="J66">
        <v>4</v>
      </c>
      <c r="K66">
        <v>9</v>
      </c>
      <c r="L66" t="str">
        <f t="shared" si="11"/>
        <v>520721</v>
      </c>
      <c r="M66" t="s">
        <v>1623</v>
      </c>
      <c r="N66" t="s">
        <v>1540</v>
      </c>
      <c r="O66" s="2">
        <v>46246.935578703706</v>
      </c>
      <c r="P66" s="2">
        <v>46246.935578703706</v>
      </c>
      <c r="Q66" s="2">
        <v>46246.935578703706</v>
      </c>
      <c r="R66" t="str">
        <f t="shared" si="12"/>
        <v>153000212</v>
      </c>
      <c r="S66" s="1">
        <v>47934</v>
      </c>
    </row>
    <row r="67" spans="1:19" x14ac:dyDescent="0.35">
      <c r="A67" t="s">
        <v>30</v>
      </c>
      <c r="B67" t="s">
        <v>31</v>
      </c>
      <c r="C67" t="s">
        <v>1622</v>
      </c>
      <c r="D67" t="str">
        <f>"2501718084"</f>
        <v>2501718084</v>
      </c>
      <c r="E67" t="s">
        <v>1536</v>
      </c>
      <c r="F67" t="str">
        <f t="shared" si="10"/>
        <v>400398</v>
      </c>
      <c r="G67" t="s">
        <v>1562</v>
      </c>
      <c r="H67" t="s">
        <v>1625</v>
      </c>
      <c r="I67" t="s">
        <v>41</v>
      </c>
      <c r="J67">
        <v>4</v>
      </c>
      <c r="K67">
        <v>9</v>
      </c>
      <c r="L67" t="str">
        <f t="shared" si="11"/>
        <v>520721</v>
      </c>
      <c r="M67" t="s">
        <v>1623</v>
      </c>
      <c r="N67" t="s">
        <v>1540</v>
      </c>
      <c r="O67" s="2">
        <v>46246.933854166666</v>
      </c>
      <c r="P67" s="2">
        <v>46246.933854166666</v>
      </c>
      <c r="Q67" s="2">
        <v>46246.933854166666</v>
      </c>
      <c r="R67" t="str">
        <f t="shared" si="12"/>
        <v>153000212</v>
      </c>
      <c r="S67" s="1">
        <v>47934</v>
      </c>
    </row>
    <row r="68" spans="1:19" x14ac:dyDescent="0.35">
      <c r="A68" t="s">
        <v>30</v>
      </c>
      <c r="B68" t="s">
        <v>31</v>
      </c>
      <c r="C68" t="s">
        <v>1626</v>
      </c>
      <c r="D68" t="str">
        <f>"2501718072"</f>
        <v>2501718072</v>
      </c>
      <c r="E68" t="s">
        <v>1536</v>
      </c>
      <c r="F68" t="str">
        <f>"400902"</f>
        <v>400902</v>
      </c>
      <c r="G68" t="s">
        <v>1627</v>
      </c>
      <c r="H68" t="s">
        <v>1628</v>
      </c>
      <c r="I68" t="s">
        <v>37</v>
      </c>
      <c r="J68">
        <v>2</v>
      </c>
      <c r="K68">
        <v>2</v>
      </c>
      <c r="L68" t="str">
        <f>"521237"</f>
        <v>521237</v>
      </c>
      <c r="M68" t="s">
        <v>1542</v>
      </c>
      <c r="N68" t="s">
        <v>1629</v>
      </c>
      <c r="O68" s="2">
        <v>46246.418379629627</v>
      </c>
      <c r="P68" s="2">
        <v>46246.418379629627</v>
      </c>
      <c r="Q68" s="2">
        <v>46246.418379629627</v>
      </c>
      <c r="R68" t="str">
        <f>"950001333"</f>
        <v>950001333</v>
      </c>
      <c r="S68" s="1">
        <v>47948</v>
      </c>
    </row>
    <row r="69" spans="1:19" x14ac:dyDescent="0.35">
      <c r="A69" t="s">
        <v>30</v>
      </c>
      <c r="B69" t="s">
        <v>31</v>
      </c>
      <c r="C69" t="s">
        <v>1630</v>
      </c>
      <c r="D69" t="str">
        <f>"2501718069"</f>
        <v>2501718069</v>
      </c>
      <c r="E69" t="s">
        <v>1536</v>
      </c>
      <c r="F69" t="str">
        <f>"400902"</f>
        <v>400902</v>
      </c>
      <c r="G69" t="s">
        <v>1627</v>
      </c>
      <c r="H69" t="s">
        <v>1628</v>
      </c>
      <c r="I69" t="s">
        <v>37</v>
      </c>
      <c r="J69">
        <v>2</v>
      </c>
      <c r="K69">
        <v>2</v>
      </c>
      <c r="L69" t="str">
        <f>"521237"</f>
        <v>521237</v>
      </c>
      <c r="M69" t="s">
        <v>1631</v>
      </c>
      <c r="N69" t="s">
        <v>1629</v>
      </c>
      <c r="O69" s="2">
        <v>46246.418703703705</v>
      </c>
      <c r="P69" s="2">
        <v>46246.418703703705</v>
      </c>
      <c r="Q69" s="2">
        <v>46246.418703703705</v>
      </c>
      <c r="R69" t="str">
        <f>"950001333"</f>
        <v>950001333</v>
      </c>
      <c r="S69" s="1">
        <v>47948</v>
      </c>
    </row>
    <row r="70" spans="1:19" x14ac:dyDescent="0.35">
      <c r="A70" t="s">
        <v>30</v>
      </c>
      <c r="B70" t="s">
        <v>31</v>
      </c>
      <c r="C70" t="s">
        <v>1632</v>
      </c>
      <c r="D70" t="str">
        <f t="shared" ref="D70:D79" si="13">"2501718065"</f>
        <v>2501718065</v>
      </c>
      <c r="E70" t="s">
        <v>1536</v>
      </c>
      <c r="F70" t="str">
        <f>"400426"</f>
        <v>400426</v>
      </c>
      <c r="G70" t="s">
        <v>34</v>
      </c>
      <c r="H70" t="s">
        <v>1544</v>
      </c>
      <c r="I70" t="s">
        <v>37</v>
      </c>
      <c r="J70">
        <v>6</v>
      </c>
      <c r="K70">
        <v>100</v>
      </c>
      <c r="L70" t="str">
        <f t="shared" ref="L70:L79" si="14">"521195"</f>
        <v>521195</v>
      </c>
      <c r="M70" t="s">
        <v>1633</v>
      </c>
      <c r="N70" t="s">
        <v>1634</v>
      </c>
      <c r="O70" s="2">
        <v>46244.907685185186</v>
      </c>
      <c r="P70" s="2">
        <v>46244.907685185186</v>
      </c>
      <c r="Q70" s="2">
        <v>46244.907685185186</v>
      </c>
      <c r="R70" t="str">
        <f>"153000403"</f>
        <v>153000403</v>
      </c>
      <c r="S70" s="1">
        <v>48016</v>
      </c>
    </row>
    <row r="71" spans="1:19" x14ac:dyDescent="0.35">
      <c r="A71" t="s">
        <v>30</v>
      </c>
      <c r="B71" t="s">
        <v>31</v>
      </c>
      <c r="C71" t="s">
        <v>1632</v>
      </c>
      <c r="D71" t="str">
        <f t="shared" si="13"/>
        <v>2501718065</v>
      </c>
      <c r="E71" t="s">
        <v>1536</v>
      </c>
      <c r="F71" t="str">
        <f>"400426"</f>
        <v>400426</v>
      </c>
      <c r="G71" t="s">
        <v>34</v>
      </c>
      <c r="H71" t="s">
        <v>1635</v>
      </c>
      <c r="I71" t="s">
        <v>37</v>
      </c>
      <c r="J71">
        <v>24</v>
      </c>
      <c r="K71">
        <v>100</v>
      </c>
      <c r="L71" t="str">
        <f t="shared" si="14"/>
        <v>521195</v>
      </c>
      <c r="M71" t="s">
        <v>1633</v>
      </c>
      <c r="N71" t="s">
        <v>1634</v>
      </c>
      <c r="O71" s="2">
        <v>46244.905381944445</v>
      </c>
      <c r="P71" s="2">
        <v>46244.905381944445</v>
      </c>
      <c r="Q71" s="2">
        <v>46244.905381944445</v>
      </c>
      <c r="R71" t="str">
        <f>"153000403"</f>
        <v>153000403</v>
      </c>
      <c r="S71" s="1">
        <v>48016</v>
      </c>
    </row>
    <row r="72" spans="1:19" x14ac:dyDescent="0.35">
      <c r="A72" t="s">
        <v>30</v>
      </c>
      <c r="B72" t="s">
        <v>31</v>
      </c>
      <c r="C72" t="s">
        <v>1632</v>
      </c>
      <c r="D72" t="str">
        <f t="shared" si="13"/>
        <v>2501718065</v>
      </c>
      <c r="E72" t="s">
        <v>1536</v>
      </c>
      <c r="F72" t="str">
        <f>"400426"</f>
        <v>400426</v>
      </c>
      <c r="G72" t="s">
        <v>34</v>
      </c>
      <c r="H72" t="s">
        <v>1636</v>
      </c>
      <c r="I72" t="s">
        <v>37</v>
      </c>
      <c r="J72">
        <v>24</v>
      </c>
      <c r="K72">
        <v>100</v>
      </c>
      <c r="L72" t="str">
        <f t="shared" si="14"/>
        <v>521195</v>
      </c>
      <c r="M72" t="s">
        <v>1633</v>
      </c>
      <c r="N72" t="s">
        <v>1634</v>
      </c>
      <c r="O72" s="2">
        <v>46244.904247685183</v>
      </c>
      <c r="P72" s="2">
        <v>46244.90425925926</v>
      </c>
      <c r="Q72" s="2">
        <v>46244.90425925926</v>
      </c>
      <c r="R72" t="str">
        <f>"153000403"</f>
        <v>153000403</v>
      </c>
      <c r="S72" s="1">
        <v>48016</v>
      </c>
    </row>
    <row r="73" spans="1:19" x14ac:dyDescent="0.35">
      <c r="A73" t="s">
        <v>30</v>
      </c>
      <c r="B73" t="s">
        <v>31</v>
      </c>
      <c r="C73" t="s">
        <v>1632</v>
      </c>
      <c r="D73" t="str">
        <f t="shared" si="13"/>
        <v>2501718065</v>
      </c>
      <c r="E73" t="s">
        <v>1536</v>
      </c>
      <c r="F73" t="str">
        <f>"400426"</f>
        <v>400426</v>
      </c>
      <c r="G73" t="s">
        <v>34</v>
      </c>
      <c r="H73" t="s">
        <v>1397</v>
      </c>
      <c r="I73" t="s">
        <v>37</v>
      </c>
      <c r="J73">
        <v>24</v>
      </c>
      <c r="K73">
        <v>100</v>
      </c>
      <c r="L73" t="str">
        <f t="shared" si="14"/>
        <v>521195</v>
      </c>
      <c r="M73" t="s">
        <v>1633</v>
      </c>
      <c r="N73" t="s">
        <v>1634</v>
      </c>
      <c r="O73" s="2">
        <v>46244.902951388889</v>
      </c>
      <c r="P73" s="2">
        <v>46244.902951388889</v>
      </c>
      <c r="Q73" s="2">
        <v>46244.902951388889</v>
      </c>
      <c r="R73" t="str">
        <f>"153000403"</f>
        <v>153000403</v>
      </c>
      <c r="S73" s="1">
        <v>48016</v>
      </c>
    </row>
    <row r="74" spans="1:19" x14ac:dyDescent="0.35">
      <c r="A74" t="s">
        <v>30</v>
      </c>
      <c r="B74" t="s">
        <v>31</v>
      </c>
      <c r="C74" t="s">
        <v>1632</v>
      </c>
      <c r="D74" t="str">
        <f t="shared" si="13"/>
        <v>2501718065</v>
      </c>
      <c r="E74" t="s">
        <v>1536</v>
      </c>
      <c r="F74" t="str">
        <f>"400426"</f>
        <v>400426</v>
      </c>
      <c r="G74" t="s">
        <v>34</v>
      </c>
      <c r="H74" t="s">
        <v>1395</v>
      </c>
      <c r="I74" t="s">
        <v>37</v>
      </c>
      <c r="J74">
        <v>22</v>
      </c>
      <c r="K74">
        <v>100</v>
      </c>
      <c r="L74" t="str">
        <f t="shared" si="14"/>
        <v>521195</v>
      </c>
      <c r="M74" t="s">
        <v>1633</v>
      </c>
      <c r="N74" t="s">
        <v>1634</v>
      </c>
      <c r="O74" s="2">
        <v>46244.906134259261</v>
      </c>
      <c r="P74" s="2">
        <v>46244.906134259261</v>
      </c>
      <c r="Q74" s="2">
        <v>46244.906134259261</v>
      </c>
      <c r="R74" t="str">
        <f>"153000403"</f>
        <v>153000403</v>
      </c>
      <c r="S74" s="1">
        <v>48016</v>
      </c>
    </row>
    <row r="75" spans="1:19" x14ac:dyDescent="0.35">
      <c r="A75" t="s">
        <v>30</v>
      </c>
      <c r="B75" t="s">
        <v>31</v>
      </c>
      <c r="C75" t="s">
        <v>1632</v>
      </c>
      <c r="D75" t="str">
        <f t="shared" si="13"/>
        <v>2501718065</v>
      </c>
      <c r="E75" t="s">
        <v>1536</v>
      </c>
      <c r="F75" t="str">
        <f>"400413"</f>
        <v>400413</v>
      </c>
      <c r="G75" t="s">
        <v>1545</v>
      </c>
      <c r="H75" t="s">
        <v>1574</v>
      </c>
      <c r="I75" t="s">
        <v>37</v>
      </c>
      <c r="J75">
        <v>13</v>
      </c>
      <c r="K75">
        <v>61</v>
      </c>
      <c r="L75" t="str">
        <f t="shared" si="14"/>
        <v>521195</v>
      </c>
      <c r="M75" t="s">
        <v>1633</v>
      </c>
      <c r="N75" t="s">
        <v>1634</v>
      </c>
      <c r="O75" s="2">
        <v>46244.91133101852</v>
      </c>
      <c r="P75" s="2">
        <v>46244.91133101852</v>
      </c>
      <c r="Q75" s="2">
        <v>46244.91133101852</v>
      </c>
      <c r="R75" t="str">
        <f>"153000384"</f>
        <v>153000384</v>
      </c>
      <c r="S75" s="1">
        <v>48011</v>
      </c>
    </row>
    <row r="76" spans="1:19" x14ac:dyDescent="0.35">
      <c r="A76" t="s">
        <v>30</v>
      </c>
      <c r="B76" t="s">
        <v>31</v>
      </c>
      <c r="C76" t="s">
        <v>1632</v>
      </c>
      <c r="D76" t="str">
        <f t="shared" si="13"/>
        <v>2501718065</v>
      </c>
      <c r="E76" t="s">
        <v>1536</v>
      </c>
      <c r="F76" t="str">
        <f>"400413"</f>
        <v>400413</v>
      </c>
      <c r="G76" t="s">
        <v>1545</v>
      </c>
      <c r="H76" t="s">
        <v>1382</v>
      </c>
      <c r="I76" t="s">
        <v>37</v>
      </c>
      <c r="J76">
        <v>24</v>
      </c>
      <c r="K76">
        <v>61</v>
      </c>
      <c r="L76" t="str">
        <f t="shared" si="14"/>
        <v>521195</v>
      </c>
      <c r="M76" t="s">
        <v>1633</v>
      </c>
      <c r="N76" t="s">
        <v>1634</v>
      </c>
      <c r="O76" s="2">
        <v>46244.900254629632</v>
      </c>
      <c r="P76" s="2">
        <v>46244.900254629632</v>
      </c>
      <c r="Q76" s="2">
        <v>46244.900254629632</v>
      </c>
      <c r="R76" t="str">
        <f>"153000384"</f>
        <v>153000384</v>
      </c>
      <c r="S76" s="1">
        <v>48011</v>
      </c>
    </row>
    <row r="77" spans="1:19" x14ac:dyDescent="0.35">
      <c r="A77" t="s">
        <v>30</v>
      </c>
      <c r="B77" t="s">
        <v>31</v>
      </c>
      <c r="C77" t="s">
        <v>1632</v>
      </c>
      <c r="D77" t="str">
        <f t="shared" si="13"/>
        <v>2501718065</v>
      </c>
      <c r="E77" t="s">
        <v>1536</v>
      </c>
      <c r="F77" t="str">
        <f>"400413"</f>
        <v>400413</v>
      </c>
      <c r="G77" t="s">
        <v>1545</v>
      </c>
      <c r="H77" t="s">
        <v>1386</v>
      </c>
      <c r="I77" t="s">
        <v>37</v>
      </c>
      <c r="J77">
        <v>24</v>
      </c>
      <c r="K77">
        <v>39</v>
      </c>
      <c r="L77" t="str">
        <f t="shared" si="14"/>
        <v>521195</v>
      </c>
      <c r="M77" t="s">
        <v>1633</v>
      </c>
      <c r="N77" t="s">
        <v>1634</v>
      </c>
      <c r="O77" s="2">
        <v>46244.899606481478</v>
      </c>
      <c r="P77" s="2">
        <v>46244.899606481478</v>
      </c>
      <c r="Q77" s="2">
        <v>46244.899606481478</v>
      </c>
      <c r="R77" t="str">
        <f>"153000382"</f>
        <v>153000382</v>
      </c>
      <c r="S77" s="1">
        <v>48011</v>
      </c>
    </row>
    <row r="78" spans="1:19" x14ac:dyDescent="0.35">
      <c r="A78" t="s">
        <v>30</v>
      </c>
      <c r="B78" t="s">
        <v>31</v>
      </c>
      <c r="C78" t="s">
        <v>1632</v>
      </c>
      <c r="D78" t="str">
        <f t="shared" si="13"/>
        <v>2501718065</v>
      </c>
      <c r="E78" t="s">
        <v>1536</v>
      </c>
      <c r="F78" t="str">
        <f>"400413"</f>
        <v>400413</v>
      </c>
      <c r="G78" t="s">
        <v>1545</v>
      </c>
      <c r="H78" t="s">
        <v>1384</v>
      </c>
      <c r="I78" t="s">
        <v>37</v>
      </c>
      <c r="J78">
        <v>24</v>
      </c>
      <c r="K78">
        <v>61</v>
      </c>
      <c r="L78" t="str">
        <f t="shared" si="14"/>
        <v>521195</v>
      </c>
      <c r="M78" t="s">
        <v>1633</v>
      </c>
      <c r="N78" t="s">
        <v>1634</v>
      </c>
      <c r="O78" s="2">
        <v>46244.898819444446</v>
      </c>
      <c r="P78" s="2">
        <v>46244.898819444446</v>
      </c>
      <c r="Q78" s="2">
        <v>46244.898819444446</v>
      </c>
      <c r="R78" t="str">
        <f>"153000384"</f>
        <v>153000384</v>
      </c>
      <c r="S78" s="1">
        <v>48011</v>
      </c>
    </row>
    <row r="79" spans="1:19" x14ac:dyDescent="0.35">
      <c r="A79" t="s">
        <v>30</v>
      </c>
      <c r="B79" t="s">
        <v>31</v>
      </c>
      <c r="C79" t="s">
        <v>1632</v>
      </c>
      <c r="D79" t="str">
        <f t="shared" si="13"/>
        <v>2501718065</v>
      </c>
      <c r="E79" t="s">
        <v>1536</v>
      </c>
      <c r="F79" t="str">
        <f>"400413"</f>
        <v>400413</v>
      </c>
      <c r="G79" t="s">
        <v>1545</v>
      </c>
      <c r="H79" t="s">
        <v>1574</v>
      </c>
      <c r="I79" t="s">
        <v>37</v>
      </c>
      <c r="J79">
        <v>15</v>
      </c>
      <c r="K79">
        <v>39</v>
      </c>
      <c r="L79" t="str">
        <f t="shared" si="14"/>
        <v>521195</v>
      </c>
      <c r="M79" t="s">
        <v>1633</v>
      </c>
      <c r="N79" t="s">
        <v>1634</v>
      </c>
      <c r="O79" s="2">
        <v>46244.910173611112</v>
      </c>
      <c r="P79" s="2">
        <v>46244.910173611112</v>
      </c>
      <c r="Q79" s="2">
        <v>46244.910173611112</v>
      </c>
      <c r="R79" t="str">
        <f>"153000382"</f>
        <v>153000382</v>
      </c>
      <c r="S79" s="1">
        <v>48011</v>
      </c>
    </row>
    <row r="80" spans="1:19" x14ac:dyDescent="0.35">
      <c r="A80" t="s">
        <v>30</v>
      </c>
      <c r="B80" t="s">
        <v>31</v>
      </c>
      <c r="C80" t="s">
        <v>1637</v>
      </c>
      <c r="D80" t="str">
        <f>"2501718061"</f>
        <v>2501718061</v>
      </c>
      <c r="E80" t="s">
        <v>1536</v>
      </c>
      <c r="F80" t="str">
        <f>"400405"</f>
        <v>400405</v>
      </c>
      <c r="G80" t="s">
        <v>519</v>
      </c>
      <c r="H80" t="s">
        <v>1557</v>
      </c>
      <c r="I80" t="s">
        <v>37</v>
      </c>
      <c r="J80">
        <v>6</v>
      </c>
      <c r="K80">
        <v>78</v>
      </c>
      <c r="L80" t="str">
        <f>"521161"</f>
        <v>521161</v>
      </c>
      <c r="M80" t="s">
        <v>1638</v>
      </c>
      <c r="N80" t="s">
        <v>1556</v>
      </c>
      <c r="O80" s="2">
        <v>46244.928877314815</v>
      </c>
      <c r="P80" s="2">
        <v>46244.928877314815</v>
      </c>
      <c r="Q80" s="2">
        <v>46244.928877314815</v>
      </c>
      <c r="R80" t="str">
        <f>"153000440"</f>
        <v>153000440</v>
      </c>
      <c r="S80" s="1">
        <v>48036</v>
      </c>
    </row>
    <row r="81" spans="1:19" x14ac:dyDescent="0.35">
      <c r="A81" t="s">
        <v>30</v>
      </c>
      <c r="B81" t="s">
        <v>31</v>
      </c>
      <c r="C81" t="s">
        <v>1637</v>
      </c>
      <c r="D81" t="str">
        <f>"2501718061"</f>
        <v>2501718061</v>
      </c>
      <c r="E81" t="s">
        <v>1536</v>
      </c>
      <c r="F81" t="str">
        <f>"400405"</f>
        <v>400405</v>
      </c>
      <c r="G81" t="s">
        <v>519</v>
      </c>
      <c r="H81" t="s">
        <v>1639</v>
      </c>
      <c r="I81" t="s">
        <v>37</v>
      </c>
      <c r="J81">
        <v>52</v>
      </c>
      <c r="K81">
        <v>78</v>
      </c>
      <c r="L81" t="str">
        <f>"521161"</f>
        <v>521161</v>
      </c>
      <c r="M81" t="s">
        <v>1638</v>
      </c>
      <c r="N81" t="s">
        <v>1556</v>
      </c>
      <c r="O81" s="2">
        <v>46244.927141203705</v>
      </c>
      <c r="P81" s="2">
        <v>46244.927141203705</v>
      </c>
      <c r="Q81" s="2">
        <v>46244.927141203705</v>
      </c>
      <c r="R81" t="str">
        <f>"153000440"</f>
        <v>153000440</v>
      </c>
      <c r="S81" s="1">
        <v>48036</v>
      </c>
    </row>
    <row r="82" spans="1:19" x14ac:dyDescent="0.35">
      <c r="A82" t="s">
        <v>30</v>
      </c>
      <c r="B82" t="s">
        <v>31</v>
      </c>
      <c r="C82" t="s">
        <v>1637</v>
      </c>
      <c r="D82" t="str">
        <f>"2501718061"</f>
        <v>2501718061</v>
      </c>
      <c r="E82" t="s">
        <v>1536</v>
      </c>
      <c r="F82" t="str">
        <f>"400405"</f>
        <v>400405</v>
      </c>
      <c r="G82" t="s">
        <v>519</v>
      </c>
      <c r="H82" t="s">
        <v>1508</v>
      </c>
      <c r="I82" t="s">
        <v>37</v>
      </c>
      <c r="J82">
        <v>20</v>
      </c>
      <c r="K82">
        <v>78</v>
      </c>
      <c r="L82" t="str">
        <f>"521161"</f>
        <v>521161</v>
      </c>
      <c r="M82" t="s">
        <v>1638</v>
      </c>
      <c r="N82" t="s">
        <v>1556</v>
      </c>
      <c r="O82" s="2">
        <v>46244.928368055553</v>
      </c>
      <c r="P82" s="2">
        <v>46244.928368055553</v>
      </c>
      <c r="Q82" s="2">
        <v>46244.928368055553</v>
      </c>
      <c r="R82" t="str">
        <f>"153000440"</f>
        <v>153000440</v>
      </c>
      <c r="S82" s="1">
        <v>48036</v>
      </c>
    </row>
    <row r="83" spans="1:19" x14ac:dyDescent="0.35">
      <c r="A83" t="s">
        <v>30</v>
      </c>
      <c r="B83" t="s">
        <v>31</v>
      </c>
      <c r="C83" t="s">
        <v>1640</v>
      </c>
      <c r="D83" t="str">
        <f>"2501718060"</f>
        <v>2501718060</v>
      </c>
      <c r="E83" t="s">
        <v>1536</v>
      </c>
      <c r="F83" t="str">
        <f>"400432"</f>
        <v>400432</v>
      </c>
      <c r="G83" t="s">
        <v>889</v>
      </c>
      <c r="H83" t="s">
        <v>1641</v>
      </c>
      <c r="I83" t="s">
        <v>41</v>
      </c>
      <c r="J83">
        <v>1</v>
      </c>
      <c r="K83">
        <v>1</v>
      </c>
      <c r="L83" t="str">
        <f>"520605"</f>
        <v>520605</v>
      </c>
      <c r="M83" t="s">
        <v>1642</v>
      </c>
      <c r="N83" t="s">
        <v>1643</v>
      </c>
      <c r="O83" s="2">
        <v>46244.93478009259</v>
      </c>
      <c r="P83" s="2">
        <v>46244.93478009259</v>
      </c>
      <c r="Q83" s="2">
        <v>46244.93478009259</v>
      </c>
      <c r="R83" t="str">
        <f>"100009590"</f>
        <v>100009590</v>
      </c>
      <c r="S83" s="1">
        <v>47697</v>
      </c>
    </row>
    <row r="84" spans="1:19" x14ac:dyDescent="0.35">
      <c r="A84" t="s">
        <v>30</v>
      </c>
      <c r="B84" t="s">
        <v>31</v>
      </c>
      <c r="C84" t="s">
        <v>1644</v>
      </c>
      <c r="D84" t="str">
        <f>"2501718059"</f>
        <v>2501718059</v>
      </c>
      <c r="E84" t="s">
        <v>1536</v>
      </c>
      <c r="F84" t="str">
        <f>"400413"</f>
        <v>400413</v>
      </c>
      <c r="G84" t="s">
        <v>1545</v>
      </c>
      <c r="H84" t="s">
        <v>1574</v>
      </c>
      <c r="I84" t="s">
        <v>37</v>
      </c>
      <c r="J84">
        <v>9</v>
      </c>
      <c r="K84">
        <v>9</v>
      </c>
      <c r="L84" t="str">
        <f>"521142"</f>
        <v>521142</v>
      </c>
      <c r="M84" t="s">
        <v>1645</v>
      </c>
      <c r="N84" t="s">
        <v>1646</v>
      </c>
      <c r="O84" s="2">
        <v>46244.913738425923</v>
      </c>
      <c r="P84" s="2">
        <v>46244.913738425923</v>
      </c>
      <c r="Q84" s="2">
        <v>46244.913738425923</v>
      </c>
      <c r="R84" t="str">
        <f>"153000382"</f>
        <v>153000382</v>
      </c>
      <c r="S84" s="1">
        <v>48011</v>
      </c>
    </row>
    <row r="85" spans="1:19" x14ac:dyDescent="0.35">
      <c r="A85" t="s">
        <v>30</v>
      </c>
      <c r="B85" t="s">
        <v>31</v>
      </c>
      <c r="C85" t="s">
        <v>1644</v>
      </c>
      <c r="D85" t="str">
        <f>"2501718059"</f>
        <v>2501718059</v>
      </c>
      <c r="E85" t="s">
        <v>1536</v>
      </c>
      <c r="F85" t="str">
        <f>"400413"</f>
        <v>400413</v>
      </c>
      <c r="G85" t="s">
        <v>1545</v>
      </c>
      <c r="H85" t="s">
        <v>1378</v>
      </c>
      <c r="I85" t="s">
        <v>37</v>
      </c>
      <c r="J85">
        <v>1</v>
      </c>
      <c r="K85">
        <v>1</v>
      </c>
      <c r="L85" t="str">
        <f>"521142"</f>
        <v>521142</v>
      </c>
      <c r="M85" t="s">
        <v>1645</v>
      </c>
      <c r="N85" t="s">
        <v>1646</v>
      </c>
      <c r="O85" s="2">
        <v>46244.912719907406</v>
      </c>
      <c r="P85" s="2">
        <v>46244.912719907406</v>
      </c>
      <c r="Q85" s="2">
        <v>46244.912719907406</v>
      </c>
      <c r="R85" t="str">
        <f>"153000384"</f>
        <v>153000384</v>
      </c>
      <c r="S85" s="1">
        <v>48011</v>
      </c>
    </row>
    <row r="86" spans="1:19" x14ac:dyDescent="0.35">
      <c r="A86" t="s">
        <v>30</v>
      </c>
      <c r="B86" t="s">
        <v>31</v>
      </c>
      <c r="C86" t="s">
        <v>1644</v>
      </c>
      <c r="D86" t="str">
        <f>"2501718059"</f>
        <v>2501718059</v>
      </c>
      <c r="E86" t="s">
        <v>1536</v>
      </c>
      <c r="F86" t="str">
        <f>"400902"</f>
        <v>400902</v>
      </c>
      <c r="G86" t="s">
        <v>1627</v>
      </c>
      <c r="H86" t="s">
        <v>1628</v>
      </c>
      <c r="I86" t="s">
        <v>37</v>
      </c>
      <c r="J86">
        <v>10</v>
      </c>
      <c r="K86">
        <v>10</v>
      </c>
      <c r="L86" t="str">
        <f>"521142"</f>
        <v>521142</v>
      </c>
      <c r="M86" t="s">
        <v>1645</v>
      </c>
      <c r="N86" t="s">
        <v>1646</v>
      </c>
      <c r="O86" s="2">
        <v>46244.917395833334</v>
      </c>
      <c r="P86" s="2">
        <v>46244.917395833334</v>
      </c>
      <c r="Q86" s="2">
        <v>46244.917395833334</v>
      </c>
      <c r="R86" t="str">
        <f>"950001333"</f>
        <v>950001333</v>
      </c>
      <c r="S86" s="1">
        <v>47948</v>
      </c>
    </row>
    <row r="87" spans="1:19" x14ac:dyDescent="0.35">
      <c r="A87" t="s">
        <v>30</v>
      </c>
      <c r="B87" t="s">
        <v>31</v>
      </c>
      <c r="C87" t="s">
        <v>1647</v>
      </c>
      <c r="D87" t="str">
        <f>"2501718053"</f>
        <v>2501718053</v>
      </c>
      <c r="E87" t="s">
        <v>1536</v>
      </c>
      <c r="F87" t="str">
        <f>"400399"</f>
        <v>400399</v>
      </c>
      <c r="G87" t="s">
        <v>1576</v>
      </c>
      <c r="H87" t="s">
        <v>1613</v>
      </c>
      <c r="I87" t="s">
        <v>37</v>
      </c>
      <c r="J87">
        <v>24</v>
      </c>
      <c r="K87">
        <v>43</v>
      </c>
      <c r="L87" t="str">
        <f>"521088"</f>
        <v>521088</v>
      </c>
      <c r="M87" t="s">
        <v>1559</v>
      </c>
      <c r="N87" t="s">
        <v>1560</v>
      </c>
      <c r="O87" s="2">
        <v>46243.910601851851</v>
      </c>
      <c r="P87" s="2">
        <v>46243.910601851851</v>
      </c>
      <c r="Q87" s="2">
        <v>46243.910601851851</v>
      </c>
      <c r="R87" t="str">
        <f>"100010886"</f>
        <v>100010886</v>
      </c>
      <c r="S87" s="1">
        <v>47813</v>
      </c>
    </row>
    <row r="88" spans="1:19" x14ac:dyDescent="0.35">
      <c r="A88" t="s">
        <v>30</v>
      </c>
      <c r="B88" t="s">
        <v>31</v>
      </c>
      <c r="C88" t="s">
        <v>1647</v>
      </c>
      <c r="D88" t="str">
        <f>"2501718053"</f>
        <v>2501718053</v>
      </c>
      <c r="E88" t="s">
        <v>1536</v>
      </c>
      <c r="F88" t="str">
        <f>"400399"</f>
        <v>400399</v>
      </c>
      <c r="G88" t="s">
        <v>1576</v>
      </c>
      <c r="H88" t="s">
        <v>1613</v>
      </c>
      <c r="I88" t="s">
        <v>37</v>
      </c>
      <c r="J88">
        <v>19</v>
      </c>
      <c r="K88">
        <v>43</v>
      </c>
      <c r="L88" t="str">
        <f>"521088"</f>
        <v>521088</v>
      </c>
      <c r="M88" t="s">
        <v>1559</v>
      </c>
      <c r="N88" t="s">
        <v>1560</v>
      </c>
      <c r="O88" s="2">
        <v>46243.910532407404</v>
      </c>
      <c r="P88" s="2">
        <v>46243.910532407404</v>
      </c>
      <c r="Q88" s="2">
        <v>46243.910532407404</v>
      </c>
      <c r="R88" t="str">
        <f>"100010886"</f>
        <v>100010886</v>
      </c>
      <c r="S88" s="1">
        <v>47813</v>
      </c>
    </row>
    <row r="89" spans="1:19" x14ac:dyDescent="0.35">
      <c r="A89" t="s">
        <v>30</v>
      </c>
      <c r="B89" t="s">
        <v>31</v>
      </c>
      <c r="C89" t="s">
        <v>1648</v>
      </c>
      <c r="D89" t="str">
        <f>"2501718046"</f>
        <v>2501718046</v>
      </c>
      <c r="E89" t="s">
        <v>1536</v>
      </c>
      <c r="F89" t="str">
        <f>"400398"</f>
        <v>400398</v>
      </c>
      <c r="G89" t="s">
        <v>1562</v>
      </c>
      <c r="H89" t="s">
        <v>1600</v>
      </c>
      <c r="I89" t="s">
        <v>41</v>
      </c>
      <c r="J89">
        <v>2</v>
      </c>
      <c r="K89">
        <v>10</v>
      </c>
      <c r="L89" t="str">
        <f>"520721"</f>
        <v>520721</v>
      </c>
      <c r="M89" t="s">
        <v>1649</v>
      </c>
      <c r="N89" t="s">
        <v>1540</v>
      </c>
      <c r="O89" s="2">
        <v>46240.917337962965</v>
      </c>
      <c r="P89" s="2">
        <v>46240.917337962965</v>
      </c>
      <c r="Q89" s="2">
        <v>46240.917337962965</v>
      </c>
      <c r="R89" t="str">
        <f>"153000212"</f>
        <v>153000212</v>
      </c>
      <c r="S89" s="1">
        <v>47934</v>
      </c>
    </row>
    <row r="90" spans="1:19" x14ac:dyDescent="0.35">
      <c r="A90" t="s">
        <v>30</v>
      </c>
      <c r="B90" t="s">
        <v>31</v>
      </c>
      <c r="C90" t="s">
        <v>1650</v>
      </c>
      <c r="D90" t="str">
        <f>"2501718040"</f>
        <v>2501718040</v>
      </c>
      <c r="E90" t="s">
        <v>1536</v>
      </c>
      <c r="F90" t="str">
        <f>"400405"</f>
        <v>400405</v>
      </c>
      <c r="G90" t="s">
        <v>519</v>
      </c>
      <c r="H90" t="s">
        <v>1508</v>
      </c>
      <c r="I90" t="s">
        <v>37</v>
      </c>
      <c r="J90">
        <v>30</v>
      </c>
      <c r="K90">
        <v>30</v>
      </c>
      <c r="L90" t="str">
        <f>"521159"</f>
        <v>521159</v>
      </c>
      <c r="M90" t="s">
        <v>1651</v>
      </c>
      <c r="N90" t="s">
        <v>1652</v>
      </c>
      <c r="O90" s="2">
        <v>46240.919305555559</v>
      </c>
      <c r="P90" s="2">
        <v>46240.919305555559</v>
      </c>
      <c r="Q90" s="2">
        <v>46240.919305555559</v>
      </c>
      <c r="R90" t="str">
        <f>"153000440"</f>
        <v>153000440</v>
      </c>
      <c r="S90" s="1">
        <v>48036</v>
      </c>
    </row>
    <row r="91" spans="1:19" x14ac:dyDescent="0.35">
      <c r="A91" t="s">
        <v>30</v>
      </c>
      <c r="B91" t="s">
        <v>31</v>
      </c>
      <c r="C91" t="s">
        <v>1648</v>
      </c>
      <c r="D91" t="str">
        <f>"2501718046"</f>
        <v>2501718046</v>
      </c>
      <c r="E91" t="s">
        <v>1536</v>
      </c>
      <c r="F91" t="str">
        <f t="shared" ref="F91:F98" si="15">"400398"</f>
        <v>400398</v>
      </c>
      <c r="G91" t="s">
        <v>1562</v>
      </c>
      <c r="H91" t="s">
        <v>1653</v>
      </c>
      <c r="I91" t="s">
        <v>41</v>
      </c>
      <c r="J91">
        <v>1</v>
      </c>
      <c r="K91">
        <v>10</v>
      </c>
      <c r="L91" t="str">
        <f t="shared" ref="L91:L98" si="16">"520721"</f>
        <v>520721</v>
      </c>
      <c r="M91" t="s">
        <v>1649</v>
      </c>
      <c r="N91" t="s">
        <v>1540</v>
      </c>
      <c r="O91" s="2">
        <v>46240.906018518515</v>
      </c>
      <c r="P91" s="2">
        <v>46240.906018518515</v>
      </c>
      <c r="Q91" s="2">
        <v>46240.906018518515</v>
      </c>
      <c r="R91" t="str">
        <f t="shared" ref="R91:R96" si="17">"153000212"</f>
        <v>153000212</v>
      </c>
      <c r="S91" s="1">
        <v>47934</v>
      </c>
    </row>
    <row r="92" spans="1:19" x14ac:dyDescent="0.35">
      <c r="A92" t="s">
        <v>30</v>
      </c>
      <c r="B92" t="s">
        <v>31</v>
      </c>
      <c r="C92" t="s">
        <v>1648</v>
      </c>
      <c r="D92" t="str">
        <f>"2501718046"</f>
        <v>2501718046</v>
      </c>
      <c r="E92" t="s">
        <v>1536</v>
      </c>
      <c r="F92" t="str">
        <f t="shared" si="15"/>
        <v>400398</v>
      </c>
      <c r="G92" t="s">
        <v>1562</v>
      </c>
      <c r="H92" t="s">
        <v>1654</v>
      </c>
      <c r="I92" t="s">
        <v>41</v>
      </c>
      <c r="J92">
        <v>4</v>
      </c>
      <c r="K92">
        <v>10</v>
      </c>
      <c r="L92" t="str">
        <f t="shared" si="16"/>
        <v>520721</v>
      </c>
      <c r="M92" t="s">
        <v>1649</v>
      </c>
      <c r="N92" t="s">
        <v>1540</v>
      </c>
      <c r="O92" s="2">
        <v>46240.905648148146</v>
      </c>
      <c r="P92" s="2">
        <v>46240.905648148146</v>
      </c>
      <c r="Q92" s="2">
        <v>46240.905648148146</v>
      </c>
      <c r="R92" t="str">
        <f t="shared" si="17"/>
        <v>153000212</v>
      </c>
      <c r="S92" s="1">
        <v>47934</v>
      </c>
    </row>
    <row r="93" spans="1:19" x14ac:dyDescent="0.35">
      <c r="A93" t="s">
        <v>30</v>
      </c>
      <c r="B93" t="s">
        <v>31</v>
      </c>
      <c r="C93" t="s">
        <v>1648</v>
      </c>
      <c r="D93" t="str">
        <f>"2501718046"</f>
        <v>2501718046</v>
      </c>
      <c r="E93" t="s">
        <v>1536</v>
      </c>
      <c r="F93" t="str">
        <f t="shared" si="15"/>
        <v>400398</v>
      </c>
      <c r="G93" t="s">
        <v>1562</v>
      </c>
      <c r="H93" t="s">
        <v>1653</v>
      </c>
      <c r="I93" t="s">
        <v>41</v>
      </c>
      <c r="J93">
        <v>3</v>
      </c>
      <c r="K93">
        <v>10</v>
      </c>
      <c r="L93" t="str">
        <f t="shared" si="16"/>
        <v>520721</v>
      </c>
      <c r="M93" t="s">
        <v>1649</v>
      </c>
      <c r="N93" t="s">
        <v>1540</v>
      </c>
      <c r="O93" s="2">
        <v>46240.9059375</v>
      </c>
      <c r="P93" s="2">
        <v>46240.9059375</v>
      </c>
      <c r="Q93" s="2">
        <v>46240.9059375</v>
      </c>
      <c r="R93" t="str">
        <f t="shared" si="17"/>
        <v>153000212</v>
      </c>
      <c r="S93" s="1">
        <v>47934</v>
      </c>
    </row>
    <row r="94" spans="1:19" x14ac:dyDescent="0.35">
      <c r="A94" t="s">
        <v>30</v>
      </c>
      <c r="B94" t="s">
        <v>31</v>
      </c>
      <c r="C94" t="s">
        <v>1655</v>
      </c>
      <c r="D94" t="str">
        <f>"2501718047"</f>
        <v>2501718047</v>
      </c>
      <c r="E94" t="s">
        <v>1536</v>
      </c>
      <c r="F94" t="str">
        <f t="shared" si="15"/>
        <v>400398</v>
      </c>
      <c r="G94" t="s">
        <v>1562</v>
      </c>
      <c r="H94" t="s">
        <v>1600</v>
      </c>
      <c r="I94" t="s">
        <v>41</v>
      </c>
      <c r="J94">
        <v>1</v>
      </c>
      <c r="K94">
        <v>6</v>
      </c>
      <c r="L94" t="str">
        <f t="shared" si="16"/>
        <v>520721</v>
      </c>
      <c r="M94" t="s">
        <v>1564</v>
      </c>
      <c r="N94" t="s">
        <v>1540</v>
      </c>
      <c r="O94" s="2">
        <v>46240.903587962966</v>
      </c>
      <c r="P94" s="2">
        <v>46240.903587962966</v>
      </c>
      <c r="Q94" s="2">
        <v>46240.903587962966</v>
      </c>
      <c r="R94" t="str">
        <f t="shared" si="17"/>
        <v>153000212</v>
      </c>
      <c r="S94" s="1">
        <v>47934</v>
      </c>
    </row>
    <row r="95" spans="1:19" x14ac:dyDescent="0.35">
      <c r="A95" t="s">
        <v>30</v>
      </c>
      <c r="B95" t="s">
        <v>31</v>
      </c>
      <c r="C95" t="s">
        <v>1655</v>
      </c>
      <c r="D95" t="str">
        <f>"2501718047"</f>
        <v>2501718047</v>
      </c>
      <c r="E95" t="s">
        <v>1536</v>
      </c>
      <c r="F95" t="str">
        <f t="shared" si="15"/>
        <v>400398</v>
      </c>
      <c r="G95" t="s">
        <v>1562</v>
      </c>
      <c r="H95" t="s">
        <v>1656</v>
      </c>
      <c r="I95" t="s">
        <v>41</v>
      </c>
      <c r="J95">
        <v>4</v>
      </c>
      <c r="K95">
        <v>6</v>
      </c>
      <c r="L95" t="str">
        <f t="shared" si="16"/>
        <v>520721</v>
      </c>
      <c r="M95" t="s">
        <v>1564</v>
      </c>
      <c r="N95" t="s">
        <v>1540</v>
      </c>
      <c r="O95" s="2">
        <v>46240.912222222221</v>
      </c>
      <c r="P95" s="2">
        <v>46240.912222222221</v>
      </c>
      <c r="Q95" s="2">
        <v>46240.912222222221</v>
      </c>
      <c r="R95" t="str">
        <f t="shared" si="17"/>
        <v>153000212</v>
      </c>
      <c r="S95" s="1">
        <v>47934</v>
      </c>
    </row>
    <row r="96" spans="1:19" x14ac:dyDescent="0.35">
      <c r="A96" t="s">
        <v>30</v>
      </c>
      <c r="B96" t="s">
        <v>31</v>
      </c>
      <c r="C96" t="s">
        <v>1655</v>
      </c>
      <c r="D96" t="str">
        <f>"2501718047"</f>
        <v>2501718047</v>
      </c>
      <c r="E96" t="s">
        <v>1536</v>
      </c>
      <c r="F96" t="str">
        <f t="shared" si="15"/>
        <v>400398</v>
      </c>
      <c r="G96" t="s">
        <v>1562</v>
      </c>
      <c r="H96" t="s">
        <v>1657</v>
      </c>
      <c r="I96" t="s">
        <v>41</v>
      </c>
      <c r="J96">
        <v>1</v>
      </c>
      <c r="K96">
        <v>6</v>
      </c>
      <c r="L96" t="str">
        <f t="shared" si="16"/>
        <v>520721</v>
      </c>
      <c r="M96" t="s">
        <v>1564</v>
      </c>
      <c r="N96" t="s">
        <v>1540</v>
      </c>
      <c r="O96" s="2">
        <v>46240.902986111112</v>
      </c>
      <c r="P96" s="2">
        <v>46240.902997685182</v>
      </c>
      <c r="Q96" s="2">
        <v>46240.902997685182</v>
      </c>
      <c r="R96" t="str">
        <f t="shared" si="17"/>
        <v>153000212</v>
      </c>
      <c r="S96" s="1">
        <v>47934</v>
      </c>
    </row>
    <row r="97" spans="1:19" x14ac:dyDescent="0.35">
      <c r="A97" t="s">
        <v>30</v>
      </c>
      <c r="B97" t="s">
        <v>31</v>
      </c>
      <c r="C97" t="s">
        <v>1655</v>
      </c>
      <c r="D97" t="str">
        <f>"2501718047"</f>
        <v>2501718047</v>
      </c>
      <c r="E97" t="s">
        <v>1536</v>
      </c>
      <c r="F97" t="str">
        <f t="shared" si="15"/>
        <v>400398</v>
      </c>
      <c r="G97" t="s">
        <v>1562</v>
      </c>
      <c r="H97" t="s">
        <v>1658</v>
      </c>
      <c r="I97" t="s">
        <v>41</v>
      </c>
      <c r="J97">
        <v>1</v>
      </c>
      <c r="K97">
        <v>1</v>
      </c>
      <c r="L97" t="str">
        <f t="shared" si="16"/>
        <v>520721</v>
      </c>
      <c r="M97" t="s">
        <v>1564</v>
      </c>
      <c r="N97" t="s">
        <v>1540</v>
      </c>
      <c r="O97" s="2">
        <v>46240.90289351852</v>
      </c>
      <c r="P97" s="2">
        <v>46240.90289351852</v>
      </c>
      <c r="Q97" s="2">
        <v>46240.90289351852</v>
      </c>
      <c r="R97" t="str">
        <f>"153000123"</f>
        <v>153000123</v>
      </c>
      <c r="S97" s="1">
        <v>47895</v>
      </c>
    </row>
    <row r="98" spans="1:19" x14ac:dyDescent="0.35">
      <c r="A98" t="s">
        <v>30</v>
      </c>
      <c r="B98" t="s">
        <v>31</v>
      </c>
      <c r="C98" t="s">
        <v>1655</v>
      </c>
      <c r="D98" t="str">
        <f>"2501718047"</f>
        <v>2501718047</v>
      </c>
      <c r="E98" t="s">
        <v>1536</v>
      </c>
      <c r="F98" t="str">
        <f t="shared" si="15"/>
        <v>400398</v>
      </c>
      <c r="G98" t="s">
        <v>1562</v>
      </c>
      <c r="H98" t="s">
        <v>1659</v>
      </c>
      <c r="I98" t="s">
        <v>41</v>
      </c>
      <c r="J98">
        <v>1</v>
      </c>
      <c r="K98">
        <v>1</v>
      </c>
      <c r="L98" t="str">
        <f t="shared" si="16"/>
        <v>520721</v>
      </c>
      <c r="M98" t="s">
        <v>1564</v>
      </c>
      <c r="N98" t="s">
        <v>1540</v>
      </c>
      <c r="O98" s="2">
        <v>46240.916481481479</v>
      </c>
      <c r="P98" s="2">
        <v>46240.916481481479</v>
      </c>
      <c r="Q98" s="2">
        <v>46240.916481481479</v>
      </c>
      <c r="R98" t="str">
        <f>"153000097"</f>
        <v>153000097</v>
      </c>
      <c r="S98" s="1">
        <v>47888</v>
      </c>
    </row>
    <row r="99" spans="1:19" x14ac:dyDescent="0.35">
      <c r="A99" t="s">
        <v>30</v>
      </c>
      <c r="B99" t="s">
        <v>31</v>
      </c>
      <c r="C99" t="s">
        <v>1660</v>
      </c>
      <c r="D99" t="str">
        <f>"2501718022"</f>
        <v>2501718022</v>
      </c>
      <c r="E99" t="s">
        <v>1536</v>
      </c>
      <c r="F99" t="str">
        <f>"400420"</f>
        <v>400420</v>
      </c>
      <c r="G99" t="s">
        <v>1661</v>
      </c>
      <c r="H99" t="s">
        <v>1662</v>
      </c>
      <c r="I99" t="s">
        <v>37</v>
      </c>
      <c r="J99">
        <v>9</v>
      </c>
      <c r="K99">
        <v>9</v>
      </c>
      <c r="L99" t="str">
        <f>"521159"</f>
        <v>521159</v>
      </c>
      <c r="M99" t="s">
        <v>1663</v>
      </c>
      <c r="N99" t="s">
        <v>1652</v>
      </c>
      <c r="O99" s="2">
        <v>46238.818333333336</v>
      </c>
      <c r="P99" s="2">
        <v>46238.818333333336</v>
      </c>
      <c r="Q99" s="2">
        <v>46238.818333333336</v>
      </c>
      <c r="R99" t="str">
        <f>"153000453"</f>
        <v>153000453</v>
      </c>
      <c r="S99" s="1">
        <v>48041</v>
      </c>
    </row>
    <row r="100" spans="1:19" x14ac:dyDescent="0.35">
      <c r="A100" t="s">
        <v>30</v>
      </c>
      <c r="B100" t="s">
        <v>31</v>
      </c>
      <c r="C100" t="s">
        <v>1664</v>
      </c>
      <c r="D100" t="str">
        <f>"2501718023"</f>
        <v>2501718023</v>
      </c>
      <c r="E100" t="s">
        <v>1536</v>
      </c>
      <c r="F100" t="str">
        <f>"400402"</f>
        <v>400402</v>
      </c>
      <c r="G100" t="s">
        <v>1665</v>
      </c>
      <c r="H100" t="s">
        <v>1666</v>
      </c>
      <c r="I100" t="s">
        <v>37</v>
      </c>
      <c r="J100">
        <v>40</v>
      </c>
      <c r="K100">
        <v>40</v>
      </c>
      <c r="L100" t="str">
        <f>"520721"</f>
        <v>520721</v>
      </c>
      <c r="M100" t="s">
        <v>1667</v>
      </c>
      <c r="N100" t="s">
        <v>1540</v>
      </c>
      <c r="O100" s="2">
        <v>46238.814814814818</v>
      </c>
      <c r="P100" s="2">
        <v>46238.814814814818</v>
      </c>
      <c r="Q100" s="2">
        <v>46238.814814814818</v>
      </c>
      <c r="R100" t="str">
        <f>"153000363"</f>
        <v>153000363</v>
      </c>
      <c r="S100" s="1">
        <v>48006</v>
      </c>
    </row>
    <row r="101" spans="1:19" x14ac:dyDescent="0.35">
      <c r="A101" t="s">
        <v>30</v>
      </c>
      <c r="B101" t="s">
        <v>31</v>
      </c>
      <c r="C101" t="s">
        <v>1668</v>
      </c>
      <c r="D101" t="str">
        <f>"2501718018"</f>
        <v>2501718018</v>
      </c>
      <c r="E101" t="s">
        <v>1536</v>
      </c>
      <c r="F101" t="str">
        <f>"400464"</f>
        <v>400464</v>
      </c>
      <c r="G101" t="s">
        <v>1669</v>
      </c>
      <c r="H101" t="s">
        <v>1670</v>
      </c>
      <c r="I101" t="s">
        <v>41</v>
      </c>
      <c r="J101">
        <v>2</v>
      </c>
      <c r="K101">
        <v>10</v>
      </c>
      <c r="L101" t="str">
        <f>"520228"</f>
        <v>520228</v>
      </c>
      <c r="M101" t="s">
        <v>1586</v>
      </c>
      <c r="N101" t="s">
        <v>1671</v>
      </c>
      <c r="O101" s="2">
        <v>46237.735300925924</v>
      </c>
      <c r="P101" s="2">
        <v>46237.735300925924</v>
      </c>
      <c r="Q101" s="2">
        <v>46237.735300925924</v>
      </c>
      <c r="R101" t="str">
        <f>"100009359"</f>
        <v>100009359</v>
      </c>
      <c r="S101" s="1">
        <v>47676</v>
      </c>
    </row>
    <row r="102" spans="1:19" x14ac:dyDescent="0.35">
      <c r="A102" t="s">
        <v>30</v>
      </c>
      <c r="B102" t="s">
        <v>31</v>
      </c>
      <c r="C102" t="s">
        <v>1668</v>
      </c>
      <c r="D102" t="str">
        <f>"2501718018"</f>
        <v>2501718018</v>
      </c>
      <c r="E102" t="s">
        <v>1536</v>
      </c>
      <c r="F102" t="str">
        <f>"400464"</f>
        <v>400464</v>
      </c>
      <c r="G102" t="s">
        <v>1669</v>
      </c>
      <c r="H102" t="s">
        <v>1672</v>
      </c>
      <c r="I102" t="s">
        <v>41</v>
      </c>
      <c r="J102">
        <v>4</v>
      </c>
      <c r="K102">
        <v>10</v>
      </c>
      <c r="L102" t="str">
        <f>"520228"</f>
        <v>520228</v>
      </c>
      <c r="M102" t="s">
        <v>1586</v>
      </c>
      <c r="N102" t="s">
        <v>1671</v>
      </c>
      <c r="O102" s="2">
        <v>46237.732812499999</v>
      </c>
      <c r="P102" s="2">
        <v>46237.732812499999</v>
      </c>
      <c r="Q102" s="2">
        <v>46237.732812499999</v>
      </c>
      <c r="R102" t="str">
        <f>"100009359"</f>
        <v>100009359</v>
      </c>
      <c r="S102" s="1">
        <v>47676</v>
      </c>
    </row>
    <row r="103" spans="1:19" x14ac:dyDescent="0.35">
      <c r="A103" t="s">
        <v>30</v>
      </c>
      <c r="B103" t="s">
        <v>31</v>
      </c>
      <c r="C103" t="s">
        <v>1668</v>
      </c>
      <c r="D103" t="str">
        <f>"2501718018"</f>
        <v>2501718018</v>
      </c>
      <c r="E103" t="s">
        <v>1536</v>
      </c>
      <c r="F103" t="str">
        <f>"400464"</f>
        <v>400464</v>
      </c>
      <c r="G103" t="s">
        <v>1669</v>
      </c>
      <c r="H103" t="s">
        <v>1673</v>
      </c>
      <c r="I103" t="s">
        <v>41</v>
      </c>
      <c r="J103">
        <v>4</v>
      </c>
      <c r="K103">
        <v>10</v>
      </c>
      <c r="L103" t="str">
        <f>"520228"</f>
        <v>520228</v>
      </c>
      <c r="M103" t="s">
        <v>1586</v>
      </c>
      <c r="N103" t="s">
        <v>1671</v>
      </c>
      <c r="O103" s="2">
        <v>46237.73233796296</v>
      </c>
      <c r="P103" s="2">
        <v>46237.732349537036</v>
      </c>
      <c r="Q103" s="2">
        <v>46237.732349537036</v>
      </c>
      <c r="R103" t="str">
        <f>"100009359"</f>
        <v>100009359</v>
      </c>
      <c r="S103" s="1">
        <v>47676</v>
      </c>
    </row>
    <row r="104" spans="1:19" x14ac:dyDescent="0.35">
      <c r="A104" t="s">
        <v>30</v>
      </c>
      <c r="B104" t="s">
        <v>31</v>
      </c>
      <c r="C104" t="s">
        <v>1674</v>
      </c>
      <c r="D104" t="str">
        <f>"2501718011"</f>
        <v>2501718011</v>
      </c>
      <c r="E104" t="s">
        <v>1536</v>
      </c>
      <c r="F104" t="str">
        <f>"400407"</f>
        <v>400407</v>
      </c>
      <c r="G104" t="s">
        <v>1675</v>
      </c>
      <c r="H104" t="s">
        <v>1676</v>
      </c>
      <c r="I104" t="s">
        <v>41</v>
      </c>
      <c r="J104">
        <v>2</v>
      </c>
      <c r="K104">
        <v>2</v>
      </c>
      <c r="L104" t="str">
        <f>"520192"</f>
        <v>520192</v>
      </c>
      <c r="M104" t="s">
        <v>1677</v>
      </c>
      <c r="N104" t="s">
        <v>1678</v>
      </c>
      <c r="O104" s="2">
        <v>46236.897060185183</v>
      </c>
      <c r="P104" s="2">
        <v>46236.897060185183</v>
      </c>
      <c r="Q104" s="2">
        <v>46236.897060185183</v>
      </c>
      <c r="R104" t="str">
        <f>"153000174"</f>
        <v>153000174</v>
      </c>
      <c r="S104" s="1">
        <v>47917</v>
      </c>
    </row>
    <row r="105" spans="1:19" x14ac:dyDescent="0.35">
      <c r="A105" t="s">
        <v>30</v>
      </c>
      <c r="B105" t="s">
        <v>31</v>
      </c>
      <c r="C105" t="s">
        <v>1679</v>
      </c>
      <c r="D105" t="str">
        <f t="shared" ref="D105:D111" si="18">"2501717992"</f>
        <v>2501717992</v>
      </c>
      <c r="E105" t="s">
        <v>1536</v>
      </c>
      <c r="F105" t="str">
        <f t="shared" ref="F105:F136" si="19">"400426"</f>
        <v>400426</v>
      </c>
      <c r="G105" t="s">
        <v>34</v>
      </c>
      <c r="H105" t="s">
        <v>1395</v>
      </c>
      <c r="I105" t="s">
        <v>37</v>
      </c>
      <c r="J105">
        <v>2</v>
      </c>
      <c r="K105">
        <v>124</v>
      </c>
      <c r="L105" t="str">
        <f t="shared" ref="L105:L161" si="20">"521152"</f>
        <v>521152</v>
      </c>
      <c r="M105" t="s">
        <v>1680</v>
      </c>
      <c r="N105" t="s">
        <v>1681</v>
      </c>
      <c r="O105" s="2">
        <v>46236.894259259258</v>
      </c>
      <c r="P105" s="2">
        <v>46236.894259259258</v>
      </c>
      <c r="Q105" s="2">
        <v>46236.894259259258</v>
      </c>
      <c r="R105" t="str">
        <f t="shared" ref="R105:R113" si="21">"153000403"</f>
        <v>153000403</v>
      </c>
      <c r="S105" s="1">
        <v>48016</v>
      </c>
    </row>
    <row r="106" spans="1:19" x14ac:dyDescent="0.35">
      <c r="A106" t="s">
        <v>30</v>
      </c>
      <c r="B106" t="s">
        <v>31</v>
      </c>
      <c r="C106" t="s">
        <v>1679</v>
      </c>
      <c r="D106" t="str">
        <f t="shared" si="18"/>
        <v>2501717992</v>
      </c>
      <c r="E106" t="s">
        <v>1536</v>
      </c>
      <c r="F106" t="str">
        <f t="shared" si="19"/>
        <v>400426</v>
      </c>
      <c r="G106" t="s">
        <v>34</v>
      </c>
      <c r="H106" t="s">
        <v>1363</v>
      </c>
      <c r="I106" t="s">
        <v>37</v>
      </c>
      <c r="J106">
        <v>24</v>
      </c>
      <c r="K106">
        <v>124</v>
      </c>
      <c r="L106" t="str">
        <f t="shared" si="20"/>
        <v>521152</v>
      </c>
      <c r="M106" t="s">
        <v>1680</v>
      </c>
      <c r="N106" t="s">
        <v>1681</v>
      </c>
      <c r="O106" s="2">
        <v>46236.893136574072</v>
      </c>
      <c r="P106" s="2">
        <v>46236.893136574072</v>
      </c>
      <c r="Q106" s="2">
        <v>46236.893136574072</v>
      </c>
      <c r="R106" t="str">
        <f t="shared" si="21"/>
        <v>153000403</v>
      </c>
      <c r="S106" s="1">
        <v>48016</v>
      </c>
    </row>
    <row r="107" spans="1:19" x14ac:dyDescent="0.35">
      <c r="A107" t="s">
        <v>30</v>
      </c>
      <c r="B107" t="s">
        <v>31</v>
      </c>
      <c r="C107" t="s">
        <v>1679</v>
      </c>
      <c r="D107" t="str">
        <f t="shared" si="18"/>
        <v>2501717992</v>
      </c>
      <c r="E107" t="s">
        <v>1536</v>
      </c>
      <c r="F107" t="str">
        <f t="shared" si="19"/>
        <v>400426</v>
      </c>
      <c r="G107" t="s">
        <v>34</v>
      </c>
      <c r="H107" t="s">
        <v>1360</v>
      </c>
      <c r="I107" t="s">
        <v>37</v>
      </c>
      <c r="J107">
        <v>24</v>
      </c>
      <c r="K107">
        <v>124</v>
      </c>
      <c r="L107" t="str">
        <f t="shared" si="20"/>
        <v>521152</v>
      </c>
      <c r="M107" t="s">
        <v>1680</v>
      </c>
      <c r="N107" t="s">
        <v>1681</v>
      </c>
      <c r="O107" s="2">
        <v>46236.892361111109</v>
      </c>
      <c r="P107" s="2">
        <v>46236.892361111109</v>
      </c>
      <c r="Q107" s="2">
        <v>46236.892361111109</v>
      </c>
      <c r="R107" t="str">
        <f t="shared" si="21"/>
        <v>153000403</v>
      </c>
      <c r="S107" s="1">
        <v>48016</v>
      </c>
    </row>
    <row r="108" spans="1:19" x14ac:dyDescent="0.35">
      <c r="A108" t="s">
        <v>30</v>
      </c>
      <c r="B108" t="s">
        <v>31</v>
      </c>
      <c r="C108" t="s">
        <v>1679</v>
      </c>
      <c r="D108" t="str">
        <f t="shared" si="18"/>
        <v>2501717992</v>
      </c>
      <c r="E108" t="s">
        <v>1536</v>
      </c>
      <c r="F108" t="str">
        <f t="shared" si="19"/>
        <v>400426</v>
      </c>
      <c r="G108" t="s">
        <v>34</v>
      </c>
      <c r="H108" t="s">
        <v>1358</v>
      </c>
      <c r="I108" t="s">
        <v>37</v>
      </c>
      <c r="J108">
        <v>24</v>
      </c>
      <c r="K108">
        <v>124</v>
      </c>
      <c r="L108" t="str">
        <f t="shared" si="20"/>
        <v>521152</v>
      </c>
      <c r="M108" t="s">
        <v>1680</v>
      </c>
      <c r="N108" t="s">
        <v>1681</v>
      </c>
      <c r="O108" s="2">
        <v>46236.891701388886</v>
      </c>
      <c r="P108" s="2">
        <v>46236.891701388886</v>
      </c>
      <c r="Q108" s="2">
        <v>46236.891701388886</v>
      </c>
      <c r="R108" t="str">
        <f t="shared" si="21"/>
        <v>153000403</v>
      </c>
      <c r="S108" s="1">
        <v>48016</v>
      </c>
    </row>
    <row r="109" spans="1:19" x14ac:dyDescent="0.35">
      <c r="A109" t="s">
        <v>30</v>
      </c>
      <c r="B109" t="s">
        <v>31</v>
      </c>
      <c r="C109" t="s">
        <v>1679</v>
      </c>
      <c r="D109" t="str">
        <f t="shared" si="18"/>
        <v>2501717992</v>
      </c>
      <c r="E109" t="s">
        <v>1536</v>
      </c>
      <c r="F109" t="str">
        <f t="shared" si="19"/>
        <v>400426</v>
      </c>
      <c r="G109" t="s">
        <v>34</v>
      </c>
      <c r="H109" t="s">
        <v>1354</v>
      </c>
      <c r="I109" t="s">
        <v>37</v>
      </c>
      <c r="J109">
        <v>24</v>
      </c>
      <c r="K109">
        <v>124</v>
      </c>
      <c r="L109" t="str">
        <f t="shared" si="20"/>
        <v>521152</v>
      </c>
      <c r="M109" t="s">
        <v>1680</v>
      </c>
      <c r="N109" t="s">
        <v>1681</v>
      </c>
      <c r="O109" s="2">
        <v>46236.89099537037</v>
      </c>
      <c r="P109" s="2">
        <v>46236.89099537037</v>
      </c>
      <c r="Q109" s="2">
        <v>46236.89099537037</v>
      </c>
      <c r="R109" t="str">
        <f t="shared" si="21"/>
        <v>153000403</v>
      </c>
      <c r="S109" s="1">
        <v>48016</v>
      </c>
    </row>
    <row r="110" spans="1:19" x14ac:dyDescent="0.35">
      <c r="A110" t="s">
        <v>30</v>
      </c>
      <c r="B110" t="s">
        <v>31</v>
      </c>
      <c r="C110" t="s">
        <v>1679</v>
      </c>
      <c r="D110" t="str">
        <f t="shared" si="18"/>
        <v>2501717992</v>
      </c>
      <c r="E110" t="s">
        <v>1536</v>
      </c>
      <c r="F110" t="str">
        <f t="shared" si="19"/>
        <v>400426</v>
      </c>
      <c r="G110" t="s">
        <v>34</v>
      </c>
      <c r="H110" t="s">
        <v>1356</v>
      </c>
      <c r="I110" t="s">
        <v>37</v>
      </c>
      <c r="J110">
        <v>24</v>
      </c>
      <c r="K110">
        <v>124</v>
      </c>
      <c r="L110" t="str">
        <f t="shared" si="20"/>
        <v>521152</v>
      </c>
      <c r="M110" t="s">
        <v>1680</v>
      </c>
      <c r="N110" t="s">
        <v>1681</v>
      </c>
      <c r="O110" s="2">
        <v>46236.889861111114</v>
      </c>
      <c r="P110" s="2">
        <v>46236.889861111114</v>
      </c>
      <c r="Q110" s="2">
        <v>46236.889861111114</v>
      </c>
      <c r="R110" t="str">
        <f t="shared" si="21"/>
        <v>153000403</v>
      </c>
      <c r="S110" s="1">
        <v>48016</v>
      </c>
    </row>
    <row r="111" spans="1:19" x14ac:dyDescent="0.35">
      <c r="A111" t="s">
        <v>30</v>
      </c>
      <c r="B111" t="s">
        <v>31</v>
      </c>
      <c r="C111" t="s">
        <v>1679</v>
      </c>
      <c r="D111" t="str">
        <f t="shared" si="18"/>
        <v>2501717992</v>
      </c>
      <c r="E111" t="s">
        <v>1536</v>
      </c>
      <c r="F111" t="str">
        <f t="shared" si="19"/>
        <v>400426</v>
      </c>
      <c r="G111" t="s">
        <v>34</v>
      </c>
      <c r="H111" t="s">
        <v>1352</v>
      </c>
      <c r="I111" t="s">
        <v>37</v>
      </c>
      <c r="J111">
        <v>2</v>
      </c>
      <c r="K111">
        <v>124</v>
      </c>
      <c r="L111" t="str">
        <f t="shared" si="20"/>
        <v>521152</v>
      </c>
      <c r="M111" t="s">
        <v>1680</v>
      </c>
      <c r="N111" t="s">
        <v>1681</v>
      </c>
      <c r="O111" s="2">
        <v>46236.889780092592</v>
      </c>
      <c r="P111" s="2">
        <v>46236.889780092592</v>
      </c>
      <c r="Q111" s="2">
        <v>46236.889780092592</v>
      </c>
      <c r="R111" t="str">
        <f t="shared" si="21"/>
        <v>153000403</v>
      </c>
      <c r="S111" s="1">
        <v>48016</v>
      </c>
    </row>
    <row r="112" spans="1:19" x14ac:dyDescent="0.35">
      <c r="A112" t="s">
        <v>30</v>
      </c>
      <c r="B112" t="s">
        <v>31</v>
      </c>
      <c r="C112" t="s">
        <v>1682</v>
      </c>
      <c r="D112" t="str">
        <f t="shared" ref="D112:D136" si="22">"2501717991"</f>
        <v>2501717991</v>
      </c>
      <c r="E112" t="s">
        <v>1536</v>
      </c>
      <c r="F112" t="str">
        <f t="shared" si="19"/>
        <v>400426</v>
      </c>
      <c r="G112" t="s">
        <v>34</v>
      </c>
      <c r="H112" t="s">
        <v>1352</v>
      </c>
      <c r="I112" t="s">
        <v>37</v>
      </c>
      <c r="J112">
        <v>22</v>
      </c>
      <c r="K112">
        <v>46</v>
      </c>
      <c r="L112" t="str">
        <f t="shared" si="20"/>
        <v>521152</v>
      </c>
      <c r="M112" t="s">
        <v>1680</v>
      </c>
      <c r="N112" t="s">
        <v>1681</v>
      </c>
      <c r="O112" s="2">
        <v>46236.790706018517</v>
      </c>
      <c r="P112" s="2">
        <v>46236.790717592594</v>
      </c>
      <c r="Q112" s="2">
        <v>46236.790717592594</v>
      </c>
      <c r="R112" t="str">
        <f t="shared" si="21"/>
        <v>153000403</v>
      </c>
      <c r="S112" s="1">
        <v>48016</v>
      </c>
    </row>
    <row r="113" spans="1:19" x14ac:dyDescent="0.35">
      <c r="A113" t="s">
        <v>30</v>
      </c>
      <c r="B113" t="s">
        <v>31</v>
      </c>
      <c r="C113" t="s">
        <v>1682</v>
      </c>
      <c r="D113" t="str">
        <f t="shared" si="22"/>
        <v>2501717991</v>
      </c>
      <c r="E113" t="s">
        <v>1536</v>
      </c>
      <c r="F113" t="str">
        <f t="shared" si="19"/>
        <v>400426</v>
      </c>
      <c r="G113" t="s">
        <v>34</v>
      </c>
      <c r="H113" t="s">
        <v>1350</v>
      </c>
      <c r="I113" t="s">
        <v>37</v>
      </c>
      <c r="J113">
        <v>24</v>
      </c>
      <c r="K113">
        <v>46</v>
      </c>
      <c r="L113" t="str">
        <f t="shared" si="20"/>
        <v>521152</v>
      </c>
      <c r="M113" t="s">
        <v>1680</v>
      </c>
      <c r="N113" t="s">
        <v>1681</v>
      </c>
      <c r="O113" s="2">
        <v>46236.78974537037</v>
      </c>
      <c r="P113" s="2">
        <v>46236.78974537037</v>
      </c>
      <c r="Q113" s="2">
        <v>46236.78974537037</v>
      </c>
      <c r="R113" t="str">
        <f t="shared" si="21"/>
        <v>153000403</v>
      </c>
      <c r="S113" s="1">
        <v>48016</v>
      </c>
    </row>
    <row r="114" spans="1:19" x14ac:dyDescent="0.35">
      <c r="A114" t="s">
        <v>30</v>
      </c>
      <c r="B114" t="s">
        <v>31</v>
      </c>
      <c r="C114" t="s">
        <v>1682</v>
      </c>
      <c r="D114" t="str">
        <f t="shared" si="22"/>
        <v>2501717991</v>
      </c>
      <c r="E114" t="s">
        <v>1536</v>
      </c>
      <c r="F114" t="str">
        <f t="shared" si="19"/>
        <v>400426</v>
      </c>
      <c r="G114" t="s">
        <v>34</v>
      </c>
      <c r="H114" t="s">
        <v>1344</v>
      </c>
      <c r="I114" t="s">
        <v>37</v>
      </c>
      <c r="J114">
        <v>24</v>
      </c>
      <c r="K114">
        <v>216</v>
      </c>
      <c r="L114" t="str">
        <f t="shared" si="20"/>
        <v>521152</v>
      </c>
      <c r="M114" t="s">
        <v>1680</v>
      </c>
      <c r="N114" t="s">
        <v>1681</v>
      </c>
      <c r="O114" s="2">
        <v>46236.788854166669</v>
      </c>
      <c r="P114" s="2">
        <v>46236.788854166669</v>
      </c>
      <c r="Q114" s="2">
        <v>46236.788854166669</v>
      </c>
      <c r="R114" t="str">
        <f t="shared" ref="R114:R122" si="23">"153000400"</f>
        <v>153000400</v>
      </c>
      <c r="S114" s="1">
        <v>48015</v>
      </c>
    </row>
    <row r="115" spans="1:19" x14ac:dyDescent="0.35">
      <c r="A115" t="s">
        <v>30</v>
      </c>
      <c r="B115" t="s">
        <v>31</v>
      </c>
      <c r="C115" t="s">
        <v>1682</v>
      </c>
      <c r="D115" t="str">
        <f t="shared" si="22"/>
        <v>2501717991</v>
      </c>
      <c r="E115" t="s">
        <v>1536</v>
      </c>
      <c r="F115" t="str">
        <f t="shared" si="19"/>
        <v>400426</v>
      </c>
      <c r="G115" t="s">
        <v>34</v>
      </c>
      <c r="H115" t="s">
        <v>1342</v>
      </c>
      <c r="I115" t="s">
        <v>37</v>
      </c>
      <c r="J115">
        <v>24</v>
      </c>
      <c r="K115">
        <v>216</v>
      </c>
      <c r="L115" t="str">
        <f t="shared" si="20"/>
        <v>521152</v>
      </c>
      <c r="M115" t="s">
        <v>1680</v>
      </c>
      <c r="N115" t="s">
        <v>1681</v>
      </c>
      <c r="O115" s="2">
        <v>46236.787789351853</v>
      </c>
      <c r="P115" s="2">
        <v>46236.787789351853</v>
      </c>
      <c r="Q115" s="2">
        <v>46236.787789351853</v>
      </c>
      <c r="R115" t="str">
        <f t="shared" si="23"/>
        <v>153000400</v>
      </c>
      <c r="S115" s="1">
        <v>48015</v>
      </c>
    </row>
    <row r="116" spans="1:19" x14ac:dyDescent="0.35">
      <c r="A116" t="s">
        <v>30</v>
      </c>
      <c r="B116" t="s">
        <v>31</v>
      </c>
      <c r="C116" t="s">
        <v>1682</v>
      </c>
      <c r="D116" t="str">
        <f t="shared" si="22"/>
        <v>2501717991</v>
      </c>
      <c r="E116" t="s">
        <v>1536</v>
      </c>
      <c r="F116" t="str">
        <f t="shared" si="19"/>
        <v>400426</v>
      </c>
      <c r="G116" t="s">
        <v>34</v>
      </c>
      <c r="H116" t="s">
        <v>1340</v>
      </c>
      <c r="I116" t="s">
        <v>37</v>
      </c>
      <c r="J116">
        <v>24</v>
      </c>
      <c r="K116">
        <v>216</v>
      </c>
      <c r="L116" t="str">
        <f t="shared" si="20"/>
        <v>521152</v>
      </c>
      <c r="M116" t="s">
        <v>1680</v>
      </c>
      <c r="N116" t="s">
        <v>1681</v>
      </c>
      <c r="O116" s="2">
        <v>46236.786840277775</v>
      </c>
      <c r="P116" s="2">
        <v>46236.786840277775</v>
      </c>
      <c r="Q116" s="2">
        <v>46236.786840277775</v>
      </c>
      <c r="R116" t="str">
        <f t="shared" si="23"/>
        <v>153000400</v>
      </c>
      <c r="S116" s="1">
        <v>48015</v>
      </c>
    </row>
    <row r="117" spans="1:19" x14ac:dyDescent="0.35">
      <c r="A117" t="s">
        <v>30</v>
      </c>
      <c r="B117" t="s">
        <v>31</v>
      </c>
      <c r="C117" t="s">
        <v>1682</v>
      </c>
      <c r="D117" t="str">
        <f t="shared" si="22"/>
        <v>2501717991</v>
      </c>
      <c r="E117" t="s">
        <v>1536</v>
      </c>
      <c r="F117" t="str">
        <f t="shared" si="19"/>
        <v>400426</v>
      </c>
      <c r="G117" t="s">
        <v>34</v>
      </c>
      <c r="H117" t="s">
        <v>1338</v>
      </c>
      <c r="I117" t="s">
        <v>37</v>
      </c>
      <c r="J117">
        <v>24</v>
      </c>
      <c r="K117">
        <v>216</v>
      </c>
      <c r="L117" t="str">
        <f t="shared" si="20"/>
        <v>521152</v>
      </c>
      <c r="M117" t="s">
        <v>1680</v>
      </c>
      <c r="N117" t="s">
        <v>1681</v>
      </c>
      <c r="O117" s="2">
        <v>46236.785856481481</v>
      </c>
      <c r="P117" s="2">
        <v>46236.785856481481</v>
      </c>
      <c r="Q117" s="2">
        <v>46236.785856481481</v>
      </c>
      <c r="R117" t="str">
        <f t="shared" si="23"/>
        <v>153000400</v>
      </c>
      <c r="S117" s="1">
        <v>48015</v>
      </c>
    </row>
    <row r="118" spans="1:19" x14ac:dyDescent="0.35">
      <c r="A118" t="s">
        <v>30</v>
      </c>
      <c r="B118" t="s">
        <v>31</v>
      </c>
      <c r="C118" t="s">
        <v>1682</v>
      </c>
      <c r="D118" t="str">
        <f t="shared" si="22"/>
        <v>2501717991</v>
      </c>
      <c r="E118" t="s">
        <v>1536</v>
      </c>
      <c r="F118" t="str">
        <f t="shared" si="19"/>
        <v>400426</v>
      </c>
      <c r="G118" t="s">
        <v>34</v>
      </c>
      <c r="H118" t="s">
        <v>1334</v>
      </c>
      <c r="I118" t="s">
        <v>37</v>
      </c>
      <c r="J118">
        <v>24</v>
      </c>
      <c r="K118">
        <v>216</v>
      </c>
      <c r="L118" t="str">
        <f t="shared" si="20"/>
        <v>521152</v>
      </c>
      <c r="M118" t="s">
        <v>1680</v>
      </c>
      <c r="N118" t="s">
        <v>1681</v>
      </c>
      <c r="O118" s="2">
        <v>46236.785173611112</v>
      </c>
      <c r="P118" s="2">
        <v>46236.785173611112</v>
      </c>
      <c r="Q118" s="2">
        <v>46236.785173611112</v>
      </c>
      <c r="R118" t="str">
        <f t="shared" si="23"/>
        <v>153000400</v>
      </c>
      <c r="S118" s="1">
        <v>48015</v>
      </c>
    </row>
    <row r="119" spans="1:19" x14ac:dyDescent="0.35">
      <c r="A119" t="s">
        <v>30</v>
      </c>
      <c r="B119" t="s">
        <v>31</v>
      </c>
      <c r="C119" t="s">
        <v>1682</v>
      </c>
      <c r="D119" t="str">
        <f t="shared" si="22"/>
        <v>2501717991</v>
      </c>
      <c r="E119" t="s">
        <v>1536</v>
      </c>
      <c r="F119" t="str">
        <f t="shared" si="19"/>
        <v>400426</v>
      </c>
      <c r="G119" t="s">
        <v>34</v>
      </c>
      <c r="H119" t="s">
        <v>1332</v>
      </c>
      <c r="I119" t="s">
        <v>37</v>
      </c>
      <c r="J119">
        <v>24</v>
      </c>
      <c r="K119">
        <v>216</v>
      </c>
      <c r="L119" t="str">
        <f t="shared" si="20"/>
        <v>521152</v>
      </c>
      <c r="M119" t="s">
        <v>1680</v>
      </c>
      <c r="N119" t="s">
        <v>1681</v>
      </c>
      <c r="O119" s="2">
        <v>46236.784421296295</v>
      </c>
      <c r="P119" s="2">
        <v>46236.784432870372</v>
      </c>
      <c r="Q119" s="2">
        <v>46236.784432870372</v>
      </c>
      <c r="R119" t="str">
        <f t="shared" si="23"/>
        <v>153000400</v>
      </c>
      <c r="S119" s="1">
        <v>48015</v>
      </c>
    </row>
    <row r="120" spans="1:19" x14ac:dyDescent="0.35">
      <c r="A120" t="s">
        <v>30</v>
      </c>
      <c r="B120" t="s">
        <v>31</v>
      </c>
      <c r="C120" t="s">
        <v>1682</v>
      </c>
      <c r="D120" t="str">
        <f t="shared" si="22"/>
        <v>2501717991</v>
      </c>
      <c r="E120" t="s">
        <v>1536</v>
      </c>
      <c r="F120" t="str">
        <f t="shared" si="19"/>
        <v>400426</v>
      </c>
      <c r="G120" t="s">
        <v>34</v>
      </c>
      <c r="H120" t="s">
        <v>1328</v>
      </c>
      <c r="I120" t="s">
        <v>37</v>
      </c>
      <c r="J120">
        <v>24</v>
      </c>
      <c r="K120">
        <v>216</v>
      </c>
      <c r="L120" t="str">
        <f t="shared" si="20"/>
        <v>521152</v>
      </c>
      <c r="M120" t="s">
        <v>1680</v>
      </c>
      <c r="N120" t="s">
        <v>1681</v>
      </c>
      <c r="O120" s="2">
        <v>46236.783564814818</v>
      </c>
      <c r="P120" s="2">
        <v>46236.783564814818</v>
      </c>
      <c r="Q120" s="2">
        <v>46236.783564814818</v>
      </c>
      <c r="R120" t="str">
        <f t="shared" si="23"/>
        <v>153000400</v>
      </c>
      <c r="S120" s="1">
        <v>48015</v>
      </c>
    </row>
    <row r="121" spans="1:19" x14ac:dyDescent="0.35">
      <c r="A121" t="s">
        <v>30</v>
      </c>
      <c r="B121" t="s">
        <v>31</v>
      </c>
      <c r="C121" t="s">
        <v>1682</v>
      </c>
      <c r="D121" t="str">
        <f t="shared" si="22"/>
        <v>2501717991</v>
      </c>
      <c r="E121" t="s">
        <v>1536</v>
      </c>
      <c r="F121" t="str">
        <f t="shared" si="19"/>
        <v>400426</v>
      </c>
      <c r="G121" t="s">
        <v>34</v>
      </c>
      <c r="H121" t="s">
        <v>1324</v>
      </c>
      <c r="I121" t="s">
        <v>37</v>
      </c>
      <c r="J121">
        <v>24</v>
      </c>
      <c r="K121">
        <v>216</v>
      </c>
      <c r="L121" t="str">
        <f t="shared" si="20"/>
        <v>521152</v>
      </c>
      <c r="M121" t="s">
        <v>1680</v>
      </c>
      <c r="N121" t="s">
        <v>1681</v>
      </c>
      <c r="O121" s="2">
        <v>46236.782789351855</v>
      </c>
      <c r="P121" s="2">
        <v>46236.782789351855</v>
      </c>
      <c r="Q121" s="2">
        <v>46236.782789351855</v>
      </c>
      <c r="R121" t="str">
        <f t="shared" si="23"/>
        <v>153000400</v>
      </c>
      <c r="S121" s="1">
        <v>48015</v>
      </c>
    </row>
    <row r="122" spans="1:19" x14ac:dyDescent="0.35">
      <c r="A122" t="s">
        <v>30</v>
      </c>
      <c r="B122" t="s">
        <v>31</v>
      </c>
      <c r="C122" t="s">
        <v>1682</v>
      </c>
      <c r="D122" t="str">
        <f t="shared" si="22"/>
        <v>2501717991</v>
      </c>
      <c r="E122" t="s">
        <v>1536</v>
      </c>
      <c r="F122" t="str">
        <f t="shared" si="19"/>
        <v>400426</v>
      </c>
      <c r="G122" t="s">
        <v>34</v>
      </c>
      <c r="H122" t="s">
        <v>1348</v>
      </c>
      <c r="I122" t="s">
        <v>37</v>
      </c>
      <c r="J122">
        <v>24</v>
      </c>
      <c r="K122">
        <v>216</v>
      </c>
      <c r="L122" t="str">
        <f t="shared" si="20"/>
        <v>521152</v>
      </c>
      <c r="M122" t="s">
        <v>1680</v>
      </c>
      <c r="N122" t="s">
        <v>1681</v>
      </c>
      <c r="O122" s="2">
        <v>46236.782106481478</v>
      </c>
      <c r="P122" s="2">
        <v>46236.782106481478</v>
      </c>
      <c r="Q122" s="2">
        <v>46236.782106481478</v>
      </c>
      <c r="R122" t="str">
        <f t="shared" si="23"/>
        <v>153000400</v>
      </c>
      <c r="S122" s="1">
        <v>48015</v>
      </c>
    </row>
    <row r="123" spans="1:19" x14ac:dyDescent="0.35">
      <c r="A123" t="s">
        <v>30</v>
      </c>
      <c r="B123" t="s">
        <v>31</v>
      </c>
      <c r="C123" t="s">
        <v>1682</v>
      </c>
      <c r="D123" t="str">
        <f t="shared" si="22"/>
        <v>2501717991</v>
      </c>
      <c r="E123" t="s">
        <v>1536</v>
      </c>
      <c r="F123" t="str">
        <f t="shared" si="19"/>
        <v>400426</v>
      </c>
      <c r="G123" t="s">
        <v>34</v>
      </c>
      <c r="H123" t="s">
        <v>1366</v>
      </c>
      <c r="I123" t="s">
        <v>37</v>
      </c>
      <c r="J123">
        <v>24</v>
      </c>
      <c r="K123">
        <v>120</v>
      </c>
      <c r="L123" t="str">
        <f t="shared" si="20"/>
        <v>521152</v>
      </c>
      <c r="M123" t="s">
        <v>1680</v>
      </c>
      <c r="N123" t="s">
        <v>1681</v>
      </c>
      <c r="O123" s="2">
        <v>46236.781423611108</v>
      </c>
      <c r="P123" s="2">
        <v>46236.781423611108</v>
      </c>
      <c r="Q123" s="2">
        <v>46236.781423611108</v>
      </c>
      <c r="R123" t="str">
        <f>"153000263"</f>
        <v>153000263</v>
      </c>
      <c r="S123" s="1">
        <v>47963</v>
      </c>
    </row>
    <row r="124" spans="1:19" x14ac:dyDescent="0.35">
      <c r="A124" t="s">
        <v>30</v>
      </c>
      <c r="B124" t="s">
        <v>31</v>
      </c>
      <c r="C124" t="s">
        <v>1682</v>
      </c>
      <c r="D124" t="str">
        <f t="shared" si="22"/>
        <v>2501717991</v>
      </c>
      <c r="E124" t="s">
        <v>1536</v>
      </c>
      <c r="F124" t="str">
        <f t="shared" si="19"/>
        <v>400426</v>
      </c>
      <c r="G124" t="s">
        <v>34</v>
      </c>
      <c r="H124" t="s">
        <v>1173</v>
      </c>
      <c r="I124" t="s">
        <v>37</v>
      </c>
      <c r="J124">
        <v>24</v>
      </c>
      <c r="K124">
        <v>120</v>
      </c>
      <c r="L124" t="str">
        <f t="shared" si="20"/>
        <v>521152</v>
      </c>
      <c r="M124" t="s">
        <v>1680</v>
      </c>
      <c r="N124" t="s">
        <v>1681</v>
      </c>
      <c r="O124" s="2">
        <v>46236.780729166669</v>
      </c>
      <c r="P124" s="2">
        <v>46236.780729166669</v>
      </c>
      <c r="Q124" s="2">
        <v>46236.780729166669</v>
      </c>
      <c r="R124" t="str">
        <f>"153000263"</f>
        <v>153000263</v>
      </c>
      <c r="S124" s="1">
        <v>47963</v>
      </c>
    </row>
    <row r="125" spans="1:19" x14ac:dyDescent="0.35">
      <c r="A125" t="s">
        <v>30</v>
      </c>
      <c r="B125" t="s">
        <v>31</v>
      </c>
      <c r="C125" t="s">
        <v>1682</v>
      </c>
      <c r="D125" t="str">
        <f t="shared" si="22"/>
        <v>2501717991</v>
      </c>
      <c r="E125" t="s">
        <v>1536</v>
      </c>
      <c r="F125" t="str">
        <f t="shared" si="19"/>
        <v>400426</v>
      </c>
      <c r="G125" t="s">
        <v>34</v>
      </c>
      <c r="H125" t="s">
        <v>1254</v>
      </c>
      <c r="I125" t="s">
        <v>37</v>
      </c>
      <c r="J125">
        <v>24</v>
      </c>
      <c r="K125">
        <v>120</v>
      </c>
      <c r="L125" t="str">
        <f t="shared" si="20"/>
        <v>521152</v>
      </c>
      <c r="M125" t="s">
        <v>1680</v>
      </c>
      <c r="N125" t="s">
        <v>1681</v>
      </c>
      <c r="O125" s="2">
        <v>46236.779074074075</v>
      </c>
      <c r="P125" s="2">
        <v>46236.779074074075</v>
      </c>
      <c r="Q125" s="2">
        <v>46236.779074074075</v>
      </c>
      <c r="R125" t="str">
        <f>"153000263"</f>
        <v>153000263</v>
      </c>
      <c r="S125" s="1">
        <v>47963</v>
      </c>
    </row>
    <row r="126" spans="1:19" x14ac:dyDescent="0.35">
      <c r="A126" t="s">
        <v>30</v>
      </c>
      <c r="B126" t="s">
        <v>31</v>
      </c>
      <c r="C126" t="s">
        <v>1682</v>
      </c>
      <c r="D126" t="str">
        <f t="shared" si="22"/>
        <v>2501717991</v>
      </c>
      <c r="E126" t="s">
        <v>1536</v>
      </c>
      <c r="F126" t="str">
        <f t="shared" si="19"/>
        <v>400426</v>
      </c>
      <c r="G126" t="s">
        <v>34</v>
      </c>
      <c r="H126" t="s">
        <v>1252</v>
      </c>
      <c r="I126" t="s">
        <v>37</v>
      </c>
      <c r="J126">
        <v>24</v>
      </c>
      <c r="K126">
        <v>120</v>
      </c>
      <c r="L126" t="str">
        <f t="shared" si="20"/>
        <v>521152</v>
      </c>
      <c r="M126" t="s">
        <v>1680</v>
      </c>
      <c r="N126" t="s">
        <v>1681</v>
      </c>
      <c r="O126" s="2">
        <v>46236.777673611112</v>
      </c>
      <c r="P126" s="2">
        <v>46236.777673611112</v>
      </c>
      <c r="Q126" s="2">
        <v>46236.777673611112</v>
      </c>
      <c r="R126" t="str">
        <f>"153000263"</f>
        <v>153000263</v>
      </c>
      <c r="S126" s="1">
        <v>47963</v>
      </c>
    </row>
    <row r="127" spans="1:19" x14ac:dyDescent="0.35">
      <c r="A127" t="s">
        <v>30</v>
      </c>
      <c r="B127" t="s">
        <v>31</v>
      </c>
      <c r="C127" t="s">
        <v>1682</v>
      </c>
      <c r="D127" t="str">
        <f t="shared" si="22"/>
        <v>2501717991</v>
      </c>
      <c r="E127" t="s">
        <v>1536</v>
      </c>
      <c r="F127" t="str">
        <f t="shared" si="19"/>
        <v>400426</v>
      </c>
      <c r="G127" t="s">
        <v>34</v>
      </c>
      <c r="H127" t="s">
        <v>1250</v>
      </c>
      <c r="I127" t="s">
        <v>37</v>
      </c>
      <c r="J127">
        <v>24</v>
      </c>
      <c r="K127">
        <v>120</v>
      </c>
      <c r="L127" t="str">
        <f t="shared" si="20"/>
        <v>521152</v>
      </c>
      <c r="M127" t="s">
        <v>1680</v>
      </c>
      <c r="N127" t="s">
        <v>1681</v>
      </c>
      <c r="O127" s="2">
        <v>46236.77721064815</v>
      </c>
      <c r="P127" s="2">
        <v>46236.77721064815</v>
      </c>
      <c r="Q127" s="2">
        <v>46236.77721064815</v>
      </c>
      <c r="R127" t="str">
        <f>"153000263"</f>
        <v>153000263</v>
      </c>
      <c r="S127" s="1">
        <v>47963</v>
      </c>
    </row>
    <row r="128" spans="1:19" x14ac:dyDescent="0.35">
      <c r="A128" t="s">
        <v>30</v>
      </c>
      <c r="B128" t="s">
        <v>31</v>
      </c>
      <c r="C128" t="s">
        <v>1682</v>
      </c>
      <c r="D128" t="str">
        <f t="shared" si="22"/>
        <v>2501717991</v>
      </c>
      <c r="E128" t="s">
        <v>1536</v>
      </c>
      <c r="F128" t="str">
        <f t="shared" si="19"/>
        <v>400426</v>
      </c>
      <c r="G128" t="s">
        <v>34</v>
      </c>
      <c r="H128" t="s">
        <v>1216</v>
      </c>
      <c r="I128" t="s">
        <v>37</v>
      </c>
      <c r="J128">
        <v>24</v>
      </c>
      <c r="K128">
        <v>194</v>
      </c>
      <c r="L128" t="str">
        <f t="shared" si="20"/>
        <v>521152</v>
      </c>
      <c r="M128" t="s">
        <v>1680</v>
      </c>
      <c r="N128" t="s">
        <v>1681</v>
      </c>
      <c r="O128" s="2">
        <v>46236.774201388886</v>
      </c>
      <c r="P128" s="2">
        <v>46236.774201388886</v>
      </c>
      <c r="Q128" s="2">
        <v>46236.774201388886</v>
      </c>
      <c r="R128" t="str">
        <f t="shared" ref="R128:R136" si="24">"153000233"</f>
        <v>153000233</v>
      </c>
      <c r="S128" s="1">
        <v>47945</v>
      </c>
    </row>
    <row r="129" spans="1:19" x14ac:dyDescent="0.35">
      <c r="A129" t="s">
        <v>30</v>
      </c>
      <c r="B129" t="s">
        <v>31</v>
      </c>
      <c r="C129" t="s">
        <v>1682</v>
      </c>
      <c r="D129" t="str">
        <f t="shared" si="22"/>
        <v>2501717991</v>
      </c>
      <c r="E129" t="s">
        <v>1536</v>
      </c>
      <c r="F129" t="str">
        <f t="shared" si="19"/>
        <v>400426</v>
      </c>
      <c r="G129" t="s">
        <v>34</v>
      </c>
      <c r="H129" t="s">
        <v>1683</v>
      </c>
      <c r="I129" t="s">
        <v>37</v>
      </c>
      <c r="J129">
        <v>24</v>
      </c>
      <c r="K129">
        <v>194</v>
      </c>
      <c r="L129" t="str">
        <f t="shared" si="20"/>
        <v>521152</v>
      </c>
      <c r="M129" t="s">
        <v>1680</v>
      </c>
      <c r="N129" t="s">
        <v>1681</v>
      </c>
      <c r="O129" s="2">
        <v>46236.773495370369</v>
      </c>
      <c r="P129" s="2">
        <v>46236.773495370369</v>
      </c>
      <c r="Q129" s="2">
        <v>46236.773495370369</v>
      </c>
      <c r="R129" t="str">
        <f t="shared" si="24"/>
        <v>153000233</v>
      </c>
      <c r="S129" s="1">
        <v>47945</v>
      </c>
    </row>
    <row r="130" spans="1:19" x14ac:dyDescent="0.35">
      <c r="A130" t="s">
        <v>30</v>
      </c>
      <c r="B130" t="s">
        <v>31</v>
      </c>
      <c r="C130" t="s">
        <v>1682</v>
      </c>
      <c r="D130" t="str">
        <f t="shared" si="22"/>
        <v>2501717991</v>
      </c>
      <c r="E130" t="s">
        <v>1536</v>
      </c>
      <c r="F130" t="str">
        <f t="shared" si="19"/>
        <v>400426</v>
      </c>
      <c r="G130" t="s">
        <v>34</v>
      </c>
      <c r="H130" t="s">
        <v>1313</v>
      </c>
      <c r="I130" t="s">
        <v>37</v>
      </c>
      <c r="J130">
        <v>24</v>
      </c>
      <c r="K130">
        <v>194</v>
      </c>
      <c r="L130" t="str">
        <f t="shared" si="20"/>
        <v>521152</v>
      </c>
      <c r="M130" t="s">
        <v>1680</v>
      </c>
      <c r="N130" t="s">
        <v>1681</v>
      </c>
      <c r="O130" s="2">
        <v>46236.772106481483</v>
      </c>
      <c r="P130" s="2">
        <v>46236.772106481483</v>
      </c>
      <c r="Q130" s="2">
        <v>46236.772106481483</v>
      </c>
      <c r="R130" t="str">
        <f t="shared" si="24"/>
        <v>153000233</v>
      </c>
      <c r="S130" s="1">
        <v>47945</v>
      </c>
    </row>
    <row r="131" spans="1:19" x14ac:dyDescent="0.35">
      <c r="A131" t="s">
        <v>30</v>
      </c>
      <c r="B131" t="s">
        <v>31</v>
      </c>
      <c r="C131" t="s">
        <v>1682</v>
      </c>
      <c r="D131" t="str">
        <f t="shared" si="22"/>
        <v>2501717991</v>
      </c>
      <c r="E131" t="s">
        <v>1536</v>
      </c>
      <c r="F131" t="str">
        <f t="shared" si="19"/>
        <v>400426</v>
      </c>
      <c r="G131" t="s">
        <v>34</v>
      </c>
      <c r="H131" t="s">
        <v>1311</v>
      </c>
      <c r="I131" t="s">
        <v>37</v>
      </c>
      <c r="J131">
        <v>24</v>
      </c>
      <c r="K131">
        <v>194</v>
      </c>
      <c r="L131" t="str">
        <f t="shared" si="20"/>
        <v>521152</v>
      </c>
      <c r="M131" t="s">
        <v>1680</v>
      </c>
      <c r="N131" t="s">
        <v>1681</v>
      </c>
      <c r="O131" s="2">
        <v>46236.771331018521</v>
      </c>
      <c r="P131" s="2">
        <v>46236.771331018521</v>
      </c>
      <c r="Q131" s="2">
        <v>46236.771331018521</v>
      </c>
      <c r="R131" t="str">
        <f t="shared" si="24"/>
        <v>153000233</v>
      </c>
      <c r="S131" s="1">
        <v>47945</v>
      </c>
    </row>
    <row r="132" spans="1:19" x14ac:dyDescent="0.35">
      <c r="A132" t="s">
        <v>30</v>
      </c>
      <c r="B132" t="s">
        <v>31</v>
      </c>
      <c r="C132" t="s">
        <v>1682</v>
      </c>
      <c r="D132" t="str">
        <f t="shared" si="22"/>
        <v>2501717991</v>
      </c>
      <c r="E132" t="s">
        <v>1536</v>
      </c>
      <c r="F132" t="str">
        <f t="shared" si="19"/>
        <v>400426</v>
      </c>
      <c r="G132" t="s">
        <v>34</v>
      </c>
      <c r="H132" t="s">
        <v>1317</v>
      </c>
      <c r="I132" t="s">
        <v>37</v>
      </c>
      <c r="J132">
        <v>24</v>
      </c>
      <c r="K132">
        <v>194</v>
      </c>
      <c r="L132" t="str">
        <f t="shared" si="20"/>
        <v>521152</v>
      </c>
      <c r="M132" t="s">
        <v>1680</v>
      </c>
      <c r="N132" t="s">
        <v>1681</v>
      </c>
      <c r="O132" s="2">
        <v>46236.770833333336</v>
      </c>
      <c r="P132" s="2">
        <v>46236.770833333336</v>
      </c>
      <c r="Q132" s="2">
        <v>46236.770833333336</v>
      </c>
      <c r="R132" t="str">
        <f t="shared" si="24"/>
        <v>153000233</v>
      </c>
      <c r="S132" s="1">
        <v>47945</v>
      </c>
    </row>
    <row r="133" spans="1:19" x14ac:dyDescent="0.35">
      <c r="A133" t="s">
        <v>30</v>
      </c>
      <c r="B133" t="s">
        <v>31</v>
      </c>
      <c r="C133" t="s">
        <v>1682</v>
      </c>
      <c r="D133" t="str">
        <f t="shared" si="22"/>
        <v>2501717991</v>
      </c>
      <c r="E133" t="s">
        <v>1536</v>
      </c>
      <c r="F133" t="str">
        <f t="shared" si="19"/>
        <v>400426</v>
      </c>
      <c r="G133" t="s">
        <v>34</v>
      </c>
      <c r="H133" t="s">
        <v>1309</v>
      </c>
      <c r="I133" t="s">
        <v>37</v>
      </c>
      <c r="J133">
        <v>24</v>
      </c>
      <c r="K133">
        <v>194</v>
      </c>
      <c r="L133" t="str">
        <f t="shared" si="20"/>
        <v>521152</v>
      </c>
      <c r="M133" t="s">
        <v>1680</v>
      </c>
      <c r="N133" t="s">
        <v>1681</v>
      </c>
      <c r="O133" s="2">
        <v>46236.769756944443</v>
      </c>
      <c r="P133" s="2">
        <v>46236.769756944443</v>
      </c>
      <c r="Q133" s="2">
        <v>46236.769756944443</v>
      </c>
      <c r="R133" t="str">
        <f t="shared" si="24"/>
        <v>153000233</v>
      </c>
      <c r="S133" s="1">
        <v>47945</v>
      </c>
    </row>
    <row r="134" spans="1:19" x14ac:dyDescent="0.35">
      <c r="A134" t="s">
        <v>30</v>
      </c>
      <c r="B134" t="s">
        <v>31</v>
      </c>
      <c r="C134" t="s">
        <v>1682</v>
      </c>
      <c r="D134" t="str">
        <f t="shared" si="22"/>
        <v>2501717991</v>
      </c>
      <c r="E134" t="s">
        <v>1536</v>
      </c>
      <c r="F134" t="str">
        <f t="shared" si="19"/>
        <v>400426</v>
      </c>
      <c r="G134" t="s">
        <v>34</v>
      </c>
      <c r="H134" t="s">
        <v>1307</v>
      </c>
      <c r="I134" t="s">
        <v>37</v>
      </c>
      <c r="J134">
        <v>24</v>
      </c>
      <c r="K134">
        <v>194</v>
      </c>
      <c r="L134" t="str">
        <f t="shared" si="20"/>
        <v>521152</v>
      </c>
      <c r="M134" t="s">
        <v>1680</v>
      </c>
      <c r="N134" t="s">
        <v>1681</v>
      </c>
      <c r="O134" s="2">
        <v>46236.767743055556</v>
      </c>
      <c r="P134" s="2">
        <v>46236.767743055556</v>
      </c>
      <c r="Q134" s="2">
        <v>46236.767743055556</v>
      </c>
      <c r="R134" t="str">
        <f t="shared" si="24"/>
        <v>153000233</v>
      </c>
      <c r="S134" s="1">
        <v>47945</v>
      </c>
    </row>
    <row r="135" spans="1:19" x14ac:dyDescent="0.35">
      <c r="A135" t="s">
        <v>30</v>
      </c>
      <c r="B135" t="s">
        <v>31</v>
      </c>
      <c r="C135" t="s">
        <v>1682</v>
      </c>
      <c r="D135" t="str">
        <f t="shared" si="22"/>
        <v>2501717991</v>
      </c>
      <c r="E135" t="s">
        <v>1536</v>
      </c>
      <c r="F135" t="str">
        <f t="shared" si="19"/>
        <v>400426</v>
      </c>
      <c r="G135" t="s">
        <v>34</v>
      </c>
      <c r="H135" t="s">
        <v>1238</v>
      </c>
      <c r="I135" t="s">
        <v>37</v>
      </c>
      <c r="J135">
        <v>24</v>
      </c>
      <c r="K135">
        <v>194</v>
      </c>
      <c r="L135" t="str">
        <f t="shared" si="20"/>
        <v>521152</v>
      </c>
      <c r="M135" t="s">
        <v>1680</v>
      </c>
      <c r="N135" t="s">
        <v>1681</v>
      </c>
      <c r="O135" s="2">
        <v>46236.7658912037</v>
      </c>
      <c r="P135" s="2">
        <v>46236.7658912037</v>
      </c>
      <c r="Q135" s="2">
        <v>46236.7658912037</v>
      </c>
      <c r="R135" t="str">
        <f t="shared" si="24"/>
        <v>153000233</v>
      </c>
      <c r="S135" s="1">
        <v>47945</v>
      </c>
    </row>
    <row r="136" spans="1:19" x14ac:dyDescent="0.35">
      <c r="A136" t="s">
        <v>30</v>
      </c>
      <c r="B136" t="s">
        <v>31</v>
      </c>
      <c r="C136" t="s">
        <v>1682</v>
      </c>
      <c r="D136" t="str">
        <f t="shared" si="22"/>
        <v>2501717991</v>
      </c>
      <c r="E136" t="s">
        <v>1536</v>
      </c>
      <c r="F136" t="str">
        <f t="shared" si="19"/>
        <v>400426</v>
      </c>
      <c r="G136" t="s">
        <v>34</v>
      </c>
      <c r="H136" t="s">
        <v>1236</v>
      </c>
      <c r="I136" t="s">
        <v>37</v>
      </c>
      <c r="J136">
        <v>2</v>
      </c>
      <c r="K136">
        <v>194</v>
      </c>
      <c r="L136" t="str">
        <f t="shared" si="20"/>
        <v>521152</v>
      </c>
      <c r="M136" t="s">
        <v>1680</v>
      </c>
      <c r="N136" t="s">
        <v>1681</v>
      </c>
      <c r="O136" s="2">
        <v>46236.792581018519</v>
      </c>
      <c r="P136" s="2">
        <v>46236.792581018519</v>
      </c>
      <c r="Q136" s="2">
        <v>46236.792581018519</v>
      </c>
      <c r="R136" t="str">
        <f t="shared" si="24"/>
        <v>153000233</v>
      </c>
      <c r="S136" s="1">
        <v>47945</v>
      </c>
    </row>
    <row r="137" spans="1:19" x14ac:dyDescent="0.35">
      <c r="A137" t="s">
        <v>30</v>
      </c>
      <c r="B137" t="s">
        <v>31</v>
      </c>
      <c r="C137" t="s">
        <v>1684</v>
      </c>
      <c r="D137" t="str">
        <f t="shared" ref="D137:D161" si="25">"2501717990"</f>
        <v>2501717990</v>
      </c>
      <c r="E137" t="s">
        <v>1536</v>
      </c>
      <c r="F137" t="str">
        <f t="shared" ref="F137:F158" si="26">"400413"</f>
        <v>400413</v>
      </c>
      <c r="G137" t="s">
        <v>1545</v>
      </c>
      <c r="H137" t="s">
        <v>1378</v>
      </c>
      <c r="I137" t="s">
        <v>37</v>
      </c>
      <c r="J137">
        <v>23</v>
      </c>
      <c r="K137">
        <v>314</v>
      </c>
      <c r="L137" t="str">
        <f t="shared" si="20"/>
        <v>521152</v>
      </c>
      <c r="M137" t="s">
        <v>1680</v>
      </c>
      <c r="N137" t="s">
        <v>1681</v>
      </c>
      <c r="O137" s="2">
        <v>46236.881898148145</v>
      </c>
      <c r="P137" s="2">
        <v>46236.881898148145</v>
      </c>
      <c r="Q137" s="2">
        <v>46236.881898148145</v>
      </c>
      <c r="R137" t="str">
        <f>"153000384"</f>
        <v>153000384</v>
      </c>
      <c r="S137" s="1">
        <v>48011</v>
      </c>
    </row>
    <row r="138" spans="1:19" x14ac:dyDescent="0.35">
      <c r="A138" t="s">
        <v>30</v>
      </c>
      <c r="B138" t="s">
        <v>31</v>
      </c>
      <c r="C138" t="s">
        <v>1684</v>
      </c>
      <c r="D138" t="str">
        <f t="shared" si="25"/>
        <v>2501717990</v>
      </c>
      <c r="E138" t="s">
        <v>1536</v>
      </c>
      <c r="F138" t="str">
        <f t="shared" si="26"/>
        <v>400413</v>
      </c>
      <c r="G138" t="s">
        <v>1545</v>
      </c>
      <c r="H138" t="s">
        <v>1212</v>
      </c>
      <c r="I138" t="s">
        <v>37</v>
      </c>
      <c r="J138">
        <v>24</v>
      </c>
      <c r="K138">
        <v>186</v>
      </c>
      <c r="L138" t="str">
        <f t="shared" si="20"/>
        <v>521152</v>
      </c>
      <c r="M138" t="s">
        <v>1680</v>
      </c>
      <c r="N138" t="s">
        <v>1681</v>
      </c>
      <c r="O138" s="2">
        <v>46236.88144675926</v>
      </c>
      <c r="P138" s="2">
        <v>46236.88144675926</v>
      </c>
      <c r="Q138" s="2">
        <v>46236.88144675926</v>
      </c>
      <c r="R138" t="str">
        <f>"153000382"</f>
        <v>153000382</v>
      </c>
      <c r="S138" s="1">
        <v>48011</v>
      </c>
    </row>
    <row r="139" spans="1:19" x14ac:dyDescent="0.35">
      <c r="A139" t="s">
        <v>30</v>
      </c>
      <c r="B139" t="s">
        <v>31</v>
      </c>
      <c r="C139" t="s">
        <v>1684</v>
      </c>
      <c r="D139" t="str">
        <f t="shared" si="25"/>
        <v>2501717990</v>
      </c>
      <c r="E139" t="s">
        <v>1536</v>
      </c>
      <c r="F139" t="str">
        <f t="shared" si="26"/>
        <v>400413</v>
      </c>
      <c r="G139" t="s">
        <v>1545</v>
      </c>
      <c r="H139" t="s">
        <v>1210</v>
      </c>
      <c r="I139" t="s">
        <v>37</v>
      </c>
      <c r="J139">
        <v>24</v>
      </c>
      <c r="K139">
        <v>186</v>
      </c>
      <c r="L139" t="str">
        <f t="shared" si="20"/>
        <v>521152</v>
      </c>
      <c r="M139" t="s">
        <v>1680</v>
      </c>
      <c r="N139" t="s">
        <v>1681</v>
      </c>
      <c r="O139" s="2">
        <v>46236.829930555556</v>
      </c>
      <c r="P139" s="2">
        <v>46236.829930555556</v>
      </c>
      <c r="Q139" s="2">
        <v>46236.829930555556</v>
      </c>
      <c r="R139" t="str">
        <f>"153000382"</f>
        <v>153000382</v>
      </c>
      <c r="S139" s="1">
        <v>48011</v>
      </c>
    </row>
    <row r="140" spans="1:19" x14ac:dyDescent="0.35">
      <c r="A140" t="s">
        <v>30</v>
      </c>
      <c r="B140" t="s">
        <v>31</v>
      </c>
      <c r="C140" t="s">
        <v>1684</v>
      </c>
      <c r="D140" t="str">
        <f t="shared" si="25"/>
        <v>2501717990</v>
      </c>
      <c r="E140" t="s">
        <v>1536</v>
      </c>
      <c r="F140" t="str">
        <f t="shared" si="26"/>
        <v>400413</v>
      </c>
      <c r="G140" t="s">
        <v>1545</v>
      </c>
      <c r="H140" t="s">
        <v>1208</v>
      </c>
      <c r="I140" t="s">
        <v>37</v>
      </c>
      <c r="J140">
        <v>24</v>
      </c>
      <c r="K140">
        <v>186</v>
      </c>
      <c r="L140" t="str">
        <f t="shared" si="20"/>
        <v>521152</v>
      </c>
      <c r="M140" t="s">
        <v>1680</v>
      </c>
      <c r="N140" t="s">
        <v>1681</v>
      </c>
      <c r="O140" s="2">
        <v>46236.828576388885</v>
      </c>
      <c r="P140" s="2">
        <v>46236.828576388885</v>
      </c>
      <c r="Q140" s="2">
        <v>46236.828576388885</v>
      </c>
      <c r="R140" t="str">
        <f>"153000382"</f>
        <v>153000382</v>
      </c>
      <c r="S140" s="1">
        <v>48011</v>
      </c>
    </row>
    <row r="141" spans="1:19" x14ac:dyDescent="0.35">
      <c r="A141" t="s">
        <v>30</v>
      </c>
      <c r="B141" t="s">
        <v>31</v>
      </c>
      <c r="C141" t="s">
        <v>1684</v>
      </c>
      <c r="D141" t="str">
        <f t="shared" si="25"/>
        <v>2501717990</v>
      </c>
      <c r="E141" t="s">
        <v>1536</v>
      </c>
      <c r="F141" t="str">
        <f t="shared" si="26"/>
        <v>400413</v>
      </c>
      <c r="G141" t="s">
        <v>1545</v>
      </c>
      <c r="H141" t="s">
        <v>1206</v>
      </c>
      <c r="I141" t="s">
        <v>37</v>
      </c>
      <c r="J141">
        <v>24</v>
      </c>
      <c r="K141">
        <v>186</v>
      </c>
      <c r="L141" t="str">
        <f t="shared" si="20"/>
        <v>521152</v>
      </c>
      <c r="M141" t="s">
        <v>1680</v>
      </c>
      <c r="N141" t="s">
        <v>1681</v>
      </c>
      <c r="O141" s="2">
        <v>46236.827905092592</v>
      </c>
      <c r="P141" s="2">
        <v>46236.827905092592</v>
      </c>
      <c r="Q141" s="2">
        <v>46236.827905092592</v>
      </c>
      <c r="R141" t="str">
        <f>"153000382"</f>
        <v>153000382</v>
      </c>
      <c r="S141" s="1">
        <v>48011</v>
      </c>
    </row>
    <row r="142" spans="1:19" x14ac:dyDescent="0.35">
      <c r="A142" t="s">
        <v>30</v>
      </c>
      <c r="B142" t="s">
        <v>31</v>
      </c>
      <c r="C142" t="s">
        <v>1684</v>
      </c>
      <c r="D142" t="str">
        <f t="shared" si="25"/>
        <v>2501717990</v>
      </c>
      <c r="E142" t="s">
        <v>1536</v>
      </c>
      <c r="F142" t="str">
        <f t="shared" si="26"/>
        <v>400413</v>
      </c>
      <c r="G142" t="s">
        <v>1545</v>
      </c>
      <c r="H142" t="s">
        <v>1302</v>
      </c>
      <c r="I142" t="s">
        <v>37</v>
      </c>
      <c r="J142">
        <v>24</v>
      </c>
      <c r="K142">
        <v>186</v>
      </c>
      <c r="L142" t="str">
        <f t="shared" si="20"/>
        <v>521152</v>
      </c>
      <c r="M142" t="s">
        <v>1680</v>
      </c>
      <c r="N142" t="s">
        <v>1681</v>
      </c>
      <c r="O142" s="2">
        <v>46236.827245370368</v>
      </c>
      <c r="P142" s="2">
        <v>46236.827245370368</v>
      </c>
      <c r="Q142" s="2">
        <v>46236.827245370368</v>
      </c>
      <c r="R142" t="str">
        <f>"153000382"</f>
        <v>153000382</v>
      </c>
      <c r="S142" s="1">
        <v>48011</v>
      </c>
    </row>
    <row r="143" spans="1:19" x14ac:dyDescent="0.35">
      <c r="A143" t="s">
        <v>30</v>
      </c>
      <c r="B143" t="s">
        <v>31</v>
      </c>
      <c r="C143" t="s">
        <v>1684</v>
      </c>
      <c r="D143" t="str">
        <f t="shared" si="25"/>
        <v>2501717990</v>
      </c>
      <c r="E143" t="s">
        <v>1536</v>
      </c>
      <c r="F143" t="str">
        <f t="shared" si="26"/>
        <v>400413</v>
      </c>
      <c r="G143" t="s">
        <v>1545</v>
      </c>
      <c r="H143" t="s">
        <v>1232</v>
      </c>
      <c r="I143" t="s">
        <v>37</v>
      </c>
      <c r="J143">
        <v>24</v>
      </c>
      <c r="K143">
        <v>314</v>
      </c>
      <c r="L143" t="str">
        <f t="shared" si="20"/>
        <v>521152</v>
      </c>
      <c r="M143" t="s">
        <v>1680</v>
      </c>
      <c r="N143" t="s">
        <v>1681</v>
      </c>
      <c r="O143" s="2">
        <v>46236.826539351852</v>
      </c>
      <c r="P143" s="2">
        <v>46236.826539351852</v>
      </c>
      <c r="Q143" s="2">
        <v>46236.826539351852</v>
      </c>
      <c r="R143" t="str">
        <f>"153000384"</f>
        <v>153000384</v>
      </c>
      <c r="S143" s="1">
        <v>48011</v>
      </c>
    </row>
    <row r="144" spans="1:19" x14ac:dyDescent="0.35">
      <c r="A144" t="s">
        <v>30</v>
      </c>
      <c r="B144" t="s">
        <v>31</v>
      </c>
      <c r="C144" t="s">
        <v>1684</v>
      </c>
      <c r="D144" t="str">
        <f t="shared" si="25"/>
        <v>2501717990</v>
      </c>
      <c r="E144" t="s">
        <v>1536</v>
      </c>
      <c r="F144" t="str">
        <f t="shared" si="26"/>
        <v>400413</v>
      </c>
      <c r="G144" t="s">
        <v>1545</v>
      </c>
      <c r="H144" t="s">
        <v>1230</v>
      </c>
      <c r="I144" t="s">
        <v>37</v>
      </c>
      <c r="J144">
        <v>24</v>
      </c>
      <c r="K144">
        <v>186</v>
      </c>
      <c r="L144" t="str">
        <f t="shared" si="20"/>
        <v>521152</v>
      </c>
      <c r="M144" t="s">
        <v>1680</v>
      </c>
      <c r="N144" t="s">
        <v>1681</v>
      </c>
      <c r="O144" s="2">
        <v>46236.825914351852</v>
      </c>
      <c r="P144" s="2">
        <v>46236.825914351852</v>
      </c>
      <c r="Q144" s="2">
        <v>46236.825914351852</v>
      </c>
      <c r="R144" t="str">
        <f>"153000382"</f>
        <v>153000382</v>
      </c>
      <c r="S144" s="1">
        <v>48011</v>
      </c>
    </row>
    <row r="145" spans="1:19" x14ac:dyDescent="0.35">
      <c r="A145" t="s">
        <v>30</v>
      </c>
      <c r="B145" t="s">
        <v>31</v>
      </c>
      <c r="C145" t="s">
        <v>1684</v>
      </c>
      <c r="D145" t="str">
        <f t="shared" si="25"/>
        <v>2501717990</v>
      </c>
      <c r="E145" t="s">
        <v>1536</v>
      </c>
      <c r="F145" t="str">
        <f t="shared" si="26"/>
        <v>400413</v>
      </c>
      <c r="G145" t="s">
        <v>1545</v>
      </c>
      <c r="H145" t="s">
        <v>1685</v>
      </c>
      <c r="I145" t="s">
        <v>37</v>
      </c>
      <c r="J145">
        <v>24</v>
      </c>
      <c r="K145">
        <v>186</v>
      </c>
      <c r="L145" t="str">
        <f t="shared" si="20"/>
        <v>521152</v>
      </c>
      <c r="M145" t="s">
        <v>1680</v>
      </c>
      <c r="N145" t="s">
        <v>1681</v>
      </c>
      <c r="O145" s="2">
        <v>46236.825138888889</v>
      </c>
      <c r="P145" s="2">
        <v>46236.825138888889</v>
      </c>
      <c r="Q145" s="2">
        <v>46236.825138888889</v>
      </c>
      <c r="R145" t="str">
        <f>"153000382"</f>
        <v>153000382</v>
      </c>
      <c r="S145" s="1">
        <v>48011</v>
      </c>
    </row>
    <row r="146" spans="1:19" x14ac:dyDescent="0.35">
      <c r="A146" t="s">
        <v>30</v>
      </c>
      <c r="B146" t="s">
        <v>31</v>
      </c>
      <c r="C146" t="s">
        <v>1684</v>
      </c>
      <c r="D146" t="str">
        <f t="shared" si="25"/>
        <v>2501717990</v>
      </c>
      <c r="E146" t="s">
        <v>1536</v>
      </c>
      <c r="F146" t="str">
        <f t="shared" si="26"/>
        <v>400413</v>
      </c>
      <c r="G146" t="s">
        <v>1545</v>
      </c>
      <c r="H146" t="s">
        <v>1686</v>
      </c>
      <c r="I146" t="s">
        <v>37</v>
      </c>
      <c r="J146">
        <v>24</v>
      </c>
      <c r="K146">
        <v>314</v>
      </c>
      <c r="L146" t="str">
        <f t="shared" si="20"/>
        <v>521152</v>
      </c>
      <c r="M146" t="s">
        <v>1680</v>
      </c>
      <c r="N146" t="s">
        <v>1681</v>
      </c>
      <c r="O146" s="2">
        <v>46236.82366898148</v>
      </c>
      <c r="P146" s="2">
        <v>46236.82366898148</v>
      </c>
      <c r="Q146" s="2">
        <v>46236.82366898148</v>
      </c>
      <c r="R146" t="str">
        <f>"153000384"</f>
        <v>153000384</v>
      </c>
      <c r="S146" s="1">
        <v>48011</v>
      </c>
    </row>
    <row r="147" spans="1:19" x14ac:dyDescent="0.35">
      <c r="A147" t="s">
        <v>30</v>
      </c>
      <c r="B147" t="s">
        <v>31</v>
      </c>
      <c r="C147" t="s">
        <v>1684</v>
      </c>
      <c r="D147" t="str">
        <f t="shared" si="25"/>
        <v>2501717990</v>
      </c>
      <c r="E147" t="s">
        <v>1536</v>
      </c>
      <c r="F147" t="str">
        <f t="shared" si="26"/>
        <v>400413</v>
      </c>
      <c r="G147" t="s">
        <v>1545</v>
      </c>
      <c r="H147" t="s">
        <v>1687</v>
      </c>
      <c r="I147" t="s">
        <v>37</v>
      </c>
      <c r="J147">
        <v>13</v>
      </c>
      <c r="K147">
        <v>314</v>
      </c>
      <c r="L147" t="str">
        <f t="shared" si="20"/>
        <v>521152</v>
      </c>
      <c r="M147" t="s">
        <v>1680</v>
      </c>
      <c r="N147" t="s">
        <v>1681</v>
      </c>
      <c r="O147" s="2">
        <v>46236.822094907409</v>
      </c>
      <c r="P147" s="2">
        <v>46236.822094907409</v>
      </c>
      <c r="Q147" s="2">
        <v>46236.822094907409</v>
      </c>
      <c r="R147" t="str">
        <f>"153000384"</f>
        <v>153000384</v>
      </c>
      <c r="S147" s="1">
        <v>48011</v>
      </c>
    </row>
    <row r="148" spans="1:19" x14ac:dyDescent="0.35">
      <c r="A148" t="s">
        <v>30</v>
      </c>
      <c r="B148" t="s">
        <v>31</v>
      </c>
      <c r="C148" t="s">
        <v>1684</v>
      </c>
      <c r="D148" t="str">
        <f t="shared" si="25"/>
        <v>2501717990</v>
      </c>
      <c r="E148" t="s">
        <v>1536</v>
      </c>
      <c r="F148" t="str">
        <f t="shared" si="26"/>
        <v>400413</v>
      </c>
      <c r="G148" t="s">
        <v>1545</v>
      </c>
      <c r="H148" t="s">
        <v>1688</v>
      </c>
      <c r="I148" t="s">
        <v>37</v>
      </c>
      <c r="J148">
        <v>18</v>
      </c>
      <c r="K148">
        <v>186</v>
      </c>
      <c r="L148" t="str">
        <f t="shared" si="20"/>
        <v>521152</v>
      </c>
      <c r="M148" t="s">
        <v>1680</v>
      </c>
      <c r="N148" t="s">
        <v>1681</v>
      </c>
      <c r="O148" s="2">
        <v>46236.821099537039</v>
      </c>
      <c r="P148" s="2">
        <v>46236.821099537039</v>
      </c>
      <c r="Q148" s="2">
        <v>46236.821099537039</v>
      </c>
      <c r="R148" t="str">
        <f>"153000382"</f>
        <v>153000382</v>
      </c>
      <c r="S148" s="1">
        <v>48011</v>
      </c>
    </row>
    <row r="149" spans="1:19" x14ac:dyDescent="0.35">
      <c r="A149" t="s">
        <v>30</v>
      </c>
      <c r="B149" t="s">
        <v>31</v>
      </c>
      <c r="C149" t="s">
        <v>1684</v>
      </c>
      <c r="D149" t="str">
        <f t="shared" si="25"/>
        <v>2501717990</v>
      </c>
      <c r="E149" t="s">
        <v>1536</v>
      </c>
      <c r="F149" t="str">
        <f t="shared" si="26"/>
        <v>400413</v>
      </c>
      <c r="G149" t="s">
        <v>1545</v>
      </c>
      <c r="H149" t="s">
        <v>1293</v>
      </c>
      <c r="I149" t="s">
        <v>37</v>
      </c>
      <c r="J149">
        <v>24</v>
      </c>
      <c r="K149">
        <v>314</v>
      </c>
      <c r="L149" t="str">
        <f t="shared" si="20"/>
        <v>521152</v>
      </c>
      <c r="M149" t="s">
        <v>1680</v>
      </c>
      <c r="N149" t="s">
        <v>1681</v>
      </c>
      <c r="O149" s="2">
        <v>46236.819907407407</v>
      </c>
      <c r="P149" s="2">
        <v>46236.819907407407</v>
      </c>
      <c r="Q149" s="2">
        <v>46236.819907407407</v>
      </c>
      <c r="R149" t="str">
        <f t="shared" ref="R149:R158" si="27">"153000384"</f>
        <v>153000384</v>
      </c>
      <c r="S149" s="1">
        <v>48011</v>
      </c>
    </row>
    <row r="150" spans="1:19" x14ac:dyDescent="0.35">
      <c r="A150" t="s">
        <v>30</v>
      </c>
      <c r="B150" t="s">
        <v>31</v>
      </c>
      <c r="C150" t="s">
        <v>1684</v>
      </c>
      <c r="D150" t="str">
        <f t="shared" si="25"/>
        <v>2501717990</v>
      </c>
      <c r="E150" t="s">
        <v>1536</v>
      </c>
      <c r="F150" t="str">
        <f t="shared" si="26"/>
        <v>400413</v>
      </c>
      <c r="G150" t="s">
        <v>1545</v>
      </c>
      <c r="H150" t="s">
        <v>1279</v>
      </c>
      <c r="I150" t="s">
        <v>37</v>
      </c>
      <c r="J150">
        <v>24</v>
      </c>
      <c r="K150">
        <v>314</v>
      </c>
      <c r="L150" t="str">
        <f t="shared" si="20"/>
        <v>521152</v>
      </c>
      <c r="M150" t="s">
        <v>1680</v>
      </c>
      <c r="N150" t="s">
        <v>1681</v>
      </c>
      <c r="O150" s="2">
        <v>46236.819108796299</v>
      </c>
      <c r="P150" s="2">
        <v>46236.819108796299</v>
      </c>
      <c r="Q150" s="2">
        <v>46236.819108796299</v>
      </c>
      <c r="R150" t="str">
        <f t="shared" si="27"/>
        <v>153000384</v>
      </c>
      <c r="S150" s="1">
        <v>48011</v>
      </c>
    </row>
    <row r="151" spans="1:19" x14ac:dyDescent="0.35">
      <c r="A151" t="s">
        <v>30</v>
      </c>
      <c r="B151" t="s">
        <v>31</v>
      </c>
      <c r="C151" t="s">
        <v>1684</v>
      </c>
      <c r="D151" t="str">
        <f t="shared" si="25"/>
        <v>2501717990</v>
      </c>
      <c r="E151" t="s">
        <v>1536</v>
      </c>
      <c r="F151" t="str">
        <f t="shared" si="26"/>
        <v>400413</v>
      </c>
      <c r="G151" t="s">
        <v>1545</v>
      </c>
      <c r="H151" t="s">
        <v>1281</v>
      </c>
      <c r="I151" t="s">
        <v>37</v>
      </c>
      <c r="J151">
        <v>24</v>
      </c>
      <c r="K151">
        <v>314</v>
      </c>
      <c r="L151" t="str">
        <f t="shared" si="20"/>
        <v>521152</v>
      </c>
      <c r="M151" t="s">
        <v>1680</v>
      </c>
      <c r="N151" t="s">
        <v>1681</v>
      </c>
      <c r="O151" s="2">
        <v>46236.818252314813</v>
      </c>
      <c r="P151" s="2">
        <v>46236.818252314813</v>
      </c>
      <c r="Q151" s="2">
        <v>46236.818252314813</v>
      </c>
      <c r="R151" t="str">
        <f t="shared" si="27"/>
        <v>153000384</v>
      </c>
      <c r="S151" s="1">
        <v>48011</v>
      </c>
    </row>
    <row r="152" spans="1:19" x14ac:dyDescent="0.35">
      <c r="A152" t="s">
        <v>30</v>
      </c>
      <c r="B152" t="s">
        <v>31</v>
      </c>
      <c r="C152" t="s">
        <v>1684</v>
      </c>
      <c r="D152" t="str">
        <f t="shared" si="25"/>
        <v>2501717990</v>
      </c>
      <c r="E152" t="s">
        <v>1536</v>
      </c>
      <c r="F152" t="str">
        <f t="shared" si="26"/>
        <v>400413</v>
      </c>
      <c r="G152" t="s">
        <v>1545</v>
      </c>
      <c r="H152" t="s">
        <v>1285</v>
      </c>
      <c r="I152" t="s">
        <v>37</v>
      </c>
      <c r="J152">
        <v>24</v>
      </c>
      <c r="K152">
        <v>314</v>
      </c>
      <c r="L152" t="str">
        <f t="shared" si="20"/>
        <v>521152</v>
      </c>
      <c r="M152" t="s">
        <v>1680</v>
      </c>
      <c r="N152" t="s">
        <v>1681</v>
      </c>
      <c r="O152" s="2">
        <v>46236.817349537036</v>
      </c>
      <c r="P152" s="2">
        <v>46236.817349537036</v>
      </c>
      <c r="Q152" s="2">
        <v>46236.817349537036</v>
      </c>
      <c r="R152" t="str">
        <f t="shared" si="27"/>
        <v>153000384</v>
      </c>
      <c r="S152" s="1">
        <v>48011</v>
      </c>
    </row>
    <row r="153" spans="1:19" x14ac:dyDescent="0.35">
      <c r="A153" t="s">
        <v>30</v>
      </c>
      <c r="B153" t="s">
        <v>31</v>
      </c>
      <c r="C153" t="s">
        <v>1684</v>
      </c>
      <c r="D153" t="str">
        <f t="shared" si="25"/>
        <v>2501717990</v>
      </c>
      <c r="E153" t="s">
        <v>1536</v>
      </c>
      <c r="F153" t="str">
        <f t="shared" si="26"/>
        <v>400413</v>
      </c>
      <c r="G153" t="s">
        <v>1545</v>
      </c>
      <c r="H153" t="s">
        <v>165</v>
      </c>
      <c r="I153" t="s">
        <v>37</v>
      </c>
      <c r="J153">
        <v>24</v>
      </c>
      <c r="K153">
        <v>314</v>
      </c>
      <c r="L153" t="str">
        <f t="shared" si="20"/>
        <v>521152</v>
      </c>
      <c r="M153" t="s">
        <v>1680</v>
      </c>
      <c r="N153" t="s">
        <v>1681</v>
      </c>
      <c r="O153" s="2">
        <v>46236.816504629627</v>
      </c>
      <c r="P153" s="2">
        <v>46236.816504629627</v>
      </c>
      <c r="Q153" s="2">
        <v>46236.816504629627</v>
      </c>
      <c r="R153" t="str">
        <f t="shared" si="27"/>
        <v>153000384</v>
      </c>
      <c r="S153" s="1">
        <v>48011</v>
      </c>
    </row>
    <row r="154" spans="1:19" x14ac:dyDescent="0.35">
      <c r="A154" t="s">
        <v>30</v>
      </c>
      <c r="B154" t="s">
        <v>31</v>
      </c>
      <c r="C154" t="s">
        <v>1684</v>
      </c>
      <c r="D154" t="str">
        <f t="shared" si="25"/>
        <v>2501717990</v>
      </c>
      <c r="E154" t="s">
        <v>1536</v>
      </c>
      <c r="F154" t="str">
        <f t="shared" si="26"/>
        <v>400413</v>
      </c>
      <c r="G154" t="s">
        <v>1545</v>
      </c>
      <c r="H154" t="s">
        <v>1274</v>
      </c>
      <c r="I154" t="s">
        <v>37</v>
      </c>
      <c r="J154">
        <v>24</v>
      </c>
      <c r="K154">
        <v>314</v>
      </c>
      <c r="L154" t="str">
        <f t="shared" si="20"/>
        <v>521152</v>
      </c>
      <c r="M154" t="s">
        <v>1680</v>
      </c>
      <c r="N154" t="s">
        <v>1681</v>
      </c>
      <c r="O154" s="2">
        <v>46236.815601851849</v>
      </c>
      <c r="P154" s="2">
        <v>46236.815601851849</v>
      </c>
      <c r="Q154" s="2">
        <v>46236.815601851849</v>
      </c>
      <c r="R154" t="str">
        <f t="shared" si="27"/>
        <v>153000384</v>
      </c>
      <c r="S154" s="1">
        <v>48011</v>
      </c>
    </row>
    <row r="155" spans="1:19" x14ac:dyDescent="0.35">
      <c r="A155" t="s">
        <v>30</v>
      </c>
      <c r="B155" t="s">
        <v>31</v>
      </c>
      <c r="C155" t="s">
        <v>1684</v>
      </c>
      <c r="D155" t="str">
        <f t="shared" si="25"/>
        <v>2501717990</v>
      </c>
      <c r="E155" t="s">
        <v>1536</v>
      </c>
      <c r="F155" t="str">
        <f t="shared" si="26"/>
        <v>400413</v>
      </c>
      <c r="G155" t="s">
        <v>1545</v>
      </c>
      <c r="H155" t="s">
        <v>1272</v>
      </c>
      <c r="I155" t="s">
        <v>37</v>
      </c>
      <c r="J155">
        <v>24</v>
      </c>
      <c r="K155">
        <v>314</v>
      </c>
      <c r="L155" t="str">
        <f t="shared" si="20"/>
        <v>521152</v>
      </c>
      <c r="M155" t="s">
        <v>1680</v>
      </c>
      <c r="N155" t="s">
        <v>1681</v>
      </c>
      <c r="O155" s="2">
        <v>46236.815104166664</v>
      </c>
      <c r="P155" s="2">
        <v>46236.815104166664</v>
      </c>
      <c r="Q155" s="2">
        <v>46236.815104166664</v>
      </c>
      <c r="R155" t="str">
        <f t="shared" si="27"/>
        <v>153000384</v>
      </c>
      <c r="S155" s="1">
        <v>48011</v>
      </c>
    </row>
    <row r="156" spans="1:19" x14ac:dyDescent="0.35">
      <c r="A156" t="s">
        <v>30</v>
      </c>
      <c r="B156" t="s">
        <v>31</v>
      </c>
      <c r="C156" t="s">
        <v>1684</v>
      </c>
      <c r="D156" t="str">
        <f t="shared" si="25"/>
        <v>2501717990</v>
      </c>
      <c r="E156" t="s">
        <v>1536</v>
      </c>
      <c r="F156" t="str">
        <f t="shared" si="26"/>
        <v>400413</v>
      </c>
      <c r="G156" t="s">
        <v>1545</v>
      </c>
      <c r="H156" t="s">
        <v>1268</v>
      </c>
      <c r="I156" t="s">
        <v>37</v>
      </c>
      <c r="J156">
        <v>24</v>
      </c>
      <c r="K156">
        <v>314</v>
      </c>
      <c r="L156" t="str">
        <f t="shared" si="20"/>
        <v>521152</v>
      </c>
      <c r="M156" t="s">
        <v>1680</v>
      </c>
      <c r="N156" t="s">
        <v>1681</v>
      </c>
      <c r="O156" s="2">
        <v>46236.813969907409</v>
      </c>
      <c r="P156" s="2">
        <v>46236.813969907409</v>
      </c>
      <c r="Q156" s="2">
        <v>46236.813969907409</v>
      </c>
      <c r="R156" t="str">
        <f t="shared" si="27"/>
        <v>153000384</v>
      </c>
      <c r="S156" s="1">
        <v>48011</v>
      </c>
    </row>
    <row r="157" spans="1:19" x14ac:dyDescent="0.35">
      <c r="A157" t="s">
        <v>30</v>
      </c>
      <c r="B157" t="s">
        <v>31</v>
      </c>
      <c r="C157" t="s">
        <v>1684</v>
      </c>
      <c r="D157" t="str">
        <f t="shared" si="25"/>
        <v>2501717990</v>
      </c>
      <c r="E157" t="s">
        <v>1536</v>
      </c>
      <c r="F157" t="str">
        <f t="shared" si="26"/>
        <v>400413</v>
      </c>
      <c r="G157" t="s">
        <v>1545</v>
      </c>
      <c r="H157" t="s">
        <v>1264</v>
      </c>
      <c r="I157" t="s">
        <v>37</v>
      </c>
      <c r="J157">
        <v>24</v>
      </c>
      <c r="K157">
        <v>314</v>
      </c>
      <c r="L157" t="str">
        <f t="shared" si="20"/>
        <v>521152</v>
      </c>
      <c r="M157" t="s">
        <v>1680</v>
      </c>
      <c r="N157" t="s">
        <v>1681</v>
      </c>
      <c r="O157" s="2">
        <v>46236.813194444447</v>
      </c>
      <c r="P157" s="2">
        <v>46236.813194444447</v>
      </c>
      <c r="Q157" s="2">
        <v>46236.813194444447</v>
      </c>
      <c r="R157" t="str">
        <f t="shared" si="27"/>
        <v>153000384</v>
      </c>
      <c r="S157" s="1">
        <v>48011</v>
      </c>
    </row>
    <row r="158" spans="1:19" x14ac:dyDescent="0.35">
      <c r="A158" t="s">
        <v>30</v>
      </c>
      <c r="B158" t="s">
        <v>31</v>
      </c>
      <c r="C158" t="s">
        <v>1684</v>
      </c>
      <c r="D158" t="str">
        <f t="shared" si="25"/>
        <v>2501717990</v>
      </c>
      <c r="E158" t="s">
        <v>1536</v>
      </c>
      <c r="F158" t="str">
        <f t="shared" si="26"/>
        <v>400413</v>
      </c>
      <c r="G158" t="s">
        <v>1545</v>
      </c>
      <c r="H158" t="s">
        <v>1256</v>
      </c>
      <c r="I158" t="s">
        <v>37</v>
      </c>
      <c r="J158">
        <v>14</v>
      </c>
      <c r="K158">
        <v>314</v>
      </c>
      <c r="L158" t="str">
        <f t="shared" si="20"/>
        <v>521152</v>
      </c>
      <c r="M158" t="s">
        <v>1680</v>
      </c>
      <c r="N158" t="s">
        <v>1681</v>
      </c>
      <c r="O158" s="2">
        <v>46236.883761574078</v>
      </c>
      <c r="P158" s="2">
        <v>46236.883761574078</v>
      </c>
      <c r="Q158" s="2">
        <v>46236.883761574078</v>
      </c>
      <c r="R158" t="str">
        <f t="shared" si="27"/>
        <v>153000384</v>
      </c>
      <c r="S158" s="1">
        <v>48011</v>
      </c>
    </row>
    <row r="159" spans="1:19" x14ac:dyDescent="0.35">
      <c r="A159" t="s">
        <v>30</v>
      </c>
      <c r="B159" t="s">
        <v>31</v>
      </c>
      <c r="C159" t="s">
        <v>1684</v>
      </c>
      <c r="D159" t="str">
        <f t="shared" si="25"/>
        <v>2501717990</v>
      </c>
      <c r="E159" t="s">
        <v>1536</v>
      </c>
      <c r="F159" t="str">
        <f>"400405"</f>
        <v>400405</v>
      </c>
      <c r="G159" t="s">
        <v>519</v>
      </c>
      <c r="H159" t="s">
        <v>1508</v>
      </c>
      <c r="I159" t="s">
        <v>37</v>
      </c>
      <c r="J159">
        <v>2</v>
      </c>
      <c r="K159">
        <v>50</v>
      </c>
      <c r="L159" t="str">
        <f t="shared" si="20"/>
        <v>521152</v>
      </c>
      <c r="M159" t="s">
        <v>1680</v>
      </c>
      <c r="N159" t="s">
        <v>1681</v>
      </c>
      <c r="O159" s="2">
        <v>46236.811365740738</v>
      </c>
      <c r="P159" s="2">
        <v>46236.811365740738</v>
      </c>
      <c r="Q159" s="2">
        <v>46236.811365740738</v>
      </c>
      <c r="R159" t="str">
        <f>"153000440"</f>
        <v>153000440</v>
      </c>
      <c r="S159" s="1">
        <v>48036</v>
      </c>
    </row>
    <row r="160" spans="1:19" x14ac:dyDescent="0.35">
      <c r="A160" t="s">
        <v>30</v>
      </c>
      <c r="B160" t="s">
        <v>31</v>
      </c>
      <c r="C160" t="s">
        <v>1684</v>
      </c>
      <c r="D160" t="str">
        <f t="shared" si="25"/>
        <v>2501717990</v>
      </c>
      <c r="E160" t="s">
        <v>1536</v>
      </c>
      <c r="F160" t="str">
        <f>"400405"</f>
        <v>400405</v>
      </c>
      <c r="G160" t="s">
        <v>519</v>
      </c>
      <c r="H160" t="s">
        <v>1326</v>
      </c>
      <c r="I160" t="s">
        <v>37</v>
      </c>
      <c r="J160">
        <v>48</v>
      </c>
      <c r="K160">
        <v>50</v>
      </c>
      <c r="L160" t="str">
        <f t="shared" si="20"/>
        <v>521152</v>
      </c>
      <c r="M160" t="s">
        <v>1680</v>
      </c>
      <c r="N160" t="s">
        <v>1681</v>
      </c>
      <c r="O160" s="2">
        <v>46236.810601851852</v>
      </c>
      <c r="P160" s="2">
        <v>46236.810601851852</v>
      </c>
      <c r="Q160" s="2">
        <v>46236.810601851852</v>
      </c>
      <c r="R160" t="str">
        <f>"153000440"</f>
        <v>153000440</v>
      </c>
      <c r="S160" s="1">
        <v>48036</v>
      </c>
    </row>
    <row r="161" spans="1:19" x14ac:dyDescent="0.35">
      <c r="A161" t="s">
        <v>30</v>
      </c>
      <c r="B161" t="s">
        <v>31</v>
      </c>
      <c r="C161" t="s">
        <v>1684</v>
      </c>
      <c r="D161" t="str">
        <f t="shared" si="25"/>
        <v>2501717990</v>
      </c>
      <c r="E161" t="s">
        <v>1536</v>
      </c>
      <c r="F161" t="str">
        <f>"400474"</f>
        <v>400474</v>
      </c>
      <c r="G161" t="s">
        <v>1689</v>
      </c>
      <c r="H161" t="s">
        <v>1547</v>
      </c>
      <c r="I161" t="s">
        <v>37</v>
      </c>
      <c r="J161">
        <v>18</v>
      </c>
      <c r="K161">
        <v>18</v>
      </c>
      <c r="L161" t="str">
        <f t="shared" si="20"/>
        <v>521152</v>
      </c>
      <c r="M161" t="s">
        <v>1680</v>
      </c>
      <c r="N161" t="s">
        <v>1681</v>
      </c>
      <c r="O161" s="2">
        <v>46236.882685185185</v>
      </c>
      <c r="P161" s="2">
        <v>46236.882685185185</v>
      </c>
      <c r="Q161" s="2">
        <v>46236.882685185185</v>
      </c>
      <c r="R161" t="str">
        <f>"153000218"</f>
        <v>153000218</v>
      </c>
      <c r="S161" s="1">
        <v>47936</v>
      </c>
    </row>
    <row r="162" spans="1:19" x14ac:dyDescent="0.35">
      <c r="A162" t="s">
        <v>30</v>
      </c>
      <c r="B162" t="s">
        <v>31</v>
      </c>
      <c r="C162" t="s">
        <v>1690</v>
      </c>
      <c r="D162" t="str">
        <f t="shared" ref="D162:D167" si="28">"2501717982"</f>
        <v>2501717982</v>
      </c>
      <c r="E162" t="s">
        <v>1536</v>
      </c>
      <c r="F162" t="str">
        <f t="shared" ref="F162:F167" si="29">"400514"</f>
        <v>400514</v>
      </c>
      <c r="G162" t="s">
        <v>429</v>
      </c>
      <c r="H162" t="s">
        <v>1691</v>
      </c>
      <c r="I162" t="s">
        <v>41</v>
      </c>
      <c r="J162">
        <v>4</v>
      </c>
      <c r="K162">
        <v>8</v>
      </c>
      <c r="L162" t="str">
        <f t="shared" ref="L162:L167" si="30">"520609"</f>
        <v>520609</v>
      </c>
      <c r="M162" t="s">
        <v>1692</v>
      </c>
      <c r="N162" t="s">
        <v>1693</v>
      </c>
      <c r="O162" s="2">
        <v>46233.915381944447</v>
      </c>
      <c r="P162" s="2">
        <v>46233.915381944447</v>
      </c>
      <c r="Q162" s="2">
        <v>46233.915381944447</v>
      </c>
      <c r="R162" t="str">
        <f>"100010778"</f>
        <v>100010778</v>
      </c>
      <c r="S162" s="1">
        <v>47806</v>
      </c>
    </row>
    <row r="163" spans="1:19" x14ac:dyDescent="0.35">
      <c r="A163" t="s">
        <v>30</v>
      </c>
      <c r="B163" t="s">
        <v>31</v>
      </c>
      <c r="C163" t="s">
        <v>1690</v>
      </c>
      <c r="D163" t="str">
        <f t="shared" si="28"/>
        <v>2501717982</v>
      </c>
      <c r="E163" t="s">
        <v>1536</v>
      </c>
      <c r="F163" t="str">
        <f t="shared" si="29"/>
        <v>400514</v>
      </c>
      <c r="G163" t="s">
        <v>429</v>
      </c>
      <c r="H163" t="s">
        <v>1694</v>
      </c>
      <c r="I163" t="s">
        <v>41</v>
      </c>
      <c r="J163">
        <v>4</v>
      </c>
      <c r="K163">
        <v>8</v>
      </c>
      <c r="L163" t="str">
        <f t="shared" si="30"/>
        <v>520609</v>
      </c>
      <c r="M163" t="s">
        <v>1692</v>
      </c>
      <c r="N163" t="s">
        <v>1693</v>
      </c>
      <c r="O163" s="2">
        <v>46233.914120370369</v>
      </c>
      <c r="P163" s="2">
        <v>46233.914120370369</v>
      </c>
      <c r="Q163" s="2">
        <v>46233.914120370369</v>
      </c>
      <c r="R163" t="str">
        <f>"100010778"</f>
        <v>100010778</v>
      </c>
      <c r="S163" s="1">
        <v>47806</v>
      </c>
    </row>
    <row r="164" spans="1:19" x14ac:dyDescent="0.35">
      <c r="A164" t="s">
        <v>30</v>
      </c>
      <c r="B164" t="s">
        <v>31</v>
      </c>
      <c r="C164" t="s">
        <v>1690</v>
      </c>
      <c r="D164" t="str">
        <f t="shared" si="28"/>
        <v>2501717982</v>
      </c>
      <c r="E164" t="s">
        <v>1536</v>
      </c>
      <c r="F164" t="str">
        <f t="shared" si="29"/>
        <v>400514</v>
      </c>
      <c r="G164" t="s">
        <v>429</v>
      </c>
      <c r="H164" t="s">
        <v>1695</v>
      </c>
      <c r="I164" t="s">
        <v>41</v>
      </c>
      <c r="J164">
        <v>4</v>
      </c>
      <c r="K164">
        <v>16</v>
      </c>
      <c r="L164" t="str">
        <f t="shared" si="30"/>
        <v>520609</v>
      </c>
      <c r="M164" t="s">
        <v>1692</v>
      </c>
      <c r="N164" t="s">
        <v>1693</v>
      </c>
      <c r="O164" s="2">
        <v>46233.913310185184</v>
      </c>
      <c r="P164" s="2">
        <v>46233.913310185184</v>
      </c>
      <c r="Q164" s="2">
        <v>46233.913310185184</v>
      </c>
      <c r="R164" t="str">
        <f>"100010755"</f>
        <v>100010755</v>
      </c>
      <c r="S164" s="1">
        <v>47803</v>
      </c>
    </row>
    <row r="165" spans="1:19" x14ac:dyDescent="0.35">
      <c r="A165" t="s">
        <v>30</v>
      </c>
      <c r="B165" t="s">
        <v>31</v>
      </c>
      <c r="C165" t="s">
        <v>1690</v>
      </c>
      <c r="D165" t="str">
        <f t="shared" si="28"/>
        <v>2501717982</v>
      </c>
      <c r="E165" t="s">
        <v>1536</v>
      </c>
      <c r="F165" t="str">
        <f t="shared" si="29"/>
        <v>400514</v>
      </c>
      <c r="G165" t="s">
        <v>429</v>
      </c>
      <c r="H165" t="s">
        <v>1696</v>
      </c>
      <c r="I165" t="s">
        <v>41</v>
      </c>
      <c r="J165">
        <v>4</v>
      </c>
      <c r="K165">
        <v>16</v>
      </c>
      <c r="L165" t="str">
        <f t="shared" si="30"/>
        <v>520609</v>
      </c>
      <c r="M165" t="s">
        <v>1692</v>
      </c>
      <c r="N165" t="s">
        <v>1693</v>
      </c>
      <c r="O165" s="2">
        <v>46233.912418981483</v>
      </c>
      <c r="P165" s="2">
        <v>46233.912418981483</v>
      </c>
      <c r="Q165" s="2">
        <v>46233.912418981483</v>
      </c>
      <c r="R165" t="str">
        <f>"100010755"</f>
        <v>100010755</v>
      </c>
      <c r="S165" s="1">
        <v>47803</v>
      </c>
    </row>
    <row r="166" spans="1:19" x14ac:dyDescent="0.35">
      <c r="A166" t="s">
        <v>30</v>
      </c>
      <c r="B166" t="s">
        <v>31</v>
      </c>
      <c r="C166" t="s">
        <v>1690</v>
      </c>
      <c r="D166" t="str">
        <f t="shared" si="28"/>
        <v>2501717982</v>
      </c>
      <c r="E166" t="s">
        <v>1536</v>
      </c>
      <c r="F166" t="str">
        <f t="shared" si="29"/>
        <v>400514</v>
      </c>
      <c r="G166" t="s">
        <v>429</v>
      </c>
      <c r="H166" t="s">
        <v>1697</v>
      </c>
      <c r="I166" t="s">
        <v>41</v>
      </c>
      <c r="J166">
        <v>4</v>
      </c>
      <c r="K166">
        <v>16</v>
      </c>
      <c r="L166" t="str">
        <f t="shared" si="30"/>
        <v>520609</v>
      </c>
      <c r="M166" t="s">
        <v>1692</v>
      </c>
      <c r="N166" t="s">
        <v>1693</v>
      </c>
      <c r="O166" s="2">
        <v>46233.911666666667</v>
      </c>
      <c r="P166" s="2">
        <v>46233.911666666667</v>
      </c>
      <c r="Q166" s="2">
        <v>46233.911666666667</v>
      </c>
      <c r="R166" t="str">
        <f>"100010755"</f>
        <v>100010755</v>
      </c>
      <c r="S166" s="1">
        <v>47803</v>
      </c>
    </row>
    <row r="167" spans="1:19" x14ac:dyDescent="0.35">
      <c r="A167" t="s">
        <v>30</v>
      </c>
      <c r="B167" t="s">
        <v>31</v>
      </c>
      <c r="C167" t="s">
        <v>1690</v>
      </c>
      <c r="D167" t="str">
        <f t="shared" si="28"/>
        <v>2501717982</v>
      </c>
      <c r="E167" t="s">
        <v>1536</v>
      </c>
      <c r="F167" t="str">
        <f t="shared" si="29"/>
        <v>400514</v>
      </c>
      <c r="G167" t="s">
        <v>429</v>
      </c>
      <c r="H167" t="s">
        <v>1698</v>
      </c>
      <c r="I167" t="s">
        <v>41</v>
      </c>
      <c r="J167">
        <v>4</v>
      </c>
      <c r="K167">
        <v>16</v>
      </c>
      <c r="L167" t="str">
        <f t="shared" si="30"/>
        <v>520609</v>
      </c>
      <c r="M167" t="s">
        <v>1692</v>
      </c>
      <c r="N167" t="s">
        <v>1693</v>
      </c>
      <c r="O167" s="2">
        <v>46233.910960648151</v>
      </c>
      <c r="P167" s="2">
        <v>46233.910960648151</v>
      </c>
      <c r="Q167" s="2">
        <v>46233.910960648151</v>
      </c>
      <c r="R167" t="str">
        <f>"100010755"</f>
        <v>100010755</v>
      </c>
      <c r="S167" s="1">
        <v>47803</v>
      </c>
    </row>
    <row r="168" spans="1:19" x14ac:dyDescent="0.35">
      <c r="A168" t="s">
        <v>30</v>
      </c>
      <c r="B168" t="s">
        <v>31</v>
      </c>
      <c r="C168" t="s">
        <v>1699</v>
      </c>
      <c r="D168" t="str">
        <f>"2501717912"</f>
        <v>2501717912</v>
      </c>
      <c r="E168" t="s">
        <v>1536</v>
      </c>
      <c r="F168" t="str">
        <f>"400399"</f>
        <v>400399</v>
      </c>
      <c r="G168" t="s">
        <v>1576</v>
      </c>
      <c r="H168" t="s">
        <v>1614</v>
      </c>
      <c r="I168" t="s">
        <v>37</v>
      </c>
      <c r="J168">
        <v>22</v>
      </c>
      <c r="K168">
        <v>22</v>
      </c>
      <c r="L168" t="str">
        <f>"521088"</f>
        <v>521088</v>
      </c>
      <c r="M168" t="s">
        <v>1559</v>
      </c>
      <c r="N168" t="s">
        <v>1560</v>
      </c>
      <c r="O168" s="2">
        <v>46233.917557870373</v>
      </c>
      <c r="P168" s="2">
        <v>46233.917557870373</v>
      </c>
      <c r="Q168" s="2">
        <v>46233.917557870373</v>
      </c>
      <c r="R168" t="str">
        <f>"100010886"</f>
        <v>100010886</v>
      </c>
      <c r="S168" s="1">
        <v>47813</v>
      </c>
    </row>
    <row r="169" spans="1:19" x14ac:dyDescent="0.35">
      <c r="A169" t="s">
        <v>30</v>
      </c>
      <c r="B169" t="s">
        <v>31</v>
      </c>
      <c r="C169" t="s">
        <v>1699</v>
      </c>
      <c r="D169" t="str">
        <f>"2501717912"</f>
        <v>2501717912</v>
      </c>
      <c r="E169" t="s">
        <v>1536</v>
      </c>
      <c r="F169" t="str">
        <f>"400393"</f>
        <v>400393</v>
      </c>
      <c r="G169" t="s">
        <v>1603</v>
      </c>
      <c r="H169" t="s">
        <v>1604</v>
      </c>
      <c r="I169" t="s">
        <v>37</v>
      </c>
      <c r="J169">
        <v>10</v>
      </c>
      <c r="K169">
        <v>10</v>
      </c>
      <c r="L169" t="str">
        <f>"521088"</f>
        <v>521088</v>
      </c>
      <c r="M169" t="s">
        <v>1559</v>
      </c>
      <c r="N169" t="s">
        <v>1560</v>
      </c>
      <c r="O169" s="2">
        <v>46233.916550925926</v>
      </c>
      <c r="P169" s="2">
        <v>46233.916550925926</v>
      </c>
      <c r="Q169" s="2">
        <v>46233.916550925926</v>
      </c>
      <c r="R169" t="str">
        <f>"153000215"</f>
        <v>153000215</v>
      </c>
      <c r="S169" s="1">
        <v>47934</v>
      </c>
    </row>
    <row r="170" spans="1:19" x14ac:dyDescent="0.35">
      <c r="A170" t="s">
        <v>30</v>
      </c>
      <c r="B170" t="s">
        <v>31</v>
      </c>
      <c r="C170" t="s">
        <v>1700</v>
      </c>
      <c r="D170" t="str">
        <f t="shared" ref="D170:D183" si="31">"2501717959"</f>
        <v>2501717959</v>
      </c>
      <c r="E170" t="s">
        <v>1536</v>
      </c>
      <c r="F170" t="str">
        <f>"400902"</f>
        <v>400902</v>
      </c>
      <c r="G170" t="s">
        <v>1627</v>
      </c>
      <c r="H170" t="s">
        <v>1628</v>
      </c>
      <c r="I170" t="s">
        <v>37</v>
      </c>
      <c r="J170">
        <v>2</v>
      </c>
      <c r="K170">
        <v>3</v>
      </c>
      <c r="L170" t="str">
        <f t="shared" ref="L170:L183" si="32">"520899"</f>
        <v>520899</v>
      </c>
      <c r="M170" t="s">
        <v>1559</v>
      </c>
      <c r="N170" t="s">
        <v>1701</v>
      </c>
      <c r="O170" s="2">
        <v>46232.887233796297</v>
      </c>
      <c r="P170" s="2">
        <v>46232.887233796297</v>
      </c>
      <c r="Q170" s="2">
        <v>46232.887233796297</v>
      </c>
      <c r="R170" t="str">
        <f>"950001333"</f>
        <v>950001333</v>
      </c>
      <c r="S170" s="1">
        <v>47948</v>
      </c>
    </row>
    <row r="171" spans="1:19" x14ac:dyDescent="0.35">
      <c r="A171" t="s">
        <v>30</v>
      </c>
      <c r="B171" t="s">
        <v>31</v>
      </c>
      <c r="C171" t="s">
        <v>1700</v>
      </c>
      <c r="D171" t="str">
        <f t="shared" si="31"/>
        <v>2501717959</v>
      </c>
      <c r="E171" t="s">
        <v>1536</v>
      </c>
      <c r="F171" t="str">
        <f>"400902"</f>
        <v>400902</v>
      </c>
      <c r="G171" t="s">
        <v>1627</v>
      </c>
      <c r="H171" t="s">
        <v>1298</v>
      </c>
      <c r="I171" t="s">
        <v>37</v>
      </c>
      <c r="J171">
        <v>1</v>
      </c>
      <c r="K171">
        <v>3</v>
      </c>
      <c r="L171" t="str">
        <f t="shared" si="32"/>
        <v>520899</v>
      </c>
      <c r="M171" t="s">
        <v>1559</v>
      </c>
      <c r="N171" t="s">
        <v>1701</v>
      </c>
      <c r="O171" s="2">
        <v>46232.88554398148</v>
      </c>
      <c r="P171" s="2">
        <v>46232.88554398148</v>
      </c>
      <c r="Q171" s="2">
        <v>46232.88554398148</v>
      </c>
      <c r="R171" t="str">
        <f>"950001333"</f>
        <v>950001333</v>
      </c>
      <c r="S171" s="1">
        <v>47948</v>
      </c>
    </row>
    <row r="172" spans="1:19" x14ac:dyDescent="0.35">
      <c r="A172" t="s">
        <v>30</v>
      </c>
      <c r="B172" t="s">
        <v>31</v>
      </c>
      <c r="C172" t="s">
        <v>1700</v>
      </c>
      <c r="D172" t="str">
        <f t="shared" si="31"/>
        <v>2501717959</v>
      </c>
      <c r="E172" t="s">
        <v>1536</v>
      </c>
      <c r="F172" t="str">
        <f>"400900"</f>
        <v>400900</v>
      </c>
      <c r="G172" t="s">
        <v>1702</v>
      </c>
      <c r="H172" t="s">
        <v>1703</v>
      </c>
      <c r="I172" t="s">
        <v>37</v>
      </c>
      <c r="J172">
        <v>3</v>
      </c>
      <c r="K172">
        <v>3</v>
      </c>
      <c r="L172" t="str">
        <f t="shared" si="32"/>
        <v>520899</v>
      </c>
      <c r="M172" t="s">
        <v>1559</v>
      </c>
      <c r="N172" t="s">
        <v>1701</v>
      </c>
      <c r="O172" s="2">
        <v>46232.885439814818</v>
      </c>
      <c r="P172" s="2">
        <v>46232.885439814818</v>
      </c>
      <c r="Q172" s="2">
        <v>46232.885439814818</v>
      </c>
      <c r="R172" t="str">
        <f>"950001330"</f>
        <v>950001330</v>
      </c>
      <c r="S172" s="1">
        <v>47946</v>
      </c>
    </row>
    <row r="173" spans="1:19" x14ac:dyDescent="0.35">
      <c r="A173" t="s">
        <v>30</v>
      </c>
      <c r="B173" t="s">
        <v>31</v>
      </c>
      <c r="C173" t="s">
        <v>1700</v>
      </c>
      <c r="D173" t="str">
        <f t="shared" si="31"/>
        <v>2501717959</v>
      </c>
      <c r="E173" t="s">
        <v>1536</v>
      </c>
      <c r="F173" t="str">
        <f>"400929"</f>
        <v>400929</v>
      </c>
      <c r="G173" t="s">
        <v>983</v>
      </c>
      <c r="H173" t="s">
        <v>1171</v>
      </c>
      <c r="I173" t="s">
        <v>37</v>
      </c>
      <c r="J173">
        <v>1</v>
      </c>
      <c r="K173">
        <v>1</v>
      </c>
      <c r="L173" t="str">
        <f t="shared" si="32"/>
        <v>520899</v>
      </c>
      <c r="M173" t="s">
        <v>1559</v>
      </c>
      <c r="N173" t="s">
        <v>1701</v>
      </c>
      <c r="O173" s="2">
        <v>46232.897731481484</v>
      </c>
      <c r="P173" s="2">
        <v>46232.897731481484</v>
      </c>
      <c r="Q173" s="2">
        <v>46232.897731481484</v>
      </c>
      <c r="R173" t="str">
        <f>"153000461"</f>
        <v>153000461</v>
      </c>
      <c r="S173" s="1">
        <v>48043</v>
      </c>
    </row>
    <row r="174" spans="1:19" x14ac:dyDescent="0.35">
      <c r="A174" t="s">
        <v>30</v>
      </c>
      <c r="B174" t="s">
        <v>31</v>
      </c>
      <c r="C174" t="s">
        <v>1700</v>
      </c>
      <c r="D174" t="str">
        <f t="shared" si="31"/>
        <v>2501717959</v>
      </c>
      <c r="E174" t="s">
        <v>1536</v>
      </c>
      <c r="F174" t="str">
        <f>"400407"</f>
        <v>400407</v>
      </c>
      <c r="G174" t="s">
        <v>1675</v>
      </c>
      <c r="H174" t="s">
        <v>1676</v>
      </c>
      <c r="I174" t="s">
        <v>41</v>
      </c>
      <c r="J174">
        <v>1</v>
      </c>
      <c r="K174">
        <v>1</v>
      </c>
      <c r="L174" t="str">
        <f t="shared" si="32"/>
        <v>520899</v>
      </c>
      <c r="M174" t="s">
        <v>1559</v>
      </c>
      <c r="N174" t="s">
        <v>1701</v>
      </c>
      <c r="O174" s="2">
        <v>46232.892453703702</v>
      </c>
      <c r="P174" s="2">
        <v>46232.892453703702</v>
      </c>
      <c r="Q174" s="2">
        <v>46232.892453703702</v>
      </c>
      <c r="R174" t="str">
        <f>"153000174"</f>
        <v>153000174</v>
      </c>
      <c r="S174" s="1">
        <v>47917</v>
      </c>
    </row>
    <row r="175" spans="1:19" x14ac:dyDescent="0.35">
      <c r="A175" t="s">
        <v>30</v>
      </c>
      <c r="B175" t="s">
        <v>31</v>
      </c>
      <c r="C175" t="s">
        <v>1700</v>
      </c>
      <c r="D175" t="str">
        <f t="shared" si="31"/>
        <v>2501717959</v>
      </c>
      <c r="E175" t="s">
        <v>1536</v>
      </c>
      <c r="F175" t="str">
        <f>"400424"</f>
        <v>400424</v>
      </c>
      <c r="G175" t="s">
        <v>1704</v>
      </c>
      <c r="H175" t="s">
        <v>1705</v>
      </c>
      <c r="I175" t="s">
        <v>41</v>
      </c>
      <c r="J175">
        <v>1</v>
      </c>
      <c r="K175">
        <v>1</v>
      </c>
      <c r="L175" t="str">
        <f t="shared" si="32"/>
        <v>520899</v>
      </c>
      <c r="M175" t="s">
        <v>1559</v>
      </c>
      <c r="N175" t="s">
        <v>1701</v>
      </c>
      <c r="O175" s="2">
        <v>46232.890567129631</v>
      </c>
      <c r="P175" s="2">
        <v>46232.890567129631</v>
      </c>
      <c r="Q175" s="2">
        <v>46232.890567129631</v>
      </c>
      <c r="R175" t="str">
        <f>"153000354"</f>
        <v>153000354</v>
      </c>
      <c r="S175" s="1">
        <v>48004</v>
      </c>
    </row>
    <row r="176" spans="1:19" x14ac:dyDescent="0.35">
      <c r="A176" t="s">
        <v>30</v>
      </c>
      <c r="B176" t="s">
        <v>31</v>
      </c>
      <c r="C176" t="s">
        <v>1700</v>
      </c>
      <c r="D176" t="str">
        <f t="shared" si="31"/>
        <v>2501717959</v>
      </c>
      <c r="E176" t="s">
        <v>1536</v>
      </c>
      <c r="F176" t="str">
        <f>"400426"</f>
        <v>400426</v>
      </c>
      <c r="G176" t="s">
        <v>34</v>
      </c>
      <c r="H176" t="s">
        <v>1236</v>
      </c>
      <c r="I176" t="s">
        <v>37</v>
      </c>
      <c r="J176">
        <v>3</v>
      </c>
      <c r="K176">
        <v>3</v>
      </c>
      <c r="L176" t="str">
        <f t="shared" si="32"/>
        <v>520899</v>
      </c>
      <c r="M176" t="s">
        <v>1559</v>
      </c>
      <c r="N176" t="s">
        <v>1701</v>
      </c>
      <c r="O176" s="2">
        <v>46232.825023148151</v>
      </c>
      <c r="P176" s="2">
        <v>46232.825023148151</v>
      </c>
      <c r="Q176" s="2">
        <v>46232.825023148151</v>
      </c>
      <c r="R176" t="str">
        <f>"153000233"</f>
        <v>153000233</v>
      </c>
      <c r="S176" s="1">
        <v>47945</v>
      </c>
    </row>
    <row r="177" spans="1:19" x14ac:dyDescent="0.35">
      <c r="A177" t="s">
        <v>30</v>
      </c>
      <c r="B177" t="s">
        <v>31</v>
      </c>
      <c r="C177" t="s">
        <v>1700</v>
      </c>
      <c r="D177" t="str">
        <f t="shared" si="31"/>
        <v>2501717959</v>
      </c>
      <c r="E177" t="s">
        <v>1536</v>
      </c>
      <c r="F177" t="str">
        <f>"400413"</f>
        <v>400413</v>
      </c>
      <c r="G177" t="s">
        <v>1545</v>
      </c>
      <c r="H177" t="s">
        <v>1256</v>
      </c>
      <c r="I177" t="s">
        <v>37</v>
      </c>
      <c r="J177">
        <v>10</v>
      </c>
      <c r="K177">
        <v>10</v>
      </c>
      <c r="L177" t="str">
        <f t="shared" si="32"/>
        <v>520899</v>
      </c>
      <c r="M177" t="s">
        <v>1559</v>
      </c>
      <c r="N177" t="s">
        <v>1701</v>
      </c>
      <c r="O177" s="2">
        <v>46232.822106481479</v>
      </c>
      <c r="P177" s="2">
        <v>46232.822106481479</v>
      </c>
      <c r="Q177" s="2">
        <v>46232.822106481479</v>
      </c>
      <c r="R177" t="str">
        <f>"153000384"</f>
        <v>153000384</v>
      </c>
      <c r="S177" s="1">
        <v>48011</v>
      </c>
    </row>
    <row r="178" spans="1:19" x14ac:dyDescent="0.35">
      <c r="A178" t="s">
        <v>30</v>
      </c>
      <c r="B178" t="s">
        <v>31</v>
      </c>
      <c r="C178" t="s">
        <v>1700</v>
      </c>
      <c r="D178" t="str">
        <f t="shared" si="31"/>
        <v>2501717959</v>
      </c>
      <c r="E178" t="s">
        <v>1536</v>
      </c>
      <c r="F178" t="str">
        <f>"400402"</f>
        <v>400402</v>
      </c>
      <c r="G178" t="s">
        <v>1665</v>
      </c>
      <c r="H178" t="s">
        <v>1666</v>
      </c>
      <c r="I178" t="s">
        <v>37</v>
      </c>
      <c r="J178">
        <v>5</v>
      </c>
      <c r="K178">
        <v>10</v>
      </c>
      <c r="L178" t="str">
        <f t="shared" si="32"/>
        <v>520899</v>
      </c>
      <c r="M178" t="s">
        <v>1559</v>
      </c>
      <c r="N178" t="s">
        <v>1701</v>
      </c>
      <c r="O178" s="2">
        <v>46232.818368055552</v>
      </c>
      <c r="P178" s="2">
        <v>46232.818368055552</v>
      </c>
      <c r="Q178" s="2">
        <v>46232.818368055552</v>
      </c>
      <c r="R178" t="str">
        <f>"153000363"</f>
        <v>153000363</v>
      </c>
      <c r="S178" s="1">
        <v>48006</v>
      </c>
    </row>
    <row r="179" spans="1:19" x14ac:dyDescent="0.35">
      <c r="A179" t="s">
        <v>30</v>
      </c>
      <c r="B179" t="s">
        <v>31</v>
      </c>
      <c r="C179" t="s">
        <v>1700</v>
      </c>
      <c r="D179" t="str">
        <f t="shared" si="31"/>
        <v>2501717959</v>
      </c>
      <c r="E179" t="s">
        <v>1536</v>
      </c>
      <c r="F179" t="str">
        <f>"400402"</f>
        <v>400402</v>
      </c>
      <c r="G179" t="s">
        <v>1665</v>
      </c>
      <c r="H179" t="s">
        <v>1240</v>
      </c>
      <c r="I179" t="s">
        <v>37</v>
      </c>
      <c r="J179">
        <v>5</v>
      </c>
      <c r="K179">
        <v>10</v>
      </c>
      <c r="L179" t="str">
        <f t="shared" si="32"/>
        <v>520899</v>
      </c>
      <c r="M179" t="s">
        <v>1559</v>
      </c>
      <c r="N179" t="s">
        <v>1701</v>
      </c>
      <c r="O179" s="2">
        <v>46232.81832175926</v>
      </c>
      <c r="P179" s="2">
        <v>46232.81832175926</v>
      </c>
      <c r="Q179" s="2">
        <v>46232.81832175926</v>
      </c>
      <c r="R179" t="str">
        <f>"153000363"</f>
        <v>153000363</v>
      </c>
      <c r="S179" s="1">
        <v>48006</v>
      </c>
    </row>
    <row r="180" spans="1:19" x14ac:dyDescent="0.35">
      <c r="A180" t="s">
        <v>30</v>
      </c>
      <c r="B180" t="s">
        <v>31</v>
      </c>
      <c r="C180" t="s">
        <v>1700</v>
      </c>
      <c r="D180" t="str">
        <f t="shared" si="31"/>
        <v>2501717959</v>
      </c>
      <c r="E180" t="s">
        <v>1536</v>
      </c>
      <c r="F180" t="str">
        <f>"400393"</f>
        <v>400393</v>
      </c>
      <c r="G180" t="s">
        <v>1603</v>
      </c>
      <c r="H180" t="s">
        <v>1604</v>
      </c>
      <c r="I180" t="s">
        <v>37</v>
      </c>
      <c r="J180">
        <v>8</v>
      </c>
      <c r="K180">
        <v>8</v>
      </c>
      <c r="L180" t="str">
        <f t="shared" si="32"/>
        <v>520899</v>
      </c>
      <c r="M180" t="s">
        <v>1559</v>
      </c>
      <c r="N180" t="s">
        <v>1701</v>
      </c>
      <c r="O180" s="2">
        <v>46232.820405092592</v>
      </c>
      <c r="P180" s="2">
        <v>46232.820405092592</v>
      </c>
      <c r="Q180" s="2">
        <v>46232.820405092592</v>
      </c>
      <c r="R180" t="str">
        <f>"153000215"</f>
        <v>153000215</v>
      </c>
      <c r="S180" s="1">
        <v>47934</v>
      </c>
    </row>
    <row r="181" spans="1:19" x14ac:dyDescent="0.35">
      <c r="A181" t="s">
        <v>30</v>
      </c>
      <c r="B181" t="s">
        <v>31</v>
      </c>
      <c r="C181" t="s">
        <v>1700</v>
      </c>
      <c r="D181" t="str">
        <f t="shared" si="31"/>
        <v>2501717959</v>
      </c>
      <c r="E181" t="s">
        <v>1536</v>
      </c>
      <c r="F181" t="str">
        <f>"400420"</f>
        <v>400420</v>
      </c>
      <c r="G181" t="s">
        <v>1661</v>
      </c>
      <c r="H181" t="s">
        <v>1662</v>
      </c>
      <c r="I181" t="s">
        <v>37</v>
      </c>
      <c r="J181">
        <v>5</v>
      </c>
      <c r="K181">
        <v>5</v>
      </c>
      <c r="L181" t="str">
        <f t="shared" si="32"/>
        <v>520899</v>
      </c>
      <c r="M181" t="s">
        <v>1559</v>
      </c>
      <c r="N181" t="s">
        <v>1701</v>
      </c>
      <c r="O181" s="2">
        <v>46232.814074074071</v>
      </c>
      <c r="P181" s="2">
        <v>46232.814074074071</v>
      </c>
      <c r="Q181" s="2">
        <v>46232.814074074071</v>
      </c>
      <c r="R181" t="str">
        <f>"153000453"</f>
        <v>153000453</v>
      </c>
      <c r="S181" s="1">
        <v>48041</v>
      </c>
    </row>
    <row r="182" spans="1:19" x14ac:dyDescent="0.35">
      <c r="A182" t="s">
        <v>30</v>
      </c>
      <c r="B182" t="s">
        <v>31</v>
      </c>
      <c r="C182" t="s">
        <v>1700</v>
      </c>
      <c r="D182" t="str">
        <f t="shared" si="31"/>
        <v>2501717959</v>
      </c>
      <c r="E182" t="s">
        <v>1536</v>
      </c>
      <c r="F182" t="str">
        <f>"400390"</f>
        <v>400390</v>
      </c>
      <c r="G182" t="s">
        <v>1706</v>
      </c>
      <c r="H182" t="s">
        <v>1707</v>
      </c>
      <c r="I182" t="s">
        <v>37</v>
      </c>
      <c r="J182">
        <v>6</v>
      </c>
      <c r="K182">
        <v>6</v>
      </c>
      <c r="L182" t="str">
        <f t="shared" si="32"/>
        <v>520899</v>
      </c>
      <c r="M182" t="s">
        <v>1559</v>
      </c>
      <c r="N182" t="s">
        <v>1701</v>
      </c>
      <c r="O182" s="2">
        <v>46232.812361111108</v>
      </c>
      <c r="P182" s="2">
        <v>46232.812361111108</v>
      </c>
      <c r="Q182" s="2">
        <v>46232.812361111108</v>
      </c>
      <c r="R182" t="str">
        <f>"153000458"</f>
        <v>153000458</v>
      </c>
      <c r="S182" s="1">
        <v>48043</v>
      </c>
    </row>
    <row r="183" spans="1:19" x14ac:dyDescent="0.35">
      <c r="A183" t="s">
        <v>30</v>
      </c>
      <c r="B183" t="s">
        <v>31</v>
      </c>
      <c r="C183" t="s">
        <v>1700</v>
      </c>
      <c r="D183" t="str">
        <f t="shared" si="31"/>
        <v>2501717959</v>
      </c>
      <c r="E183" t="s">
        <v>1536</v>
      </c>
      <c r="F183" t="str">
        <f>"400905"</f>
        <v>400905</v>
      </c>
      <c r="G183" t="s">
        <v>1362</v>
      </c>
      <c r="H183" t="s">
        <v>1708</v>
      </c>
      <c r="I183" t="s">
        <v>41</v>
      </c>
      <c r="J183">
        <v>1</v>
      </c>
      <c r="K183">
        <v>1</v>
      </c>
      <c r="L183" t="str">
        <f t="shared" si="32"/>
        <v>520899</v>
      </c>
      <c r="M183" t="s">
        <v>1559</v>
      </c>
      <c r="N183" t="s">
        <v>1701</v>
      </c>
      <c r="O183" s="2">
        <v>46232.809814814813</v>
      </c>
      <c r="P183" s="2">
        <v>46232.809814814813</v>
      </c>
      <c r="Q183" s="2">
        <v>46232.809814814813</v>
      </c>
      <c r="R183" t="str">
        <f>"400004148"</f>
        <v>400004148</v>
      </c>
      <c r="S183" s="1">
        <v>47892</v>
      </c>
    </row>
    <row r="184" spans="1:19" x14ac:dyDescent="0.35">
      <c r="A184" t="s">
        <v>30</v>
      </c>
      <c r="B184" t="s">
        <v>31</v>
      </c>
      <c r="C184" t="s">
        <v>1709</v>
      </c>
      <c r="D184" t="str">
        <f>"2501717953"</f>
        <v>2501717953</v>
      </c>
      <c r="E184" t="s">
        <v>1536</v>
      </c>
      <c r="F184" t="str">
        <f>"400420"</f>
        <v>400420</v>
      </c>
      <c r="G184" t="s">
        <v>1661</v>
      </c>
      <c r="H184" t="s">
        <v>1662</v>
      </c>
      <c r="I184" t="s">
        <v>37</v>
      </c>
      <c r="J184">
        <v>8</v>
      </c>
      <c r="K184">
        <v>20</v>
      </c>
      <c r="L184" t="str">
        <f>"521097"</f>
        <v>521097</v>
      </c>
      <c r="M184" t="s">
        <v>1586</v>
      </c>
      <c r="N184" t="s">
        <v>1710</v>
      </c>
      <c r="O184" s="2">
        <v>46232.802685185183</v>
      </c>
      <c r="P184" s="2">
        <v>46232.802685185183</v>
      </c>
      <c r="Q184" s="2">
        <v>46232.802685185183</v>
      </c>
      <c r="R184" t="str">
        <f>"153000453"</f>
        <v>153000453</v>
      </c>
      <c r="S184" s="1">
        <v>48041</v>
      </c>
    </row>
    <row r="185" spans="1:19" x14ac:dyDescent="0.35">
      <c r="A185" t="s">
        <v>30</v>
      </c>
      <c r="B185" t="s">
        <v>31</v>
      </c>
      <c r="C185" t="s">
        <v>1709</v>
      </c>
      <c r="D185" t="str">
        <f>"2501717953"</f>
        <v>2501717953</v>
      </c>
      <c r="E185" t="s">
        <v>1536</v>
      </c>
      <c r="F185" t="str">
        <f>"400420"</f>
        <v>400420</v>
      </c>
      <c r="G185" t="s">
        <v>1661</v>
      </c>
      <c r="H185" t="s">
        <v>1662</v>
      </c>
      <c r="I185" t="s">
        <v>37</v>
      </c>
      <c r="J185">
        <v>12</v>
      </c>
      <c r="K185">
        <v>20</v>
      </c>
      <c r="L185" t="str">
        <f>"521097"</f>
        <v>521097</v>
      </c>
      <c r="M185" t="s">
        <v>1586</v>
      </c>
      <c r="N185" t="s">
        <v>1710</v>
      </c>
      <c r="O185" s="2">
        <v>46232.802604166667</v>
      </c>
      <c r="P185" s="2">
        <v>46232.802604166667</v>
      </c>
      <c r="Q185" s="2">
        <v>46232.802604166667</v>
      </c>
      <c r="R185" t="str">
        <f>"153000453"</f>
        <v>153000453</v>
      </c>
      <c r="S185" s="1">
        <v>48041</v>
      </c>
    </row>
    <row r="186" spans="1:19" x14ac:dyDescent="0.35">
      <c r="A186" t="s">
        <v>30</v>
      </c>
      <c r="B186" t="s">
        <v>31</v>
      </c>
      <c r="C186" t="s">
        <v>1711</v>
      </c>
      <c r="D186" t="str">
        <f>"2501717961"</f>
        <v>2501717961</v>
      </c>
      <c r="E186" t="s">
        <v>1536</v>
      </c>
      <c r="F186" t="str">
        <f>"400903"</f>
        <v>400903</v>
      </c>
      <c r="G186" t="s">
        <v>1712</v>
      </c>
      <c r="H186" t="s">
        <v>1713</v>
      </c>
      <c r="I186" t="s">
        <v>41</v>
      </c>
      <c r="J186">
        <v>2</v>
      </c>
      <c r="K186">
        <v>10</v>
      </c>
      <c r="L186" t="str">
        <f>"520617"</f>
        <v>520617</v>
      </c>
      <c r="M186" t="s">
        <v>1714</v>
      </c>
      <c r="N186" t="s">
        <v>1715</v>
      </c>
      <c r="O186" s="2">
        <v>46232.80777777778</v>
      </c>
      <c r="P186" s="2">
        <v>46232.80777777778</v>
      </c>
      <c r="Q186" s="2">
        <v>46232.80777777778</v>
      </c>
      <c r="R186" t="str">
        <f>"600000993"</f>
        <v>600000993</v>
      </c>
      <c r="S186" s="1">
        <v>47834</v>
      </c>
    </row>
    <row r="187" spans="1:19" x14ac:dyDescent="0.35">
      <c r="A187" t="s">
        <v>30</v>
      </c>
      <c r="B187" t="s">
        <v>31</v>
      </c>
      <c r="C187" t="s">
        <v>1711</v>
      </c>
      <c r="D187" t="str">
        <f>"2501717961"</f>
        <v>2501717961</v>
      </c>
      <c r="E187" t="s">
        <v>1536</v>
      </c>
      <c r="F187" t="str">
        <f>"400903"</f>
        <v>400903</v>
      </c>
      <c r="G187" t="s">
        <v>1712</v>
      </c>
      <c r="H187" t="s">
        <v>1202</v>
      </c>
      <c r="I187" t="s">
        <v>41</v>
      </c>
      <c r="J187">
        <v>4</v>
      </c>
      <c r="K187">
        <v>10</v>
      </c>
      <c r="L187" t="str">
        <f>"520617"</f>
        <v>520617</v>
      </c>
      <c r="M187" t="s">
        <v>1714</v>
      </c>
      <c r="N187" t="s">
        <v>1715</v>
      </c>
      <c r="O187" s="2">
        <v>46232.805844907409</v>
      </c>
      <c r="P187" s="2">
        <v>46232.805844907409</v>
      </c>
      <c r="Q187" s="2">
        <v>46232.805844907409</v>
      </c>
      <c r="R187" t="str">
        <f>"600000993"</f>
        <v>600000993</v>
      </c>
      <c r="S187" s="1">
        <v>47834</v>
      </c>
    </row>
    <row r="188" spans="1:19" x14ac:dyDescent="0.35">
      <c r="A188" t="s">
        <v>30</v>
      </c>
      <c r="B188" t="s">
        <v>31</v>
      </c>
      <c r="C188" t="s">
        <v>1711</v>
      </c>
      <c r="D188" t="str">
        <f>"2501717961"</f>
        <v>2501717961</v>
      </c>
      <c r="E188" t="s">
        <v>1536</v>
      </c>
      <c r="F188" t="str">
        <f>"400903"</f>
        <v>400903</v>
      </c>
      <c r="G188" t="s">
        <v>1712</v>
      </c>
      <c r="H188" t="s">
        <v>1716</v>
      </c>
      <c r="I188" t="s">
        <v>41</v>
      </c>
      <c r="J188">
        <v>4</v>
      </c>
      <c r="K188">
        <v>10</v>
      </c>
      <c r="L188" t="str">
        <f>"520617"</f>
        <v>520617</v>
      </c>
      <c r="M188" t="s">
        <v>1714</v>
      </c>
      <c r="N188" t="s">
        <v>1715</v>
      </c>
      <c r="O188" s="2">
        <v>46232.804652777777</v>
      </c>
      <c r="P188" s="2">
        <v>46232.804652777777</v>
      </c>
      <c r="Q188" s="2">
        <v>46232.804652777777</v>
      </c>
      <c r="R188" t="str">
        <f>"600000993"</f>
        <v>600000993</v>
      </c>
      <c r="S188" s="1">
        <v>47834</v>
      </c>
    </row>
    <row r="189" spans="1:19" x14ac:dyDescent="0.35">
      <c r="A189" t="s">
        <v>30</v>
      </c>
      <c r="B189" t="s">
        <v>31</v>
      </c>
      <c r="C189" t="s">
        <v>1717</v>
      </c>
      <c r="D189" t="str">
        <f>"2501717936"</f>
        <v>2501717936</v>
      </c>
      <c r="E189" t="s">
        <v>1536</v>
      </c>
      <c r="F189" t="str">
        <f>"400398"</f>
        <v>400398</v>
      </c>
      <c r="G189" t="s">
        <v>1562</v>
      </c>
      <c r="H189" t="s">
        <v>1659</v>
      </c>
      <c r="I189" t="s">
        <v>41</v>
      </c>
      <c r="J189">
        <v>3</v>
      </c>
      <c r="K189">
        <v>5</v>
      </c>
      <c r="L189" t="str">
        <f>"520605"</f>
        <v>520605</v>
      </c>
      <c r="M189" t="s">
        <v>1718</v>
      </c>
      <c r="N189" t="s">
        <v>1719</v>
      </c>
      <c r="O189" s="2">
        <v>46231.993078703701</v>
      </c>
      <c r="P189" s="2">
        <v>46231.993090277778</v>
      </c>
      <c r="Q189" s="2">
        <v>46231.993090277778</v>
      </c>
      <c r="R189" t="str">
        <f>"153000097"</f>
        <v>153000097</v>
      </c>
      <c r="S189" s="1">
        <v>47888</v>
      </c>
    </row>
    <row r="190" spans="1:19" x14ac:dyDescent="0.35">
      <c r="A190" t="s">
        <v>30</v>
      </c>
      <c r="B190" t="s">
        <v>31</v>
      </c>
      <c r="C190" t="s">
        <v>1717</v>
      </c>
      <c r="D190" t="str">
        <f>"2501717936"</f>
        <v>2501717936</v>
      </c>
      <c r="E190" t="s">
        <v>1536</v>
      </c>
      <c r="F190" t="str">
        <f>"400398"</f>
        <v>400398</v>
      </c>
      <c r="G190" t="s">
        <v>1562</v>
      </c>
      <c r="H190" t="s">
        <v>1720</v>
      </c>
      <c r="I190" t="s">
        <v>41</v>
      </c>
      <c r="J190">
        <v>2</v>
      </c>
      <c r="K190">
        <v>5</v>
      </c>
      <c r="L190" t="str">
        <f>"520605"</f>
        <v>520605</v>
      </c>
      <c r="M190" t="s">
        <v>1718</v>
      </c>
      <c r="N190" t="s">
        <v>1719</v>
      </c>
      <c r="O190" s="2">
        <v>46231.991840277777</v>
      </c>
      <c r="P190" s="2">
        <v>46231.991840277777</v>
      </c>
      <c r="Q190" s="2">
        <v>46231.991840277777</v>
      </c>
      <c r="R190" t="str">
        <f>"153000097"</f>
        <v>153000097</v>
      </c>
      <c r="S190" s="1">
        <v>47888</v>
      </c>
    </row>
    <row r="191" spans="1:19" x14ac:dyDescent="0.35">
      <c r="A191" t="s">
        <v>30</v>
      </c>
      <c r="B191" t="s">
        <v>31</v>
      </c>
      <c r="C191" t="s">
        <v>1721</v>
      </c>
      <c r="D191" t="str">
        <f>"2501717933"</f>
        <v>2501717933</v>
      </c>
      <c r="E191" t="s">
        <v>1536</v>
      </c>
      <c r="F191" t="str">
        <f>"400390"</f>
        <v>400390</v>
      </c>
      <c r="G191" t="s">
        <v>1706</v>
      </c>
      <c r="H191" t="s">
        <v>1707</v>
      </c>
      <c r="I191" t="s">
        <v>37</v>
      </c>
      <c r="J191">
        <v>14</v>
      </c>
      <c r="K191">
        <v>40</v>
      </c>
      <c r="L191" t="str">
        <f>"521022"</f>
        <v>521022</v>
      </c>
      <c r="M191" t="s">
        <v>1586</v>
      </c>
      <c r="N191" t="s">
        <v>1722</v>
      </c>
      <c r="O191" s="2">
        <v>46231.960543981484</v>
      </c>
      <c r="P191" s="2">
        <v>46231.960543981484</v>
      </c>
      <c r="Q191" s="2">
        <v>46231.960543981484</v>
      </c>
      <c r="R191" t="str">
        <f>"153000458"</f>
        <v>153000458</v>
      </c>
      <c r="S191" s="1">
        <v>48043</v>
      </c>
    </row>
    <row r="192" spans="1:19" x14ac:dyDescent="0.35">
      <c r="A192" t="s">
        <v>30</v>
      </c>
      <c r="B192" t="s">
        <v>31</v>
      </c>
      <c r="C192" t="s">
        <v>1721</v>
      </c>
      <c r="D192" t="str">
        <f>"2501717933"</f>
        <v>2501717933</v>
      </c>
      <c r="E192" t="s">
        <v>1536</v>
      </c>
      <c r="F192" t="str">
        <f>"400390"</f>
        <v>400390</v>
      </c>
      <c r="G192" t="s">
        <v>1706</v>
      </c>
      <c r="H192" t="s">
        <v>1723</v>
      </c>
      <c r="I192" t="s">
        <v>37</v>
      </c>
      <c r="J192">
        <v>26</v>
      </c>
      <c r="K192">
        <v>40</v>
      </c>
      <c r="L192" t="str">
        <f>"521022"</f>
        <v>521022</v>
      </c>
      <c r="M192" t="s">
        <v>1586</v>
      </c>
      <c r="N192" t="s">
        <v>1722</v>
      </c>
      <c r="O192" s="2">
        <v>46231.959340277775</v>
      </c>
      <c r="P192" s="2">
        <v>46231.959340277775</v>
      </c>
      <c r="Q192" s="2">
        <v>46231.959340277775</v>
      </c>
      <c r="R192" t="str">
        <f>"153000458"</f>
        <v>153000458</v>
      </c>
      <c r="S192" s="1">
        <v>48043</v>
      </c>
    </row>
    <row r="193" spans="1:19" x14ac:dyDescent="0.35">
      <c r="A193" t="s">
        <v>30</v>
      </c>
      <c r="B193" t="s">
        <v>31</v>
      </c>
      <c r="C193" t="s">
        <v>1721</v>
      </c>
      <c r="D193" t="str">
        <f>"2501717933"</f>
        <v>2501717933</v>
      </c>
      <c r="E193" t="s">
        <v>1536</v>
      </c>
      <c r="F193" t="str">
        <f>"400393"</f>
        <v>400393</v>
      </c>
      <c r="G193" t="s">
        <v>1603</v>
      </c>
      <c r="H193" t="s">
        <v>1604</v>
      </c>
      <c r="I193" t="s">
        <v>37</v>
      </c>
      <c r="J193">
        <v>23</v>
      </c>
      <c r="K193">
        <v>35</v>
      </c>
      <c r="L193" t="str">
        <f>"521022"</f>
        <v>521022</v>
      </c>
      <c r="M193" t="s">
        <v>1586</v>
      </c>
      <c r="N193" t="s">
        <v>1722</v>
      </c>
      <c r="O193" s="2">
        <v>46231.955266203702</v>
      </c>
      <c r="P193" s="2">
        <v>46231.955266203702</v>
      </c>
      <c r="Q193" s="2">
        <v>46231.955266203702</v>
      </c>
      <c r="R193" t="str">
        <f>"153000215"</f>
        <v>153000215</v>
      </c>
      <c r="S193" s="1">
        <v>47934</v>
      </c>
    </row>
    <row r="194" spans="1:19" x14ac:dyDescent="0.35">
      <c r="A194" t="s">
        <v>30</v>
      </c>
      <c r="B194" t="s">
        <v>31</v>
      </c>
      <c r="C194" t="s">
        <v>1721</v>
      </c>
      <c r="D194" t="str">
        <f>"2501717933"</f>
        <v>2501717933</v>
      </c>
      <c r="E194" t="s">
        <v>1536</v>
      </c>
      <c r="F194" t="str">
        <f>"400393"</f>
        <v>400393</v>
      </c>
      <c r="G194" t="s">
        <v>1603</v>
      </c>
      <c r="H194" t="s">
        <v>1724</v>
      </c>
      <c r="I194" t="s">
        <v>37</v>
      </c>
      <c r="J194">
        <v>12</v>
      </c>
      <c r="K194">
        <v>35</v>
      </c>
      <c r="L194" t="str">
        <f>"521022"</f>
        <v>521022</v>
      </c>
      <c r="M194" t="s">
        <v>1586</v>
      </c>
      <c r="N194" t="s">
        <v>1722</v>
      </c>
      <c r="O194" s="2">
        <v>46231.948229166665</v>
      </c>
      <c r="P194" s="2">
        <v>46231.948229166665</v>
      </c>
      <c r="Q194" s="2">
        <v>46231.948229166665</v>
      </c>
      <c r="R194" t="str">
        <f>"153000215"</f>
        <v>153000215</v>
      </c>
      <c r="S194" s="1">
        <v>47934</v>
      </c>
    </row>
    <row r="195" spans="1:19" x14ac:dyDescent="0.35">
      <c r="A195" t="s">
        <v>30</v>
      </c>
      <c r="B195" t="s">
        <v>31</v>
      </c>
      <c r="C195" t="s">
        <v>1725</v>
      </c>
      <c r="D195" t="str">
        <f>"2501717931"</f>
        <v>2501717931</v>
      </c>
      <c r="E195" t="s">
        <v>1536</v>
      </c>
      <c r="F195" t="str">
        <f>"400389"</f>
        <v>400389</v>
      </c>
      <c r="G195" t="s">
        <v>1726</v>
      </c>
      <c r="H195" t="s">
        <v>1727</v>
      </c>
      <c r="I195" t="s">
        <v>41</v>
      </c>
      <c r="J195">
        <v>1</v>
      </c>
      <c r="K195">
        <v>1</v>
      </c>
      <c r="L195" t="str">
        <f>"521036"</f>
        <v>521036</v>
      </c>
      <c r="M195" t="s">
        <v>1542</v>
      </c>
      <c r="N195" t="s">
        <v>1728</v>
      </c>
      <c r="O195" s="2">
        <v>46231.983356481483</v>
      </c>
      <c r="P195" s="2">
        <v>46231.983356481483</v>
      </c>
      <c r="Q195" s="2">
        <v>46231.983356481483</v>
      </c>
      <c r="R195" t="str">
        <f>"153000345"</f>
        <v>153000345</v>
      </c>
      <c r="S195" s="1">
        <v>48001</v>
      </c>
    </row>
    <row r="196" spans="1:19" x14ac:dyDescent="0.35">
      <c r="A196" t="s">
        <v>30</v>
      </c>
      <c r="B196" t="s">
        <v>31</v>
      </c>
      <c r="C196" t="s">
        <v>1725</v>
      </c>
      <c r="D196" t="str">
        <f>"2501717931"</f>
        <v>2501717931</v>
      </c>
      <c r="E196" t="s">
        <v>1536</v>
      </c>
      <c r="F196" t="str">
        <f>"400902"</f>
        <v>400902</v>
      </c>
      <c r="G196" t="s">
        <v>1627</v>
      </c>
      <c r="H196" t="s">
        <v>1298</v>
      </c>
      <c r="I196" t="s">
        <v>37</v>
      </c>
      <c r="J196">
        <v>10</v>
      </c>
      <c r="K196">
        <v>10</v>
      </c>
      <c r="L196" t="str">
        <f>"521036"</f>
        <v>521036</v>
      </c>
      <c r="M196" t="s">
        <v>1542</v>
      </c>
      <c r="N196" t="s">
        <v>1728</v>
      </c>
      <c r="O196" s="2">
        <v>46231.964687500003</v>
      </c>
      <c r="P196" s="2">
        <v>46231.964687500003</v>
      </c>
      <c r="Q196" s="2">
        <v>46231.964687500003</v>
      </c>
      <c r="R196" t="str">
        <f>"950001333"</f>
        <v>950001333</v>
      </c>
      <c r="S196" s="1">
        <v>47948</v>
      </c>
    </row>
    <row r="197" spans="1:19" x14ac:dyDescent="0.35">
      <c r="A197" t="s">
        <v>30</v>
      </c>
      <c r="B197" t="s">
        <v>31</v>
      </c>
      <c r="C197" t="s">
        <v>1725</v>
      </c>
      <c r="D197" t="str">
        <f>"2501717931"</f>
        <v>2501717931</v>
      </c>
      <c r="E197" t="s">
        <v>1536</v>
      </c>
      <c r="F197" t="str">
        <f>"400900"</f>
        <v>400900</v>
      </c>
      <c r="G197" t="s">
        <v>1702</v>
      </c>
      <c r="H197" t="s">
        <v>1703</v>
      </c>
      <c r="I197" t="s">
        <v>37</v>
      </c>
      <c r="J197">
        <v>10</v>
      </c>
      <c r="K197">
        <v>25</v>
      </c>
      <c r="L197" t="str">
        <f>"521036"</f>
        <v>521036</v>
      </c>
      <c r="M197" t="s">
        <v>1542</v>
      </c>
      <c r="N197" t="s">
        <v>1728</v>
      </c>
      <c r="O197" s="2">
        <v>46231.968958333331</v>
      </c>
      <c r="P197" s="2">
        <v>46231.968958333331</v>
      </c>
      <c r="Q197" s="2">
        <v>46231.968958333331</v>
      </c>
      <c r="R197" t="str">
        <f>"950001330"</f>
        <v>950001330</v>
      </c>
      <c r="S197" s="1">
        <v>47946</v>
      </c>
    </row>
    <row r="198" spans="1:19" x14ac:dyDescent="0.35">
      <c r="A198" t="s">
        <v>30</v>
      </c>
      <c r="B198" t="s">
        <v>31</v>
      </c>
      <c r="C198" t="s">
        <v>1725</v>
      </c>
      <c r="D198" t="str">
        <f>"2501717931"</f>
        <v>2501717931</v>
      </c>
      <c r="E198" t="s">
        <v>1536</v>
      </c>
      <c r="F198" t="str">
        <f>"400900"</f>
        <v>400900</v>
      </c>
      <c r="G198" t="s">
        <v>1702</v>
      </c>
      <c r="H198" t="s">
        <v>1522</v>
      </c>
      <c r="I198" t="s">
        <v>37</v>
      </c>
      <c r="J198">
        <v>2</v>
      </c>
      <c r="K198">
        <v>25</v>
      </c>
      <c r="L198" t="str">
        <f>"521036"</f>
        <v>521036</v>
      </c>
      <c r="M198" t="s">
        <v>1542</v>
      </c>
      <c r="N198" t="s">
        <v>1728</v>
      </c>
      <c r="O198" s="2">
        <v>46231.968206018515</v>
      </c>
      <c r="P198" s="2">
        <v>46231.968206018515</v>
      </c>
      <c r="Q198" s="2">
        <v>46231.968206018515</v>
      </c>
      <c r="R198" t="str">
        <f>"950001330"</f>
        <v>950001330</v>
      </c>
      <c r="S198" s="1">
        <v>47946</v>
      </c>
    </row>
    <row r="199" spans="1:19" x14ac:dyDescent="0.35">
      <c r="A199" t="s">
        <v>30</v>
      </c>
      <c r="B199" t="s">
        <v>31</v>
      </c>
      <c r="C199" t="s">
        <v>1725</v>
      </c>
      <c r="D199" t="str">
        <f>"2501717931"</f>
        <v>2501717931</v>
      </c>
      <c r="E199" t="s">
        <v>1536</v>
      </c>
      <c r="F199" t="str">
        <f>"400900"</f>
        <v>400900</v>
      </c>
      <c r="G199" t="s">
        <v>1702</v>
      </c>
      <c r="H199" t="s">
        <v>1296</v>
      </c>
      <c r="I199" t="s">
        <v>37</v>
      </c>
      <c r="J199">
        <v>13</v>
      </c>
      <c r="K199">
        <v>25</v>
      </c>
      <c r="L199" t="str">
        <f>"521036"</f>
        <v>521036</v>
      </c>
      <c r="M199" t="s">
        <v>1542</v>
      </c>
      <c r="N199" t="s">
        <v>1728</v>
      </c>
      <c r="O199" s="2">
        <v>46231.966724537036</v>
      </c>
      <c r="P199" s="2">
        <v>46231.966724537036</v>
      </c>
      <c r="Q199" s="2">
        <v>46231.966724537036</v>
      </c>
      <c r="R199" t="str">
        <f>"950001330"</f>
        <v>950001330</v>
      </c>
      <c r="S199" s="1">
        <v>47946</v>
      </c>
    </row>
    <row r="200" spans="1:19" x14ac:dyDescent="0.35">
      <c r="A200" t="s">
        <v>30</v>
      </c>
      <c r="B200" t="s">
        <v>31</v>
      </c>
      <c r="C200" t="s">
        <v>1729</v>
      </c>
      <c r="D200" t="str">
        <f t="shared" ref="D200:D207" si="33">"2501717930"</f>
        <v>2501717930</v>
      </c>
      <c r="E200" t="s">
        <v>1536</v>
      </c>
      <c r="F200" t="str">
        <f>"401047"</f>
        <v>401047</v>
      </c>
      <c r="G200" t="s">
        <v>1730</v>
      </c>
      <c r="H200" t="s">
        <v>1731</v>
      </c>
      <c r="I200" t="s">
        <v>41</v>
      </c>
      <c r="J200">
        <v>2</v>
      </c>
      <c r="K200">
        <v>5</v>
      </c>
      <c r="L200" t="str">
        <f t="shared" ref="L200:L215" si="34">"520747"</f>
        <v>520747</v>
      </c>
      <c r="M200" t="s">
        <v>1714</v>
      </c>
      <c r="N200" t="s">
        <v>1732</v>
      </c>
      <c r="O200" s="2">
        <v>46232.34302083333</v>
      </c>
      <c r="P200" s="2">
        <v>46232.34302083333</v>
      </c>
      <c r="Q200" s="2">
        <v>46232.34302083333</v>
      </c>
      <c r="R200" t="str">
        <f>"153000257"</f>
        <v>153000257</v>
      </c>
      <c r="S200" s="1">
        <v>47955</v>
      </c>
    </row>
    <row r="201" spans="1:19" x14ac:dyDescent="0.35">
      <c r="A201" t="s">
        <v>30</v>
      </c>
      <c r="B201" t="s">
        <v>31</v>
      </c>
      <c r="C201" t="s">
        <v>1729</v>
      </c>
      <c r="D201" t="str">
        <f t="shared" si="33"/>
        <v>2501717930</v>
      </c>
      <c r="E201" t="s">
        <v>1536</v>
      </c>
      <c r="F201" t="str">
        <f>"401047"</f>
        <v>401047</v>
      </c>
      <c r="G201" t="s">
        <v>1730</v>
      </c>
      <c r="H201" t="s">
        <v>1733</v>
      </c>
      <c r="I201" t="s">
        <v>41</v>
      </c>
      <c r="J201">
        <v>3</v>
      </c>
      <c r="K201">
        <v>5</v>
      </c>
      <c r="L201" t="str">
        <f t="shared" si="34"/>
        <v>520747</v>
      </c>
      <c r="M201" t="s">
        <v>1714</v>
      </c>
      <c r="N201" t="s">
        <v>1732</v>
      </c>
      <c r="O201" s="2">
        <v>46232.342847222222</v>
      </c>
      <c r="P201" s="2">
        <v>46232.342847222222</v>
      </c>
      <c r="Q201" s="2">
        <v>46232.342847222222</v>
      </c>
      <c r="R201" t="str">
        <f>"153000257"</f>
        <v>153000257</v>
      </c>
      <c r="S201" s="1">
        <v>47955</v>
      </c>
    </row>
    <row r="202" spans="1:19" x14ac:dyDescent="0.35">
      <c r="A202" t="s">
        <v>30</v>
      </c>
      <c r="B202" t="s">
        <v>31</v>
      </c>
      <c r="C202" t="s">
        <v>1729</v>
      </c>
      <c r="D202" t="str">
        <f t="shared" si="33"/>
        <v>2501717930</v>
      </c>
      <c r="E202" t="s">
        <v>1536</v>
      </c>
      <c r="F202" t="str">
        <f>"400912"</f>
        <v>400912</v>
      </c>
      <c r="G202" t="s">
        <v>174</v>
      </c>
      <c r="H202" t="s">
        <v>1734</v>
      </c>
      <c r="I202" t="s">
        <v>41</v>
      </c>
      <c r="J202">
        <v>1</v>
      </c>
      <c r="K202">
        <v>1</v>
      </c>
      <c r="L202" t="str">
        <f t="shared" si="34"/>
        <v>520747</v>
      </c>
      <c r="M202" t="s">
        <v>1714</v>
      </c>
      <c r="N202" t="s">
        <v>1732</v>
      </c>
      <c r="O202" s="2">
        <v>46232.342685185184</v>
      </c>
      <c r="P202" s="2">
        <v>46232.342685185184</v>
      </c>
      <c r="Q202" s="2">
        <v>46232.342685185184</v>
      </c>
      <c r="R202" t="str">
        <f>"400004175"</f>
        <v>400004175</v>
      </c>
      <c r="S202" s="1">
        <v>47899</v>
      </c>
    </row>
    <row r="203" spans="1:19" x14ac:dyDescent="0.35">
      <c r="A203" t="s">
        <v>30</v>
      </c>
      <c r="B203" t="s">
        <v>31</v>
      </c>
      <c r="C203" t="s">
        <v>1729</v>
      </c>
      <c r="D203" t="str">
        <f t="shared" si="33"/>
        <v>2501717930</v>
      </c>
      <c r="E203" t="s">
        <v>1536</v>
      </c>
      <c r="F203" t="str">
        <f>"400904"</f>
        <v>400904</v>
      </c>
      <c r="G203" t="s">
        <v>167</v>
      </c>
      <c r="H203" t="s">
        <v>1581</v>
      </c>
      <c r="I203" t="s">
        <v>41</v>
      </c>
      <c r="J203">
        <v>1</v>
      </c>
      <c r="K203">
        <v>1</v>
      </c>
      <c r="L203" t="str">
        <f t="shared" si="34"/>
        <v>520747</v>
      </c>
      <c r="M203" t="s">
        <v>1714</v>
      </c>
      <c r="N203" t="s">
        <v>1732</v>
      </c>
      <c r="O203" s="2">
        <v>46232.342395833337</v>
      </c>
      <c r="P203" s="2">
        <v>46232.342395833337</v>
      </c>
      <c r="Q203" s="2">
        <v>46232.342395833337</v>
      </c>
      <c r="R203" t="str">
        <f>"400004146"</f>
        <v>400004146</v>
      </c>
      <c r="S203" s="1">
        <v>47890</v>
      </c>
    </row>
    <row r="204" spans="1:19" x14ac:dyDescent="0.35">
      <c r="A204" t="s">
        <v>30</v>
      </c>
      <c r="B204" t="s">
        <v>31</v>
      </c>
      <c r="C204" t="s">
        <v>1729</v>
      </c>
      <c r="D204" t="str">
        <f t="shared" si="33"/>
        <v>2501717930</v>
      </c>
      <c r="E204" t="s">
        <v>1536</v>
      </c>
      <c r="F204" t="str">
        <f>"400441"</f>
        <v>400441</v>
      </c>
      <c r="G204" t="s">
        <v>65</v>
      </c>
      <c r="H204" t="s">
        <v>1510</v>
      </c>
      <c r="I204" t="s">
        <v>41</v>
      </c>
      <c r="J204">
        <v>1</v>
      </c>
      <c r="K204">
        <v>1</v>
      </c>
      <c r="L204" t="str">
        <f t="shared" si="34"/>
        <v>520747</v>
      </c>
      <c r="M204" t="s">
        <v>1714</v>
      </c>
      <c r="N204" t="s">
        <v>1732</v>
      </c>
      <c r="O204" s="2">
        <v>46232.342002314814</v>
      </c>
      <c r="P204" s="2">
        <v>46232.342002314814</v>
      </c>
      <c r="Q204" s="2">
        <v>46232.342002314814</v>
      </c>
      <c r="R204" t="str">
        <f>"153000332"</f>
        <v>153000332</v>
      </c>
      <c r="S204" s="1">
        <v>47986</v>
      </c>
    </row>
    <row r="205" spans="1:19" x14ac:dyDescent="0.35">
      <c r="A205" t="s">
        <v>30</v>
      </c>
      <c r="B205" t="s">
        <v>31</v>
      </c>
      <c r="C205" t="s">
        <v>1729</v>
      </c>
      <c r="D205" t="str">
        <f t="shared" si="33"/>
        <v>2501717930</v>
      </c>
      <c r="E205" t="s">
        <v>1536</v>
      </c>
      <c r="F205" t="str">
        <f>"400441"</f>
        <v>400441</v>
      </c>
      <c r="G205" t="s">
        <v>65</v>
      </c>
      <c r="H205" t="s">
        <v>1735</v>
      </c>
      <c r="I205" t="s">
        <v>41</v>
      </c>
      <c r="J205">
        <v>4</v>
      </c>
      <c r="K205">
        <v>9</v>
      </c>
      <c r="L205" t="str">
        <f t="shared" si="34"/>
        <v>520747</v>
      </c>
      <c r="M205" t="s">
        <v>1714</v>
      </c>
      <c r="N205" t="s">
        <v>1732</v>
      </c>
      <c r="O205" s="2">
        <v>46232.341805555552</v>
      </c>
      <c r="P205" s="2">
        <v>46232.341805555552</v>
      </c>
      <c r="Q205" s="2">
        <v>46232.341805555552</v>
      </c>
      <c r="R205" t="str">
        <f>"153000274"</f>
        <v>153000274</v>
      </c>
      <c r="S205" s="1">
        <v>47971</v>
      </c>
    </row>
    <row r="206" spans="1:19" x14ac:dyDescent="0.35">
      <c r="A206" t="s">
        <v>30</v>
      </c>
      <c r="B206" t="s">
        <v>31</v>
      </c>
      <c r="C206" t="s">
        <v>1729</v>
      </c>
      <c r="D206" t="str">
        <f t="shared" si="33"/>
        <v>2501717930</v>
      </c>
      <c r="E206" t="s">
        <v>1536</v>
      </c>
      <c r="F206" t="str">
        <f>"400441"</f>
        <v>400441</v>
      </c>
      <c r="G206" t="s">
        <v>65</v>
      </c>
      <c r="H206" t="s">
        <v>1538</v>
      </c>
      <c r="I206" t="s">
        <v>41</v>
      </c>
      <c r="J206">
        <v>2</v>
      </c>
      <c r="K206">
        <v>9</v>
      </c>
      <c r="L206" t="str">
        <f t="shared" si="34"/>
        <v>520747</v>
      </c>
      <c r="M206" t="s">
        <v>1714</v>
      </c>
      <c r="N206" t="s">
        <v>1732</v>
      </c>
      <c r="O206" s="2">
        <v>46232.341597222221</v>
      </c>
      <c r="P206" s="2">
        <v>46232.341597222221</v>
      </c>
      <c r="Q206" s="2">
        <v>46232.341597222221</v>
      </c>
      <c r="R206" t="str">
        <f>"153000274"</f>
        <v>153000274</v>
      </c>
      <c r="S206" s="1">
        <v>47971</v>
      </c>
    </row>
    <row r="207" spans="1:19" x14ac:dyDescent="0.35">
      <c r="A207" t="s">
        <v>30</v>
      </c>
      <c r="B207" t="s">
        <v>31</v>
      </c>
      <c r="C207" t="s">
        <v>1729</v>
      </c>
      <c r="D207" t="str">
        <f t="shared" si="33"/>
        <v>2501717930</v>
      </c>
      <c r="E207" t="s">
        <v>1536</v>
      </c>
      <c r="F207" t="str">
        <f>"400441"</f>
        <v>400441</v>
      </c>
      <c r="G207" t="s">
        <v>65</v>
      </c>
      <c r="H207" t="s">
        <v>1736</v>
      </c>
      <c r="I207" t="s">
        <v>41</v>
      </c>
      <c r="J207">
        <v>3</v>
      </c>
      <c r="K207">
        <v>9</v>
      </c>
      <c r="L207" t="str">
        <f t="shared" si="34"/>
        <v>520747</v>
      </c>
      <c r="M207" t="s">
        <v>1714</v>
      </c>
      <c r="N207" t="s">
        <v>1732</v>
      </c>
      <c r="O207" s="2">
        <v>46232.34134259259</v>
      </c>
      <c r="P207" s="2">
        <v>46232.34134259259</v>
      </c>
      <c r="Q207" s="2">
        <v>46232.34134259259</v>
      </c>
      <c r="R207" t="str">
        <f>"153000274"</f>
        <v>153000274</v>
      </c>
      <c r="S207" s="1">
        <v>47971</v>
      </c>
    </row>
    <row r="208" spans="1:19" x14ac:dyDescent="0.35">
      <c r="A208" t="s">
        <v>30</v>
      </c>
      <c r="B208" t="s">
        <v>31</v>
      </c>
      <c r="C208" t="s">
        <v>1737</v>
      </c>
      <c r="D208" t="str">
        <f t="shared" ref="D208:D215" si="35">"2501717929"</f>
        <v>2501717929</v>
      </c>
      <c r="E208" t="s">
        <v>1536</v>
      </c>
      <c r="F208" t="str">
        <f>"401047"</f>
        <v>401047</v>
      </c>
      <c r="G208" t="s">
        <v>1730</v>
      </c>
      <c r="H208" t="s">
        <v>1733</v>
      </c>
      <c r="I208" t="s">
        <v>41</v>
      </c>
      <c r="J208">
        <v>1</v>
      </c>
      <c r="K208">
        <v>5</v>
      </c>
      <c r="L208" t="str">
        <f t="shared" si="34"/>
        <v>520747</v>
      </c>
      <c r="M208" t="s">
        <v>1738</v>
      </c>
      <c r="N208" t="s">
        <v>1732</v>
      </c>
      <c r="O208" s="2">
        <v>46232.344965277778</v>
      </c>
      <c r="P208" s="2">
        <v>46232.344965277778</v>
      </c>
      <c r="Q208" s="2">
        <v>46232.344965277778</v>
      </c>
      <c r="R208" t="str">
        <f>"153000257"</f>
        <v>153000257</v>
      </c>
      <c r="S208" s="1">
        <v>47955</v>
      </c>
    </row>
    <row r="209" spans="1:19" x14ac:dyDescent="0.35">
      <c r="A209" t="s">
        <v>30</v>
      </c>
      <c r="B209" t="s">
        <v>31</v>
      </c>
      <c r="C209" t="s">
        <v>1737</v>
      </c>
      <c r="D209" t="str">
        <f t="shared" si="35"/>
        <v>2501717929</v>
      </c>
      <c r="E209" t="s">
        <v>1536</v>
      </c>
      <c r="F209" t="str">
        <f>"401047"</f>
        <v>401047</v>
      </c>
      <c r="G209" t="s">
        <v>1730</v>
      </c>
      <c r="H209" t="s">
        <v>1739</v>
      </c>
      <c r="I209" t="s">
        <v>41</v>
      </c>
      <c r="J209">
        <v>4</v>
      </c>
      <c r="K209">
        <v>5</v>
      </c>
      <c r="L209" t="str">
        <f t="shared" si="34"/>
        <v>520747</v>
      </c>
      <c r="M209" t="s">
        <v>1738</v>
      </c>
      <c r="N209" t="s">
        <v>1732</v>
      </c>
      <c r="O209" s="2">
        <v>46232.34479166667</v>
      </c>
      <c r="P209" s="2">
        <v>46232.34480324074</v>
      </c>
      <c r="Q209" s="2">
        <v>46232.34480324074</v>
      </c>
      <c r="R209" t="str">
        <f>"153000257"</f>
        <v>153000257</v>
      </c>
      <c r="S209" s="1">
        <v>47955</v>
      </c>
    </row>
    <row r="210" spans="1:19" x14ac:dyDescent="0.35">
      <c r="A210" t="s">
        <v>30</v>
      </c>
      <c r="B210" t="s">
        <v>31</v>
      </c>
      <c r="C210" t="s">
        <v>1737</v>
      </c>
      <c r="D210" t="str">
        <f t="shared" si="35"/>
        <v>2501717929</v>
      </c>
      <c r="E210" t="s">
        <v>1536</v>
      </c>
      <c r="F210" t="str">
        <f>"400912"</f>
        <v>400912</v>
      </c>
      <c r="G210" t="s">
        <v>174</v>
      </c>
      <c r="H210" t="s">
        <v>1734</v>
      </c>
      <c r="I210" t="s">
        <v>41</v>
      </c>
      <c r="J210">
        <v>1</v>
      </c>
      <c r="K210">
        <v>1</v>
      </c>
      <c r="L210" t="str">
        <f t="shared" si="34"/>
        <v>520747</v>
      </c>
      <c r="M210" t="s">
        <v>1738</v>
      </c>
      <c r="N210" t="s">
        <v>1732</v>
      </c>
      <c r="O210" s="2">
        <v>46232.344525462962</v>
      </c>
      <c r="P210" s="2">
        <v>46232.344525462962</v>
      </c>
      <c r="Q210" s="2">
        <v>46232.344525462962</v>
      </c>
      <c r="R210" t="str">
        <f>"400004175"</f>
        <v>400004175</v>
      </c>
      <c r="S210" s="1">
        <v>47899</v>
      </c>
    </row>
    <row r="211" spans="1:19" x14ac:dyDescent="0.35">
      <c r="A211" t="s">
        <v>30</v>
      </c>
      <c r="B211" t="s">
        <v>31</v>
      </c>
      <c r="C211" t="s">
        <v>1737</v>
      </c>
      <c r="D211" t="str">
        <f t="shared" si="35"/>
        <v>2501717929</v>
      </c>
      <c r="E211" t="s">
        <v>1536</v>
      </c>
      <c r="F211" t="str">
        <f>"400904"</f>
        <v>400904</v>
      </c>
      <c r="G211" t="s">
        <v>167</v>
      </c>
      <c r="H211" t="s">
        <v>1581</v>
      </c>
      <c r="I211" t="s">
        <v>41</v>
      </c>
      <c r="J211">
        <v>1</v>
      </c>
      <c r="K211">
        <v>1</v>
      </c>
      <c r="L211" t="str">
        <f t="shared" si="34"/>
        <v>520747</v>
      </c>
      <c r="M211" t="s">
        <v>1738</v>
      </c>
      <c r="N211" t="s">
        <v>1732</v>
      </c>
      <c r="O211" s="2">
        <v>46232.344340277778</v>
      </c>
      <c r="P211" s="2">
        <v>46232.344340277778</v>
      </c>
      <c r="Q211" s="2">
        <v>46232.344340277778</v>
      </c>
      <c r="R211" t="str">
        <f>"400004146"</f>
        <v>400004146</v>
      </c>
      <c r="S211" s="1">
        <v>47890</v>
      </c>
    </row>
    <row r="212" spans="1:19" x14ac:dyDescent="0.35">
      <c r="A212" t="s">
        <v>30</v>
      </c>
      <c r="B212" t="s">
        <v>31</v>
      </c>
      <c r="C212" t="s">
        <v>1737</v>
      </c>
      <c r="D212" t="str">
        <f t="shared" si="35"/>
        <v>2501717929</v>
      </c>
      <c r="E212" t="s">
        <v>1536</v>
      </c>
      <c r="F212" t="str">
        <f>"400441"</f>
        <v>400441</v>
      </c>
      <c r="G212" t="s">
        <v>65</v>
      </c>
      <c r="H212" t="s">
        <v>1736</v>
      </c>
      <c r="I212" t="s">
        <v>41</v>
      </c>
      <c r="J212">
        <v>1</v>
      </c>
      <c r="K212">
        <v>5</v>
      </c>
      <c r="L212" t="str">
        <f t="shared" si="34"/>
        <v>520747</v>
      </c>
      <c r="M212" t="s">
        <v>1738</v>
      </c>
      <c r="N212" t="s">
        <v>1732</v>
      </c>
      <c r="O212" s="2">
        <v>46232.343969907408</v>
      </c>
      <c r="P212" s="2">
        <v>46232.343969907408</v>
      </c>
      <c r="Q212" s="2">
        <v>46232.343969907408</v>
      </c>
      <c r="R212" t="str">
        <f>"153000274"</f>
        <v>153000274</v>
      </c>
      <c r="S212" s="1">
        <v>47971</v>
      </c>
    </row>
    <row r="213" spans="1:19" x14ac:dyDescent="0.35">
      <c r="A213" t="s">
        <v>30</v>
      </c>
      <c r="B213" t="s">
        <v>31</v>
      </c>
      <c r="C213" t="s">
        <v>1737</v>
      </c>
      <c r="D213" t="str">
        <f t="shared" si="35"/>
        <v>2501717929</v>
      </c>
      <c r="E213" t="s">
        <v>1536</v>
      </c>
      <c r="F213" t="str">
        <f>"400441"</f>
        <v>400441</v>
      </c>
      <c r="G213" t="s">
        <v>65</v>
      </c>
      <c r="H213" t="s">
        <v>1740</v>
      </c>
      <c r="I213" t="s">
        <v>41</v>
      </c>
      <c r="J213">
        <v>4</v>
      </c>
      <c r="K213">
        <v>5</v>
      </c>
      <c r="L213" t="str">
        <f t="shared" si="34"/>
        <v>520747</v>
      </c>
      <c r="M213" t="s">
        <v>1738</v>
      </c>
      <c r="N213" t="s">
        <v>1732</v>
      </c>
      <c r="O213" s="2">
        <v>46232.343773148146</v>
      </c>
      <c r="P213" s="2">
        <v>46232.343773148146</v>
      </c>
      <c r="Q213" s="2">
        <v>46232.343773148146</v>
      </c>
      <c r="R213" t="str">
        <f>"153000274"</f>
        <v>153000274</v>
      </c>
      <c r="S213" s="1">
        <v>47971</v>
      </c>
    </row>
    <row r="214" spans="1:19" x14ac:dyDescent="0.35">
      <c r="A214" t="s">
        <v>30</v>
      </c>
      <c r="B214" t="s">
        <v>31</v>
      </c>
      <c r="C214" t="s">
        <v>1737</v>
      </c>
      <c r="D214" t="str">
        <f t="shared" si="35"/>
        <v>2501717929</v>
      </c>
      <c r="E214" t="s">
        <v>1536</v>
      </c>
      <c r="F214" t="str">
        <f>"400441"</f>
        <v>400441</v>
      </c>
      <c r="G214" t="s">
        <v>65</v>
      </c>
      <c r="H214" t="s">
        <v>1676</v>
      </c>
      <c r="I214" t="s">
        <v>41</v>
      </c>
      <c r="J214">
        <v>2</v>
      </c>
      <c r="K214">
        <v>5</v>
      </c>
      <c r="L214" t="str">
        <f t="shared" si="34"/>
        <v>520747</v>
      </c>
      <c r="M214" t="s">
        <v>1738</v>
      </c>
      <c r="N214" t="s">
        <v>1732</v>
      </c>
      <c r="O214" s="2">
        <v>46232.343541666669</v>
      </c>
      <c r="P214" s="2">
        <v>46232.343541666669</v>
      </c>
      <c r="Q214" s="2">
        <v>46232.343541666669</v>
      </c>
      <c r="R214" t="str">
        <f>"153000271"</f>
        <v>153000271</v>
      </c>
      <c r="S214" s="1">
        <v>47966</v>
      </c>
    </row>
    <row r="215" spans="1:19" x14ac:dyDescent="0.35">
      <c r="A215" t="s">
        <v>30</v>
      </c>
      <c r="B215" t="s">
        <v>31</v>
      </c>
      <c r="C215" t="s">
        <v>1737</v>
      </c>
      <c r="D215" t="str">
        <f t="shared" si="35"/>
        <v>2501717929</v>
      </c>
      <c r="E215" t="s">
        <v>1536</v>
      </c>
      <c r="F215" t="str">
        <f>"400441"</f>
        <v>400441</v>
      </c>
      <c r="G215" t="s">
        <v>65</v>
      </c>
      <c r="H215" t="s">
        <v>1713</v>
      </c>
      <c r="I215" t="s">
        <v>41</v>
      </c>
      <c r="J215">
        <v>3</v>
      </c>
      <c r="K215">
        <v>5</v>
      </c>
      <c r="L215" t="str">
        <f t="shared" si="34"/>
        <v>520747</v>
      </c>
      <c r="M215" t="s">
        <v>1738</v>
      </c>
      <c r="N215" t="s">
        <v>1732</v>
      </c>
      <c r="O215" s="2">
        <v>46232.343333333331</v>
      </c>
      <c r="P215" s="2">
        <v>46232.343333333331</v>
      </c>
      <c r="Q215" s="2">
        <v>46232.343333333331</v>
      </c>
      <c r="R215" t="str">
        <f>"153000271"</f>
        <v>153000271</v>
      </c>
      <c r="S215" s="1">
        <v>47966</v>
      </c>
    </row>
    <row r="216" spans="1:19" x14ac:dyDescent="0.35">
      <c r="A216" t="s">
        <v>30</v>
      </c>
      <c r="B216" t="s">
        <v>31</v>
      </c>
      <c r="C216" t="s">
        <v>1741</v>
      </c>
      <c r="D216" t="str">
        <f>"2501717911"</f>
        <v>2501717911</v>
      </c>
      <c r="E216" t="s">
        <v>1536</v>
      </c>
      <c r="F216" t="str">
        <f>"400630"</f>
        <v>400630</v>
      </c>
      <c r="G216" t="s">
        <v>1742</v>
      </c>
      <c r="H216" t="s">
        <v>1743</v>
      </c>
      <c r="I216" t="s">
        <v>41</v>
      </c>
      <c r="J216">
        <v>2</v>
      </c>
      <c r="K216">
        <v>2</v>
      </c>
      <c r="L216" t="str">
        <f>"521083"</f>
        <v>521083</v>
      </c>
      <c r="M216" t="s">
        <v>1744</v>
      </c>
      <c r="N216" t="s">
        <v>1745</v>
      </c>
      <c r="O216" s="2">
        <v>46230.930787037039</v>
      </c>
      <c r="P216" s="2">
        <v>46230.930787037039</v>
      </c>
      <c r="Q216" s="2">
        <v>46230.930787037039</v>
      </c>
      <c r="R216" t="str">
        <f>"153000344"</f>
        <v>153000344</v>
      </c>
      <c r="S216" s="1">
        <v>48001</v>
      </c>
    </row>
    <row r="217" spans="1:19" x14ac:dyDescent="0.35">
      <c r="A217" t="s">
        <v>30</v>
      </c>
      <c r="B217" t="s">
        <v>31</v>
      </c>
      <c r="C217" t="s">
        <v>1746</v>
      </c>
      <c r="D217" t="str">
        <f>"2501717910"</f>
        <v>2501717910</v>
      </c>
      <c r="E217" t="s">
        <v>1536</v>
      </c>
      <c r="F217" t="str">
        <f>"400402"</f>
        <v>400402</v>
      </c>
      <c r="G217" t="s">
        <v>1665</v>
      </c>
      <c r="H217" t="s">
        <v>1240</v>
      </c>
      <c r="I217" t="s">
        <v>37</v>
      </c>
      <c r="J217">
        <v>10</v>
      </c>
      <c r="K217">
        <v>10</v>
      </c>
      <c r="L217" t="str">
        <f t="shared" ref="L217:L222" si="36">"521161"</f>
        <v>521161</v>
      </c>
      <c r="M217" t="s">
        <v>1747</v>
      </c>
      <c r="N217" t="s">
        <v>1556</v>
      </c>
      <c r="O217" s="2">
        <v>46230.938645833332</v>
      </c>
      <c r="P217" s="2">
        <v>46230.938645833332</v>
      </c>
      <c r="Q217" s="2">
        <v>46230.938645833332</v>
      </c>
      <c r="R217" t="str">
        <f>"153000363"</f>
        <v>153000363</v>
      </c>
      <c r="S217" s="1">
        <v>48006</v>
      </c>
    </row>
    <row r="218" spans="1:19" x14ac:dyDescent="0.35">
      <c r="A218" t="s">
        <v>30</v>
      </c>
      <c r="B218" t="s">
        <v>31</v>
      </c>
      <c r="C218" t="s">
        <v>1748</v>
      </c>
      <c r="D218" t="str">
        <f>"2501717909"</f>
        <v>2501717909</v>
      </c>
      <c r="E218" t="s">
        <v>1536</v>
      </c>
      <c r="F218" t="str">
        <f>"400402"</f>
        <v>400402</v>
      </c>
      <c r="G218" t="s">
        <v>1665</v>
      </c>
      <c r="H218" t="s">
        <v>1240</v>
      </c>
      <c r="I218" t="s">
        <v>37</v>
      </c>
      <c r="J218">
        <v>20</v>
      </c>
      <c r="K218">
        <v>20</v>
      </c>
      <c r="L218" t="str">
        <f t="shared" si="36"/>
        <v>521161</v>
      </c>
      <c r="M218" t="s">
        <v>1749</v>
      </c>
      <c r="N218" t="s">
        <v>1556</v>
      </c>
      <c r="O218" s="2">
        <v>46230.938449074078</v>
      </c>
      <c r="P218" s="2">
        <v>46230.938449074078</v>
      </c>
      <c r="Q218" s="2">
        <v>46230.938449074078</v>
      </c>
      <c r="R218" t="str">
        <f>"153000363"</f>
        <v>153000363</v>
      </c>
      <c r="S218" s="1">
        <v>48006</v>
      </c>
    </row>
    <row r="219" spans="1:19" x14ac:dyDescent="0.35">
      <c r="A219" t="s">
        <v>30</v>
      </c>
      <c r="B219" t="s">
        <v>31</v>
      </c>
      <c r="C219" t="s">
        <v>1748</v>
      </c>
      <c r="D219" t="str">
        <f>"2501717909"</f>
        <v>2501717909</v>
      </c>
      <c r="E219" t="s">
        <v>1536</v>
      </c>
      <c r="F219" t="str">
        <f>"400396"</f>
        <v>400396</v>
      </c>
      <c r="G219" t="s">
        <v>1750</v>
      </c>
      <c r="H219" t="s">
        <v>1751</v>
      </c>
      <c r="I219" t="s">
        <v>37</v>
      </c>
      <c r="J219">
        <v>1</v>
      </c>
      <c r="K219">
        <v>15</v>
      </c>
      <c r="L219" t="str">
        <f t="shared" si="36"/>
        <v>521161</v>
      </c>
      <c r="M219" t="s">
        <v>1749</v>
      </c>
      <c r="N219" t="s">
        <v>1556</v>
      </c>
      <c r="O219" s="2">
        <v>46230.937060185184</v>
      </c>
      <c r="P219" s="2">
        <v>46230.937060185184</v>
      </c>
      <c r="Q219" s="2">
        <v>46230.937060185184</v>
      </c>
      <c r="R219" t="str">
        <f>"153000455"</f>
        <v>153000455</v>
      </c>
      <c r="S219" s="1">
        <v>48042</v>
      </c>
    </row>
    <row r="220" spans="1:19" x14ac:dyDescent="0.35">
      <c r="A220" t="s">
        <v>30</v>
      </c>
      <c r="B220" t="s">
        <v>31</v>
      </c>
      <c r="C220" t="s">
        <v>1748</v>
      </c>
      <c r="D220" t="str">
        <f>"2501717909"</f>
        <v>2501717909</v>
      </c>
      <c r="E220" t="s">
        <v>1536</v>
      </c>
      <c r="F220" t="str">
        <f>"400396"</f>
        <v>400396</v>
      </c>
      <c r="G220" t="s">
        <v>1750</v>
      </c>
      <c r="H220" t="s">
        <v>1493</v>
      </c>
      <c r="I220" t="s">
        <v>37</v>
      </c>
      <c r="J220">
        <v>14</v>
      </c>
      <c r="K220">
        <v>15</v>
      </c>
      <c r="L220" t="str">
        <f t="shared" si="36"/>
        <v>521161</v>
      </c>
      <c r="M220" t="s">
        <v>1749</v>
      </c>
      <c r="N220" t="s">
        <v>1556</v>
      </c>
      <c r="O220" s="2">
        <v>46230.935798611114</v>
      </c>
      <c r="P220" s="2">
        <v>46230.935798611114</v>
      </c>
      <c r="Q220" s="2">
        <v>46230.935798611114</v>
      </c>
      <c r="R220" t="str">
        <f>"153000455"</f>
        <v>153000455</v>
      </c>
      <c r="S220" s="1">
        <v>48042</v>
      </c>
    </row>
    <row r="221" spans="1:19" x14ac:dyDescent="0.35">
      <c r="A221" t="s">
        <v>30</v>
      </c>
      <c r="B221" t="s">
        <v>31</v>
      </c>
      <c r="C221" t="s">
        <v>1752</v>
      </c>
      <c r="D221" t="str">
        <f>"2501717908"</f>
        <v>2501717908</v>
      </c>
      <c r="E221" t="s">
        <v>1536</v>
      </c>
      <c r="F221" t="str">
        <f>"400396"</f>
        <v>400396</v>
      </c>
      <c r="G221" t="s">
        <v>1750</v>
      </c>
      <c r="H221" t="s">
        <v>1493</v>
      </c>
      <c r="I221" t="s">
        <v>37</v>
      </c>
      <c r="J221">
        <v>14</v>
      </c>
      <c r="K221">
        <v>14</v>
      </c>
      <c r="L221" t="str">
        <f t="shared" si="36"/>
        <v>521161</v>
      </c>
      <c r="M221" t="s">
        <v>1753</v>
      </c>
      <c r="N221" t="s">
        <v>1556</v>
      </c>
      <c r="O221" s="2">
        <v>46230.933020833334</v>
      </c>
      <c r="P221" s="2">
        <v>46230.933020833334</v>
      </c>
      <c r="Q221" s="2">
        <v>46230.933020833334</v>
      </c>
      <c r="R221" t="str">
        <f>"153000455"</f>
        <v>153000455</v>
      </c>
      <c r="S221" s="1">
        <v>48042</v>
      </c>
    </row>
    <row r="222" spans="1:19" x14ac:dyDescent="0.35">
      <c r="A222" t="s">
        <v>30</v>
      </c>
      <c r="B222" t="s">
        <v>31</v>
      </c>
      <c r="C222" t="s">
        <v>1752</v>
      </c>
      <c r="D222" t="str">
        <f>"2501717908"</f>
        <v>2501717908</v>
      </c>
      <c r="E222" t="s">
        <v>1536</v>
      </c>
      <c r="F222" t="str">
        <f>"400396"</f>
        <v>400396</v>
      </c>
      <c r="G222" t="s">
        <v>1750</v>
      </c>
      <c r="H222" t="s">
        <v>1491</v>
      </c>
      <c r="I222" t="s">
        <v>37</v>
      </c>
      <c r="J222">
        <v>2</v>
      </c>
      <c r="K222">
        <v>2</v>
      </c>
      <c r="L222" t="str">
        <f t="shared" si="36"/>
        <v>521161</v>
      </c>
      <c r="M222" t="s">
        <v>1753</v>
      </c>
      <c r="N222" t="s">
        <v>1556</v>
      </c>
      <c r="O222" s="2">
        <v>46230.932905092595</v>
      </c>
      <c r="P222" s="2">
        <v>46230.932905092595</v>
      </c>
      <c r="Q222" s="2">
        <v>46230.932905092595</v>
      </c>
      <c r="R222" t="str">
        <f>"153000356"</f>
        <v>153000356</v>
      </c>
      <c r="S222" s="1">
        <v>48004</v>
      </c>
    </row>
    <row r="223" spans="1:19" x14ac:dyDescent="0.35">
      <c r="A223" t="s">
        <v>30</v>
      </c>
      <c r="B223" t="s">
        <v>31</v>
      </c>
      <c r="C223" t="s">
        <v>1754</v>
      </c>
      <c r="D223" t="str">
        <f>"2501717907"</f>
        <v>2501717907</v>
      </c>
      <c r="E223" t="s">
        <v>1536</v>
      </c>
      <c r="F223" t="str">
        <f>"400389"</f>
        <v>400389</v>
      </c>
      <c r="G223" t="s">
        <v>1726</v>
      </c>
      <c r="H223" t="s">
        <v>1755</v>
      </c>
      <c r="I223" t="s">
        <v>41</v>
      </c>
      <c r="J223">
        <v>4</v>
      </c>
      <c r="K223">
        <v>4</v>
      </c>
      <c r="L223" t="str">
        <f t="shared" ref="L223:L239" si="37">"520605"</f>
        <v>520605</v>
      </c>
      <c r="M223" t="s">
        <v>1756</v>
      </c>
      <c r="N223" t="s">
        <v>1719</v>
      </c>
      <c r="O223" s="2">
        <v>46230.91783564815</v>
      </c>
      <c r="P223" s="2">
        <v>46230.91783564815</v>
      </c>
      <c r="Q223" s="2">
        <v>46230.91783564815</v>
      </c>
      <c r="R223" t="str">
        <f>"153000345"</f>
        <v>153000345</v>
      </c>
      <c r="S223" s="1">
        <v>48001</v>
      </c>
    </row>
    <row r="224" spans="1:19" x14ac:dyDescent="0.35">
      <c r="A224" t="s">
        <v>30</v>
      </c>
      <c r="B224" t="s">
        <v>31</v>
      </c>
      <c r="C224" t="s">
        <v>1757</v>
      </c>
      <c r="D224" t="str">
        <f>"2501717906"</f>
        <v>2501717906</v>
      </c>
      <c r="E224" t="s">
        <v>1536</v>
      </c>
      <c r="F224" t="str">
        <f>"400389"</f>
        <v>400389</v>
      </c>
      <c r="G224" t="s">
        <v>1726</v>
      </c>
      <c r="H224" t="s">
        <v>1758</v>
      </c>
      <c r="I224" t="s">
        <v>41</v>
      </c>
      <c r="J224">
        <v>2</v>
      </c>
      <c r="K224">
        <v>2</v>
      </c>
      <c r="L224" t="str">
        <f t="shared" si="37"/>
        <v>520605</v>
      </c>
      <c r="M224" t="s">
        <v>1759</v>
      </c>
      <c r="N224" t="s">
        <v>1719</v>
      </c>
      <c r="O224" s="2">
        <v>46230.923252314817</v>
      </c>
      <c r="P224" s="2">
        <v>46230.923252314817</v>
      </c>
      <c r="Q224" s="2">
        <v>46230.923252314817</v>
      </c>
      <c r="R224" t="str">
        <f>"153000317"</f>
        <v>153000317</v>
      </c>
      <c r="S224" s="1">
        <v>47980</v>
      </c>
    </row>
    <row r="225" spans="1:19" x14ac:dyDescent="0.35">
      <c r="A225" t="s">
        <v>30</v>
      </c>
      <c r="B225" t="s">
        <v>31</v>
      </c>
      <c r="C225" t="s">
        <v>1760</v>
      </c>
      <c r="D225" t="str">
        <f>"2501717905"</f>
        <v>2501717905</v>
      </c>
      <c r="E225" t="s">
        <v>1536</v>
      </c>
      <c r="F225" t="str">
        <f>"400389"</f>
        <v>400389</v>
      </c>
      <c r="G225" t="s">
        <v>1726</v>
      </c>
      <c r="H225" t="s">
        <v>1758</v>
      </c>
      <c r="I225" t="s">
        <v>41</v>
      </c>
      <c r="J225">
        <v>2</v>
      </c>
      <c r="K225">
        <v>10</v>
      </c>
      <c r="L225" t="str">
        <f t="shared" si="37"/>
        <v>520605</v>
      </c>
      <c r="M225" t="s">
        <v>1761</v>
      </c>
      <c r="N225" t="s">
        <v>1719</v>
      </c>
      <c r="O225" s="2">
        <v>46230.922303240739</v>
      </c>
      <c r="P225" s="2">
        <v>46230.922303240739</v>
      </c>
      <c r="Q225" s="2">
        <v>46230.922303240739</v>
      </c>
      <c r="R225" t="str">
        <f>"153000317"</f>
        <v>153000317</v>
      </c>
      <c r="S225" s="1">
        <v>47980</v>
      </c>
    </row>
    <row r="226" spans="1:19" x14ac:dyDescent="0.35">
      <c r="A226" t="s">
        <v>30</v>
      </c>
      <c r="B226" t="s">
        <v>31</v>
      </c>
      <c r="C226" t="s">
        <v>1760</v>
      </c>
      <c r="D226" t="str">
        <f>"2501717905"</f>
        <v>2501717905</v>
      </c>
      <c r="E226" t="s">
        <v>1536</v>
      </c>
      <c r="F226" t="str">
        <f>"400389"</f>
        <v>400389</v>
      </c>
      <c r="G226" t="s">
        <v>1726</v>
      </c>
      <c r="H226" t="s">
        <v>1762</v>
      </c>
      <c r="I226" t="s">
        <v>41</v>
      </c>
      <c r="J226">
        <v>4</v>
      </c>
      <c r="K226">
        <v>10</v>
      </c>
      <c r="L226" t="str">
        <f t="shared" si="37"/>
        <v>520605</v>
      </c>
      <c r="M226" t="s">
        <v>1761</v>
      </c>
      <c r="N226" t="s">
        <v>1719</v>
      </c>
      <c r="O226" s="2">
        <v>46230.920925925922</v>
      </c>
      <c r="P226" s="2">
        <v>46230.920925925922</v>
      </c>
      <c r="Q226" s="2">
        <v>46230.920925925922</v>
      </c>
      <c r="R226" t="str">
        <f>"153000317"</f>
        <v>153000317</v>
      </c>
      <c r="S226" s="1">
        <v>47980</v>
      </c>
    </row>
    <row r="227" spans="1:19" x14ac:dyDescent="0.35">
      <c r="A227" t="s">
        <v>30</v>
      </c>
      <c r="B227" t="s">
        <v>31</v>
      </c>
      <c r="C227" t="s">
        <v>1760</v>
      </c>
      <c r="D227" t="str">
        <f>"2501717905"</f>
        <v>2501717905</v>
      </c>
      <c r="E227" t="s">
        <v>1536</v>
      </c>
      <c r="F227" t="str">
        <f>"400389"</f>
        <v>400389</v>
      </c>
      <c r="G227" t="s">
        <v>1726</v>
      </c>
      <c r="H227" t="s">
        <v>1763</v>
      </c>
      <c r="I227" t="s">
        <v>41</v>
      </c>
      <c r="J227">
        <v>4</v>
      </c>
      <c r="K227">
        <v>10</v>
      </c>
      <c r="L227" t="str">
        <f t="shared" si="37"/>
        <v>520605</v>
      </c>
      <c r="M227" t="s">
        <v>1761</v>
      </c>
      <c r="N227" t="s">
        <v>1719</v>
      </c>
      <c r="O227" s="2">
        <v>46230.919618055559</v>
      </c>
      <c r="P227" s="2">
        <v>46230.919618055559</v>
      </c>
      <c r="Q227" s="2">
        <v>46230.919618055559</v>
      </c>
      <c r="R227" t="str">
        <f>"153000317"</f>
        <v>153000317</v>
      </c>
      <c r="S227" s="1">
        <v>47980</v>
      </c>
    </row>
    <row r="228" spans="1:19" x14ac:dyDescent="0.35">
      <c r="A228" t="s">
        <v>30</v>
      </c>
      <c r="B228" t="s">
        <v>31</v>
      </c>
      <c r="C228" t="s">
        <v>1764</v>
      </c>
      <c r="D228" t="str">
        <f>"2501717904"</f>
        <v>2501717904</v>
      </c>
      <c r="E228" t="s">
        <v>1536</v>
      </c>
      <c r="F228" t="str">
        <f>"400441"</f>
        <v>400441</v>
      </c>
      <c r="G228" t="s">
        <v>65</v>
      </c>
      <c r="H228" t="s">
        <v>1713</v>
      </c>
      <c r="I228" t="s">
        <v>41</v>
      </c>
      <c r="J228">
        <v>1</v>
      </c>
      <c r="K228">
        <v>2</v>
      </c>
      <c r="L228" t="str">
        <f t="shared" si="37"/>
        <v>520605</v>
      </c>
      <c r="M228" t="s">
        <v>1718</v>
      </c>
      <c r="N228" t="s">
        <v>1719</v>
      </c>
      <c r="O228" s="2">
        <v>46230.947337962964</v>
      </c>
      <c r="P228" s="2">
        <v>46230.947337962964</v>
      </c>
      <c r="Q228" s="2">
        <v>46230.947337962964</v>
      </c>
      <c r="R228" t="str">
        <f>"153000271"</f>
        <v>153000271</v>
      </c>
      <c r="S228" s="1">
        <v>47966</v>
      </c>
    </row>
    <row r="229" spans="1:19" x14ac:dyDescent="0.35">
      <c r="A229" t="s">
        <v>30</v>
      </c>
      <c r="B229" t="s">
        <v>31</v>
      </c>
      <c r="C229" t="s">
        <v>1764</v>
      </c>
      <c r="D229" t="str">
        <f>"2501717904"</f>
        <v>2501717904</v>
      </c>
      <c r="E229" t="s">
        <v>1536</v>
      </c>
      <c r="F229" t="str">
        <f>"400441"</f>
        <v>400441</v>
      </c>
      <c r="G229" t="s">
        <v>65</v>
      </c>
      <c r="H229" t="s">
        <v>1765</v>
      </c>
      <c r="I229" t="s">
        <v>41</v>
      </c>
      <c r="J229">
        <v>1</v>
      </c>
      <c r="K229">
        <v>2</v>
      </c>
      <c r="L229" t="str">
        <f t="shared" si="37"/>
        <v>520605</v>
      </c>
      <c r="M229" t="s">
        <v>1718</v>
      </c>
      <c r="N229" t="s">
        <v>1719</v>
      </c>
      <c r="O229" s="2">
        <v>46230.947175925925</v>
      </c>
      <c r="P229" s="2">
        <v>46230.947175925925</v>
      </c>
      <c r="Q229" s="2">
        <v>46230.947175925925</v>
      </c>
      <c r="R229" t="str">
        <f>"153000271"</f>
        <v>153000271</v>
      </c>
      <c r="S229" s="1">
        <v>47966</v>
      </c>
    </row>
    <row r="230" spans="1:19" x14ac:dyDescent="0.35">
      <c r="A230" t="s">
        <v>30</v>
      </c>
      <c r="B230" t="s">
        <v>31</v>
      </c>
      <c r="C230" t="s">
        <v>1764</v>
      </c>
      <c r="D230" t="str">
        <f>"2501717904"</f>
        <v>2501717904</v>
      </c>
      <c r="E230" t="s">
        <v>1536</v>
      </c>
      <c r="F230" t="str">
        <f t="shared" ref="F230:F239" si="38">"400411"</f>
        <v>400411</v>
      </c>
      <c r="G230" t="s">
        <v>1537</v>
      </c>
      <c r="H230" t="s">
        <v>1315</v>
      </c>
      <c r="I230" t="s">
        <v>41</v>
      </c>
      <c r="J230">
        <v>3</v>
      </c>
      <c r="K230">
        <v>5</v>
      </c>
      <c r="L230" t="str">
        <f t="shared" si="37"/>
        <v>520605</v>
      </c>
      <c r="M230" t="s">
        <v>1718</v>
      </c>
      <c r="N230" t="s">
        <v>1719</v>
      </c>
      <c r="O230" s="2">
        <v>46230.947048611109</v>
      </c>
      <c r="P230" s="2">
        <v>46230.947048611109</v>
      </c>
      <c r="Q230" s="2">
        <v>46230.947048611109</v>
      </c>
      <c r="R230" t="str">
        <f>"153000433"</f>
        <v>153000433</v>
      </c>
      <c r="S230" s="1">
        <v>48034</v>
      </c>
    </row>
    <row r="231" spans="1:19" x14ac:dyDescent="0.35">
      <c r="A231" t="s">
        <v>30</v>
      </c>
      <c r="B231" t="s">
        <v>31</v>
      </c>
      <c r="C231" t="s">
        <v>1764</v>
      </c>
      <c r="D231" t="str">
        <f>"2501717904"</f>
        <v>2501717904</v>
      </c>
      <c r="E231" t="s">
        <v>1536</v>
      </c>
      <c r="F231" t="str">
        <f t="shared" si="38"/>
        <v>400411</v>
      </c>
      <c r="G231" t="s">
        <v>1537</v>
      </c>
      <c r="H231" t="s">
        <v>1766</v>
      </c>
      <c r="I231" t="s">
        <v>41</v>
      </c>
      <c r="J231">
        <v>2</v>
      </c>
      <c r="K231">
        <v>5</v>
      </c>
      <c r="L231" t="str">
        <f t="shared" si="37"/>
        <v>520605</v>
      </c>
      <c r="M231" t="s">
        <v>1718</v>
      </c>
      <c r="N231" t="s">
        <v>1719</v>
      </c>
      <c r="O231" s="2">
        <v>46230.946979166663</v>
      </c>
      <c r="P231" s="2">
        <v>46230.946979166663</v>
      </c>
      <c r="Q231" s="2">
        <v>46230.946979166663</v>
      </c>
      <c r="R231" t="str">
        <f>"153000433"</f>
        <v>153000433</v>
      </c>
      <c r="S231" s="1">
        <v>48034</v>
      </c>
    </row>
    <row r="232" spans="1:19" x14ac:dyDescent="0.35">
      <c r="A232" t="s">
        <v>30</v>
      </c>
      <c r="B232" t="s">
        <v>31</v>
      </c>
      <c r="C232" t="s">
        <v>1767</v>
      </c>
      <c r="D232" t="str">
        <f>"2501717903"</f>
        <v>2501717903</v>
      </c>
      <c r="E232" t="s">
        <v>1536</v>
      </c>
      <c r="F232" t="str">
        <f t="shared" si="38"/>
        <v>400411</v>
      </c>
      <c r="G232" t="s">
        <v>1537</v>
      </c>
      <c r="H232" t="s">
        <v>1766</v>
      </c>
      <c r="I232" t="s">
        <v>41</v>
      </c>
      <c r="J232">
        <v>1</v>
      </c>
      <c r="K232">
        <v>2</v>
      </c>
      <c r="L232" t="str">
        <f t="shared" si="37"/>
        <v>520605</v>
      </c>
      <c r="M232" t="s">
        <v>1768</v>
      </c>
      <c r="N232" t="s">
        <v>1719</v>
      </c>
      <c r="O232" s="2">
        <v>46230.946712962963</v>
      </c>
      <c r="P232" s="2">
        <v>46230.946712962963</v>
      </c>
      <c r="Q232" s="2">
        <v>46230.946712962963</v>
      </c>
      <c r="R232" t="str">
        <f>"153000433"</f>
        <v>153000433</v>
      </c>
      <c r="S232" s="1">
        <v>48034</v>
      </c>
    </row>
    <row r="233" spans="1:19" x14ac:dyDescent="0.35">
      <c r="A233" t="s">
        <v>30</v>
      </c>
      <c r="B233" t="s">
        <v>31</v>
      </c>
      <c r="C233" t="s">
        <v>1767</v>
      </c>
      <c r="D233" t="str">
        <f>"2501717903"</f>
        <v>2501717903</v>
      </c>
      <c r="E233" t="s">
        <v>1536</v>
      </c>
      <c r="F233" t="str">
        <f t="shared" si="38"/>
        <v>400411</v>
      </c>
      <c r="G233" t="s">
        <v>1537</v>
      </c>
      <c r="H233" t="s">
        <v>1766</v>
      </c>
      <c r="I233" t="s">
        <v>41</v>
      </c>
      <c r="J233">
        <v>1</v>
      </c>
      <c r="K233">
        <v>2</v>
      </c>
      <c r="L233" t="str">
        <f t="shared" si="37"/>
        <v>520605</v>
      </c>
      <c r="M233" t="s">
        <v>1768</v>
      </c>
      <c r="N233" t="s">
        <v>1719</v>
      </c>
      <c r="O233" s="2">
        <v>46230.946712962963</v>
      </c>
      <c r="P233" s="2">
        <v>46230.946712962963</v>
      </c>
      <c r="Q233" s="2">
        <v>46230.946712962963</v>
      </c>
      <c r="R233" t="str">
        <f>"153000433"</f>
        <v>153000433</v>
      </c>
      <c r="S233" s="1">
        <v>48034</v>
      </c>
    </row>
    <row r="234" spans="1:19" x14ac:dyDescent="0.35">
      <c r="A234" t="s">
        <v>30</v>
      </c>
      <c r="B234" t="s">
        <v>31</v>
      </c>
      <c r="C234" t="s">
        <v>1767</v>
      </c>
      <c r="D234" t="str">
        <f>"2501717903"</f>
        <v>2501717903</v>
      </c>
      <c r="E234" t="s">
        <v>1536</v>
      </c>
      <c r="F234" t="str">
        <f t="shared" si="38"/>
        <v>400411</v>
      </c>
      <c r="G234" t="s">
        <v>1537</v>
      </c>
      <c r="H234" t="s">
        <v>1769</v>
      </c>
      <c r="I234" t="s">
        <v>41</v>
      </c>
      <c r="J234">
        <v>1</v>
      </c>
      <c r="K234">
        <v>3</v>
      </c>
      <c r="L234" t="str">
        <f t="shared" si="37"/>
        <v>520605</v>
      </c>
      <c r="M234" t="s">
        <v>1768</v>
      </c>
      <c r="N234" t="s">
        <v>1719</v>
      </c>
      <c r="O234" s="2">
        <v>46230.946539351855</v>
      </c>
      <c r="P234" s="2">
        <v>46230.946539351855</v>
      </c>
      <c r="Q234" s="2">
        <v>46230.946539351855</v>
      </c>
      <c r="R234" t="str">
        <f t="shared" ref="R234:R239" si="39">"153000352"</f>
        <v>153000352</v>
      </c>
      <c r="S234" s="1">
        <v>48002</v>
      </c>
    </row>
    <row r="235" spans="1:19" x14ac:dyDescent="0.35">
      <c r="A235" t="s">
        <v>30</v>
      </c>
      <c r="B235" t="s">
        <v>31</v>
      </c>
      <c r="C235" t="s">
        <v>1767</v>
      </c>
      <c r="D235" t="str">
        <f>"2501717903"</f>
        <v>2501717903</v>
      </c>
      <c r="E235" t="s">
        <v>1536</v>
      </c>
      <c r="F235" t="str">
        <f t="shared" si="38"/>
        <v>400411</v>
      </c>
      <c r="G235" t="s">
        <v>1537</v>
      </c>
      <c r="H235" t="s">
        <v>1769</v>
      </c>
      <c r="I235" t="s">
        <v>41</v>
      </c>
      <c r="J235">
        <v>1</v>
      </c>
      <c r="K235">
        <v>3</v>
      </c>
      <c r="L235" t="str">
        <f t="shared" si="37"/>
        <v>520605</v>
      </c>
      <c r="M235" t="s">
        <v>1768</v>
      </c>
      <c r="N235" t="s">
        <v>1719</v>
      </c>
      <c r="O235" s="2">
        <v>46230.946539351855</v>
      </c>
      <c r="P235" s="2">
        <v>46230.946539351855</v>
      </c>
      <c r="Q235" s="2">
        <v>46230.946539351855</v>
      </c>
      <c r="R235" t="str">
        <f t="shared" si="39"/>
        <v>153000352</v>
      </c>
      <c r="S235" s="1">
        <v>48002</v>
      </c>
    </row>
    <row r="236" spans="1:19" x14ac:dyDescent="0.35">
      <c r="A236" t="s">
        <v>30</v>
      </c>
      <c r="B236" t="s">
        <v>31</v>
      </c>
      <c r="C236" t="s">
        <v>1767</v>
      </c>
      <c r="D236" t="str">
        <f>"2501717903"</f>
        <v>2501717903</v>
      </c>
      <c r="E236" t="s">
        <v>1536</v>
      </c>
      <c r="F236" t="str">
        <f t="shared" si="38"/>
        <v>400411</v>
      </c>
      <c r="G236" t="s">
        <v>1537</v>
      </c>
      <c r="H236" t="s">
        <v>1769</v>
      </c>
      <c r="I236" t="s">
        <v>41</v>
      </c>
      <c r="J236">
        <v>1</v>
      </c>
      <c r="K236">
        <v>3</v>
      </c>
      <c r="L236" t="str">
        <f t="shared" si="37"/>
        <v>520605</v>
      </c>
      <c r="M236" t="s">
        <v>1768</v>
      </c>
      <c r="N236" t="s">
        <v>1719</v>
      </c>
      <c r="O236" s="2">
        <v>46230.946539351855</v>
      </c>
      <c r="P236" s="2">
        <v>46230.946539351855</v>
      </c>
      <c r="Q236" s="2">
        <v>46230.946539351855</v>
      </c>
      <c r="R236" t="str">
        <f t="shared" si="39"/>
        <v>153000352</v>
      </c>
      <c r="S236" s="1">
        <v>48002</v>
      </c>
    </row>
    <row r="237" spans="1:19" x14ac:dyDescent="0.35">
      <c r="A237" t="s">
        <v>30</v>
      </c>
      <c r="B237" t="s">
        <v>31</v>
      </c>
      <c r="C237" t="s">
        <v>1770</v>
      </c>
      <c r="D237" t="str">
        <f>"2501717902"</f>
        <v>2501717902</v>
      </c>
      <c r="E237" t="s">
        <v>1536</v>
      </c>
      <c r="F237" t="str">
        <f t="shared" si="38"/>
        <v>400411</v>
      </c>
      <c r="G237" t="s">
        <v>1537</v>
      </c>
      <c r="H237" t="s">
        <v>1769</v>
      </c>
      <c r="I237" t="s">
        <v>41</v>
      </c>
      <c r="J237">
        <v>1</v>
      </c>
      <c r="K237">
        <v>6</v>
      </c>
      <c r="L237" t="str">
        <f t="shared" si="37"/>
        <v>520605</v>
      </c>
      <c r="M237" t="s">
        <v>1771</v>
      </c>
      <c r="N237" t="s">
        <v>1719</v>
      </c>
      <c r="O237" s="2">
        <v>46230.927731481483</v>
      </c>
      <c r="P237" s="2">
        <v>46230.927731481483</v>
      </c>
      <c r="Q237" s="2">
        <v>46230.927731481483</v>
      </c>
      <c r="R237" t="str">
        <f t="shared" si="39"/>
        <v>153000352</v>
      </c>
      <c r="S237" s="1">
        <v>48002</v>
      </c>
    </row>
    <row r="238" spans="1:19" x14ac:dyDescent="0.35">
      <c r="A238" t="s">
        <v>30</v>
      </c>
      <c r="B238" t="s">
        <v>31</v>
      </c>
      <c r="C238" t="s">
        <v>1770</v>
      </c>
      <c r="D238" t="str">
        <f>"2501717902"</f>
        <v>2501717902</v>
      </c>
      <c r="E238" t="s">
        <v>1536</v>
      </c>
      <c r="F238" t="str">
        <f t="shared" si="38"/>
        <v>400411</v>
      </c>
      <c r="G238" t="s">
        <v>1537</v>
      </c>
      <c r="H238" t="s">
        <v>459</v>
      </c>
      <c r="I238" t="s">
        <v>41</v>
      </c>
      <c r="J238">
        <v>1</v>
      </c>
      <c r="K238">
        <v>6</v>
      </c>
      <c r="L238" t="str">
        <f t="shared" si="37"/>
        <v>520605</v>
      </c>
      <c r="M238" t="s">
        <v>1771</v>
      </c>
      <c r="N238" t="s">
        <v>1719</v>
      </c>
      <c r="O238" s="2">
        <v>46230.928240740737</v>
      </c>
      <c r="P238" s="2">
        <v>46230.928240740737</v>
      </c>
      <c r="Q238" s="2">
        <v>46230.928240740737</v>
      </c>
      <c r="R238" t="str">
        <f t="shared" si="39"/>
        <v>153000352</v>
      </c>
      <c r="S238" s="1">
        <v>48002</v>
      </c>
    </row>
    <row r="239" spans="1:19" x14ac:dyDescent="0.35">
      <c r="A239" t="s">
        <v>30</v>
      </c>
      <c r="B239" t="s">
        <v>31</v>
      </c>
      <c r="C239" t="s">
        <v>1770</v>
      </c>
      <c r="D239" t="str">
        <f>"2501717902"</f>
        <v>2501717902</v>
      </c>
      <c r="E239" t="s">
        <v>1536</v>
      </c>
      <c r="F239" t="str">
        <f t="shared" si="38"/>
        <v>400411</v>
      </c>
      <c r="G239" t="s">
        <v>1537</v>
      </c>
      <c r="H239" t="s">
        <v>1772</v>
      </c>
      <c r="I239" t="s">
        <v>41</v>
      </c>
      <c r="J239">
        <v>4</v>
      </c>
      <c r="K239">
        <v>6</v>
      </c>
      <c r="L239" t="str">
        <f t="shared" si="37"/>
        <v>520605</v>
      </c>
      <c r="M239" t="s">
        <v>1771</v>
      </c>
      <c r="N239" t="s">
        <v>1719</v>
      </c>
      <c r="O239" s="2">
        <v>46230.926122685189</v>
      </c>
      <c r="P239" s="2">
        <v>46230.926122685189</v>
      </c>
      <c r="Q239" s="2">
        <v>46230.926122685189</v>
      </c>
      <c r="R239" t="str">
        <f t="shared" si="39"/>
        <v>153000352</v>
      </c>
      <c r="S239" s="1">
        <v>48002</v>
      </c>
    </row>
    <row r="240" spans="1:19" x14ac:dyDescent="0.35">
      <c r="A240" t="s">
        <v>30</v>
      </c>
      <c r="B240" t="s">
        <v>31</v>
      </c>
      <c r="C240" t="s">
        <v>1773</v>
      </c>
      <c r="D240" t="str">
        <f>"2501717901"</f>
        <v>2501717901</v>
      </c>
      <c r="E240" t="s">
        <v>1536</v>
      </c>
      <c r="F240" t="str">
        <f>"400903"</f>
        <v>400903</v>
      </c>
      <c r="G240" t="s">
        <v>1712</v>
      </c>
      <c r="H240" t="s">
        <v>1519</v>
      </c>
      <c r="I240" t="s">
        <v>41</v>
      </c>
      <c r="J240">
        <v>3</v>
      </c>
      <c r="K240">
        <v>3</v>
      </c>
      <c r="L240" t="str">
        <f>"521234"</f>
        <v>521234</v>
      </c>
      <c r="M240" t="s">
        <v>1774</v>
      </c>
      <c r="N240" t="s">
        <v>1583</v>
      </c>
      <c r="O240" s="2">
        <v>46230.94604166667</v>
      </c>
      <c r="P240" s="2">
        <v>46230.94604166667</v>
      </c>
      <c r="Q240" s="2">
        <v>46230.94604166667</v>
      </c>
      <c r="R240" t="str">
        <f>"600000993"</f>
        <v>600000993</v>
      </c>
      <c r="S240" s="1">
        <v>47834</v>
      </c>
    </row>
    <row r="241" spans="1:19" x14ac:dyDescent="0.35">
      <c r="A241" t="s">
        <v>30</v>
      </c>
      <c r="B241" t="s">
        <v>31</v>
      </c>
      <c r="C241" t="s">
        <v>1773</v>
      </c>
      <c r="D241" t="str">
        <f>"2501717901"</f>
        <v>2501717901</v>
      </c>
      <c r="E241" t="s">
        <v>1536</v>
      </c>
      <c r="F241" t="str">
        <f>"400441"</f>
        <v>400441</v>
      </c>
      <c r="G241" t="s">
        <v>65</v>
      </c>
      <c r="H241" t="s">
        <v>1765</v>
      </c>
      <c r="I241" t="s">
        <v>41</v>
      </c>
      <c r="J241">
        <v>3</v>
      </c>
      <c r="K241">
        <v>10</v>
      </c>
      <c r="L241" t="str">
        <f>"521234"</f>
        <v>521234</v>
      </c>
      <c r="M241" t="s">
        <v>1774</v>
      </c>
      <c r="N241" t="s">
        <v>1583</v>
      </c>
      <c r="O241" s="2">
        <v>46230.945937500001</v>
      </c>
      <c r="P241" s="2">
        <v>46230.945937500001</v>
      </c>
      <c r="Q241" s="2">
        <v>46230.945937500001</v>
      </c>
      <c r="R241" t="str">
        <f>"153000271"</f>
        <v>153000271</v>
      </c>
      <c r="S241" s="1">
        <v>47966</v>
      </c>
    </row>
    <row r="242" spans="1:19" x14ac:dyDescent="0.35">
      <c r="A242" t="s">
        <v>30</v>
      </c>
      <c r="B242" t="s">
        <v>31</v>
      </c>
      <c r="C242" t="s">
        <v>1773</v>
      </c>
      <c r="D242" t="str">
        <f>"2501717901"</f>
        <v>2501717901</v>
      </c>
      <c r="E242" t="s">
        <v>1536</v>
      </c>
      <c r="F242" t="str">
        <f>"400441"</f>
        <v>400441</v>
      </c>
      <c r="G242" t="s">
        <v>65</v>
      </c>
      <c r="H242" t="s">
        <v>1775</v>
      </c>
      <c r="I242" t="s">
        <v>41</v>
      </c>
      <c r="J242">
        <v>4</v>
      </c>
      <c r="K242">
        <v>10</v>
      </c>
      <c r="L242" t="str">
        <f>"521234"</f>
        <v>521234</v>
      </c>
      <c r="M242" t="s">
        <v>1774</v>
      </c>
      <c r="N242" t="s">
        <v>1583</v>
      </c>
      <c r="O242" s="2">
        <v>46230.945833333331</v>
      </c>
      <c r="P242" s="2">
        <v>46230.945833333331</v>
      </c>
      <c r="Q242" s="2">
        <v>46230.945833333331</v>
      </c>
      <c r="R242" t="str">
        <f>"153000271"</f>
        <v>153000271</v>
      </c>
      <c r="S242" s="1">
        <v>47966</v>
      </c>
    </row>
    <row r="243" spans="1:19" x14ac:dyDescent="0.35">
      <c r="A243" t="s">
        <v>30</v>
      </c>
      <c r="B243" t="s">
        <v>31</v>
      </c>
      <c r="C243" t="s">
        <v>1773</v>
      </c>
      <c r="D243" t="str">
        <f>"2501717901"</f>
        <v>2501717901</v>
      </c>
      <c r="E243" t="s">
        <v>1536</v>
      </c>
      <c r="F243" t="str">
        <f>"400441"</f>
        <v>400441</v>
      </c>
      <c r="G243" t="s">
        <v>65</v>
      </c>
      <c r="H243" t="s">
        <v>1713</v>
      </c>
      <c r="I243" t="s">
        <v>41</v>
      </c>
      <c r="J243">
        <v>3</v>
      </c>
      <c r="K243">
        <v>10</v>
      </c>
      <c r="L243" t="str">
        <f>"521234"</f>
        <v>521234</v>
      </c>
      <c r="M243" t="s">
        <v>1774</v>
      </c>
      <c r="N243" t="s">
        <v>1583</v>
      </c>
      <c r="O243" s="2">
        <v>46230.945625</v>
      </c>
      <c r="P243" s="2">
        <v>46230.945625</v>
      </c>
      <c r="Q243" s="2">
        <v>46230.945625</v>
      </c>
      <c r="R243" t="str">
        <f>"153000271"</f>
        <v>153000271</v>
      </c>
      <c r="S243" s="1">
        <v>47966</v>
      </c>
    </row>
    <row r="244" spans="1:19" x14ac:dyDescent="0.35">
      <c r="A244" t="s">
        <v>30</v>
      </c>
      <c r="B244" t="s">
        <v>31</v>
      </c>
      <c r="C244" t="s">
        <v>1776</v>
      </c>
      <c r="D244" t="str">
        <f>"2501717899"</f>
        <v>2501717899</v>
      </c>
      <c r="E244" t="s">
        <v>1536</v>
      </c>
      <c r="F244" t="str">
        <f>"400411"</f>
        <v>400411</v>
      </c>
      <c r="G244" t="s">
        <v>1537</v>
      </c>
      <c r="H244" t="s">
        <v>1777</v>
      </c>
      <c r="I244" t="s">
        <v>41</v>
      </c>
      <c r="J244">
        <v>4</v>
      </c>
      <c r="K244">
        <v>5</v>
      </c>
      <c r="L244" t="str">
        <f>"520605"</f>
        <v>520605</v>
      </c>
      <c r="M244" t="s">
        <v>1718</v>
      </c>
      <c r="N244" t="s">
        <v>1719</v>
      </c>
      <c r="O244" s="2">
        <v>46230.945208333331</v>
      </c>
      <c r="P244" s="2">
        <v>46230.945208333331</v>
      </c>
      <c r="Q244" s="2">
        <v>46230.945208333331</v>
      </c>
      <c r="R244" t="str">
        <f>"153000352"</f>
        <v>153000352</v>
      </c>
      <c r="S244" s="1">
        <v>48002</v>
      </c>
    </row>
    <row r="245" spans="1:19" x14ac:dyDescent="0.35">
      <c r="A245" t="s">
        <v>30</v>
      </c>
      <c r="B245" t="s">
        <v>31</v>
      </c>
      <c r="C245" t="s">
        <v>1776</v>
      </c>
      <c r="D245" t="str">
        <f>"2501717899"</f>
        <v>2501717899</v>
      </c>
      <c r="E245" t="s">
        <v>1536</v>
      </c>
      <c r="F245" t="str">
        <f>"400411"</f>
        <v>400411</v>
      </c>
      <c r="G245" t="s">
        <v>1537</v>
      </c>
      <c r="H245" t="s">
        <v>1364</v>
      </c>
      <c r="I245" t="s">
        <v>41</v>
      </c>
      <c r="J245">
        <v>1</v>
      </c>
      <c r="K245">
        <v>5</v>
      </c>
      <c r="L245" t="str">
        <f>"520605"</f>
        <v>520605</v>
      </c>
      <c r="M245" t="s">
        <v>1718</v>
      </c>
      <c r="N245" t="s">
        <v>1719</v>
      </c>
      <c r="O245" s="2">
        <v>46230.945150462961</v>
      </c>
      <c r="P245" s="2">
        <v>46230.945150462961</v>
      </c>
      <c r="Q245" s="2">
        <v>46230.945150462961</v>
      </c>
      <c r="R245" t="str">
        <f>"153000352"</f>
        <v>153000352</v>
      </c>
      <c r="S245" s="1">
        <v>48002</v>
      </c>
    </row>
    <row r="246" spans="1:19" x14ac:dyDescent="0.35">
      <c r="A246" t="s">
        <v>30</v>
      </c>
      <c r="B246" t="s">
        <v>31</v>
      </c>
      <c r="C246" t="s">
        <v>1778</v>
      </c>
      <c r="D246" t="str">
        <f>"2501717875"</f>
        <v>2501717875</v>
      </c>
      <c r="E246" t="s">
        <v>1536</v>
      </c>
      <c r="F246" t="str">
        <f>"400420"</f>
        <v>400420</v>
      </c>
      <c r="G246" t="s">
        <v>1661</v>
      </c>
      <c r="H246" t="s">
        <v>1662</v>
      </c>
      <c r="I246" t="s">
        <v>37</v>
      </c>
      <c r="J246">
        <v>5</v>
      </c>
      <c r="K246">
        <v>5</v>
      </c>
      <c r="L246" t="str">
        <f>"521161"</f>
        <v>521161</v>
      </c>
      <c r="M246" t="s">
        <v>1779</v>
      </c>
      <c r="N246" t="s">
        <v>1556</v>
      </c>
      <c r="O246" s="2">
        <v>46229.83457175926</v>
      </c>
      <c r="P246" s="2">
        <v>46229.83457175926</v>
      </c>
      <c r="Q246" s="2">
        <v>46229.83457175926</v>
      </c>
      <c r="R246" t="str">
        <f>"153000453"</f>
        <v>153000453</v>
      </c>
      <c r="S246" s="1">
        <v>48041</v>
      </c>
    </row>
    <row r="247" spans="1:19" x14ac:dyDescent="0.35">
      <c r="A247" t="s">
        <v>30</v>
      </c>
      <c r="B247" t="s">
        <v>31</v>
      </c>
      <c r="C247" t="s">
        <v>1778</v>
      </c>
      <c r="D247" t="str">
        <f>"2501717875"</f>
        <v>2501717875</v>
      </c>
      <c r="E247" t="s">
        <v>1536</v>
      </c>
      <c r="F247" t="str">
        <f>"400405"</f>
        <v>400405</v>
      </c>
      <c r="G247" t="s">
        <v>519</v>
      </c>
      <c r="H247" t="s">
        <v>1330</v>
      </c>
      <c r="I247" t="s">
        <v>37</v>
      </c>
      <c r="J247">
        <v>4</v>
      </c>
      <c r="K247">
        <v>52</v>
      </c>
      <c r="L247" t="str">
        <f>"521161"</f>
        <v>521161</v>
      </c>
      <c r="M247" t="s">
        <v>1779</v>
      </c>
      <c r="N247" t="s">
        <v>1556</v>
      </c>
      <c r="O247" s="2">
        <v>46229.833368055559</v>
      </c>
      <c r="P247" s="2">
        <v>46229.833368055559</v>
      </c>
      <c r="Q247" s="2">
        <v>46229.833368055559</v>
      </c>
      <c r="R247" t="str">
        <f>"153000440"</f>
        <v>153000440</v>
      </c>
      <c r="S247" s="1">
        <v>48036</v>
      </c>
    </row>
    <row r="248" spans="1:19" x14ac:dyDescent="0.35">
      <c r="A248" t="s">
        <v>30</v>
      </c>
      <c r="B248" t="s">
        <v>31</v>
      </c>
      <c r="C248" t="s">
        <v>1778</v>
      </c>
      <c r="D248" t="str">
        <f>"2501717875"</f>
        <v>2501717875</v>
      </c>
      <c r="E248" t="s">
        <v>1536</v>
      </c>
      <c r="F248" t="str">
        <f>"400405"</f>
        <v>400405</v>
      </c>
      <c r="G248" t="s">
        <v>519</v>
      </c>
      <c r="H248" t="s">
        <v>1330</v>
      </c>
      <c r="I248" t="s">
        <v>37</v>
      </c>
      <c r="J248">
        <v>48</v>
      </c>
      <c r="K248">
        <v>52</v>
      </c>
      <c r="L248" t="str">
        <f>"521161"</f>
        <v>521161</v>
      </c>
      <c r="M248" t="s">
        <v>1779</v>
      </c>
      <c r="N248" t="s">
        <v>1556</v>
      </c>
      <c r="O248" s="2">
        <v>46229.833171296297</v>
      </c>
      <c r="P248" s="2">
        <v>46229.833171296297</v>
      </c>
      <c r="Q248" s="2">
        <v>46229.833171296297</v>
      </c>
      <c r="R248" t="str">
        <f>"153000440"</f>
        <v>153000440</v>
      </c>
      <c r="S248" s="1">
        <v>48036</v>
      </c>
    </row>
    <row r="249" spans="1:19" x14ac:dyDescent="0.35">
      <c r="A249" t="s">
        <v>30</v>
      </c>
      <c r="B249" t="s">
        <v>31</v>
      </c>
      <c r="C249" t="s">
        <v>1780</v>
      </c>
      <c r="D249" t="str">
        <f t="shared" ref="D249:D267" si="40">"2501717874"</f>
        <v>2501717874</v>
      </c>
      <c r="E249" t="s">
        <v>1536</v>
      </c>
      <c r="F249" t="str">
        <f>"401072"</f>
        <v>401072</v>
      </c>
      <c r="G249" t="s">
        <v>1781</v>
      </c>
      <c r="H249" t="s">
        <v>1782</v>
      </c>
      <c r="I249" t="s">
        <v>41</v>
      </c>
      <c r="J249">
        <v>4</v>
      </c>
      <c r="K249">
        <v>4</v>
      </c>
      <c r="L249" t="str">
        <f t="shared" ref="L249:L267" si="41">"520609"</f>
        <v>520609</v>
      </c>
      <c r="M249" t="s">
        <v>1783</v>
      </c>
      <c r="N249" t="s">
        <v>1693</v>
      </c>
      <c r="O249" s="2">
        <v>46229.78565972222</v>
      </c>
      <c r="P249" s="2">
        <v>46229.78565972222</v>
      </c>
      <c r="Q249" s="2">
        <v>46229.78565972222</v>
      </c>
      <c r="R249" t="str">
        <f>"153000258"</f>
        <v>153000258</v>
      </c>
      <c r="S249" s="1">
        <v>47953</v>
      </c>
    </row>
    <row r="250" spans="1:19" x14ac:dyDescent="0.35">
      <c r="A250" t="s">
        <v>30</v>
      </c>
      <c r="B250" t="s">
        <v>31</v>
      </c>
      <c r="C250" t="s">
        <v>1780</v>
      </c>
      <c r="D250" t="str">
        <f t="shared" si="40"/>
        <v>2501717874</v>
      </c>
      <c r="E250" t="s">
        <v>1536</v>
      </c>
      <c r="F250" t="str">
        <f>"401072"</f>
        <v>401072</v>
      </c>
      <c r="G250" t="s">
        <v>1781</v>
      </c>
      <c r="H250" t="s">
        <v>1129</v>
      </c>
      <c r="I250" t="s">
        <v>41</v>
      </c>
      <c r="J250">
        <v>4</v>
      </c>
      <c r="K250">
        <v>13</v>
      </c>
      <c r="L250" t="str">
        <f t="shared" si="41"/>
        <v>520609</v>
      </c>
      <c r="M250" t="s">
        <v>1783</v>
      </c>
      <c r="N250" t="s">
        <v>1693</v>
      </c>
      <c r="O250" s="2">
        <v>46229.784247685187</v>
      </c>
      <c r="P250" s="2">
        <v>46229.784247685187</v>
      </c>
      <c r="Q250" s="2">
        <v>46229.784247685187</v>
      </c>
      <c r="R250" t="str">
        <f>"153000170"</f>
        <v>153000170</v>
      </c>
      <c r="S250" s="1">
        <v>47914</v>
      </c>
    </row>
    <row r="251" spans="1:19" x14ac:dyDescent="0.35">
      <c r="A251" t="s">
        <v>30</v>
      </c>
      <c r="B251" t="s">
        <v>31</v>
      </c>
      <c r="C251" t="s">
        <v>1780</v>
      </c>
      <c r="D251" t="str">
        <f t="shared" si="40"/>
        <v>2501717874</v>
      </c>
      <c r="E251" t="s">
        <v>1536</v>
      </c>
      <c r="F251" t="str">
        <f>"401072"</f>
        <v>401072</v>
      </c>
      <c r="G251" t="s">
        <v>1781</v>
      </c>
      <c r="H251" t="s">
        <v>1151</v>
      </c>
      <c r="I251" t="s">
        <v>41</v>
      </c>
      <c r="J251">
        <v>4</v>
      </c>
      <c r="K251">
        <v>13</v>
      </c>
      <c r="L251" t="str">
        <f t="shared" si="41"/>
        <v>520609</v>
      </c>
      <c r="M251" t="s">
        <v>1783</v>
      </c>
      <c r="N251" t="s">
        <v>1693</v>
      </c>
      <c r="O251" s="2">
        <v>46229.781886574077</v>
      </c>
      <c r="P251" s="2">
        <v>46229.781886574077</v>
      </c>
      <c r="Q251" s="2">
        <v>46229.781886574077</v>
      </c>
      <c r="R251" t="str">
        <f>"153000170"</f>
        <v>153000170</v>
      </c>
      <c r="S251" s="1">
        <v>47914</v>
      </c>
    </row>
    <row r="252" spans="1:19" x14ac:dyDescent="0.35">
      <c r="A252" t="s">
        <v>30</v>
      </c>
      <c r="B252" t="s">
        <v>31</v>
      </c>
      <c r="C252" t="s">
        <v>1780</v>
      </c>
      <c r="D252" t="str">
        <f t="shared" si="40"/>
        <v>2501717874</v>
      </c>
      <c r="E252" t="s">
        <v>1536</v>
      </c>
      <c r="F252" t="str">
        <f>"401072"</f>
        <v>401072</v>
      </c>
      <c r="G252" t="s">
        <v>1781</v>
      </c>
      <c r="H252" t="s">
        <v>1121</v>
      </c>
      <c r="I252" t="s">
        <v>41</v>
      </c>
      <c r="J252">
        <v>4</v>
      </c>
      <c r="K252">
        <v>13</v>
      </c>
      <c r="L252" t="str">
        <f t="shared" si="41"/>
        <v>520609</v>
      </c>
      <c r="M252" t="s">
        <v>1783</v>
      </c>
      <c r="N252" t="s">
        <v>1693</v>
      </c>
      <c r="O252" s="2">
        <v>46229.780219907407</v>
      </c>
      <c r="P252" s="2">
        <v>46229.780219907407</v>
      </c>
      <c r="Q252" s="2">
        <v>46229.780219907407</v>
      </c>
      <c r="R252" t="str">
        <f>"153000170"</f>
        <v>153000170</v>
      </c>
      <c r="S252" s="1">
        <v>47914</v>
      </c>
    </row>
    <row r="253" spans="1:19" x14ac:dyDescent="0.35">
      <c r="A253" t="s">
        <v>30</v>
      </c>
      <c r="B253" t="s">
        <v>31</v>
      </c>
      <c r="C253" t="s">
        <v>1780</v>
      </c>
      <c r="D253" t="str">
        <f t="shared" si="40"/>
        <v>2501717874</v>
      </c>
      <c r="E253" t="s">
        <v>1536</v>
      </c>
      <c r="F253" t="str">
        <f>"401072"</f>
        <v>401072</v>
      </c>
      <c r="G253" t="s">
        <v>1781</v>
      </c>
      <c r="H253" t="s">
        <v>1784</v>
      </c>
      <c r="I253" t="s">
        <v>41</v>
      </c>
      <c r="J253">
        <v>1</v>
      </c>
      <c r="K253">
        <v>13</v>
      </c>
      <c r="L253" t="str">
        <f t="shared" si="41"/>
        <v>520609</v>
      </c>
      <c r="M253" t="s">
        <v>1783</v>
      </c>
      <c r="N253" t="s">
        <v>1693</v>
      </c>
      <c r="O253" s="2">
        <v>46229.818749999999</v>
      </c>
      <c r="P253" s="2">
        <v>46229.818749999999</v>
      </c>
      <c r="Q253" s="2">
        <v>46229.818749999999</v>
      </c>
      <c r="R253" t="str">
        <f>"153000170"</f>
        <v>153000170</v>
      </c>
      <c r="S253" s="1">
        <v>47914</v>
      </c>
    </row>
    <row r="254" spans="1:19" x14ac:dyDescent="0.35">
      <c r="A254" t="s">
        <v>30</v>
      </c>
      <c r="B254" t="s">
        <v>31</v>
      </c>
      <c r="C254" t="s">
        <v>1780</v>
      </c>
      <c r="D254" t="str">
        <f t="shared" si="40"/>
        <v>2501717874</v>
      </c>
      <c r="E254" t="s">
        <v>1536</v>
      </c>
      <c r="F254" t="str">
        <f>"400904"</f>
        <v>400904</v>
      </c>
      <c r="G254" t="s">
        <v>167</v>
      </c>
      <c r="H254" t="s">
        <v>1115</v>
      </c>
      <c r="I254" t="s">
        <v>41</v>
      </c>
      <c r="J254">
        <v>4</v>
      </c>
      <c r="K254">
        <v>8</v>
      </c>
      <c r="L254" t="str">
        <f t="shared" si="41"/>
        <v>520609</v>
      </c>
      <c r="M254" t="s">
        <v>1783</v>
      </c>
      <c r="N254" t="s">
        <v>1693</v>
      </c>
      <c r="O254" s="2">
        <v>46229.779629629629</v>
      </c>
      <c r="P254" s="2">
        <v>46229.779629629629</v>
      </c>
      <c r="Q254" s="2">
        <v>46229.779629629629</v>
      </c>
      <c r="R254" t="str">
        <f>"400004146"</f>
        <v>400004146</v>
      </c>
      <c r="S254" s="1">
        <v>47890</v>
      </c>
    </row>
    <row r="255" spans="1:19" x14ac:dyDescent="0.35">
      <c r="A255" t="s">
        <v>30</v>
      </c>
      <c r="B255" t="s">
        <v>31</v>
      </c>
      <c r="C255" t="s">
        <v>1780</v>
      </c>
      <c r="D255" t="str">
        <f t="shared" si="40"/>
        <v>2501717874</v>
      </c>
      <c r="E255" t="s">
        <v>1536</v>
      </c>
      <c r="F255" t="str">
        <f>"400904"</f>
        <v>400904</v>
      </c>
      <c r="G255" t="s">
        <v>167</v>
      </c>
      <c r="H255" t="s">
        <v>1510</v>
      </c>
      <c r="I255" t="s">
        <v>41</v>
      </c>
      <c r="J255">
        <v>4</v>
      </c>
      <c r="K255">
        <v>8</v>
      </c>
      <c r="L255" t="str">
        <f t="shared" si="41"/>
        <v>520609</v>
      </c>
      <c r="M255" t="s">
        <v>1783</v>
      </c>
      <c r="N255" t="s">
        <v>1693</v>
      </c>
      <c r="O255" s="2">
        <v>46229.814814814818</v>
      </c>
      <c r="P255" s="2">
        <v>46229.814814814818</v>
      </c>
      <c r="Q255" s="2">
        <v>46229.814814814818</v>
      </c>
      <c r="R255" t="str">
        <f>"400004146"</f>
        <v>400004146</v>
      </c>
      <c r="S255" s="1">
        <v>47890</v>
      </c>
    </row>
    <row r="256" spans="1:19" x14ac:dyDescent="0.35">
      <c r="A256" t="s">
        <v>30</v>
      </c>
      <c r="B256" t="s">
        <v>31</v>
      </c>
      <c r="C256" t="s">
        <v>1780</v>
      </c>
      <c r="D256" t="str">
        <f t="shared" si="40"/>
        <v>2501717874</v>
      </c>
      <c r="E256" t="s">
        <v>1536</v>
      </c>
      <c r="F256" t="str">
        <f>"400904"</f>
        <v>400904</v>
      </c>
      <c r="G256" t="s">
        <v>167</v>
      </c>
      <c r="H256" t="s">
        <v>1785</v>
      </c>
      <c r="I256" t="s">
        <v>41</v>
      </c>
      <c r="J256">
        <v>2</v>
      </c>
      <c r="K256">
        <v>2</v>
      </c>
      <c r="L256" t="str">
        <f t="shared" si="41"/>
        <v>520609</v>
      </c>
      <c r="M256" t="s">
        <v>1783</v>
      </c>
      <c r="N256" t="s">
        <v>1693</v>
      </c>
      <c r="O256" s="2">
        <v>46229.787256944444</v>
      </c>
      <c r="P256" s="2">
        <v>46229.787256944444</v>
      </c>
      <c r="Q256" s="2">
        <v>46229.787256944444</v>
      </c>
      <c r="R256" t="str">
        <f>"400004124"</f>
        <v>400004124</v>
      </c>
      <c r="S256" s="1">
        <v>47888</v>
      </c>
    </row>
    <row r="257" spans="1:19" x14ac:dyDescent="0.35">
      <c r="A257" t="s">
        <v>30</v>
      </c>
      <c r="B257" t="s">
        <v>31</v>
      </c>
      <c r="C257" t="s">
        <v>1780</v>
      </c>
      <c r="D257" t="str">
        <f t="shared" si="40"/>
        <v>2501717874</v>
      </c>
      <c r="E257" t="s">
        <v>1536</v>
      </c>
      <c r="F257" t="str">
        <f t="shared" ref="F257:F264" si="42">"400514"</f>
        <v>400514</v>
      </c>
      <c r="G257" t="s">
        <v>429</v>
      </c>
      <c r="H257" t="s">
        <v>1131</v>
      </c>
      <c r="I257" t="s">
        <v>41</v>
      </c>
      <c r="J257">
        <v>4</v>
      </c>
      <c r="K257">
        <v>30</v>
      </c>
      <c r="L257" t="str">
        <f t="shared" si="41"/>
        <v>520609</v>
      </c>
      <c r="M257" t="s">
        <v>1783</v>
      </c>
      <c r="N257" t="s">
        <v>1693</v>
      </c>
      <c r="O257" s="2">
        <v>46229.77853009259</v>
      </c>
      <c r="P257" s="2">
        <v>46229.77853009259</v>
      </c>
      <c r="Q257" s="2">
        <v>46229.77853009259</v>
      </c>
      <c r="R257" t="str">
        <f t="shared" ref="R257:R264" si="43">"100010755"</f>
        <v>100010755</v>
      </c>
      <c r="S257" s="1">
        <v>47803</v>
      </c>
    </row>
    <row r="258" spans="1:19" x14ac:dyDescent="0.35">
      <c r="A258" t="s">
        <v>30</v>
      </c>
      <c r="B258" t="s">
        <v>31</v>
      </c>
      <c r="C258" t="s">
        <v>1780</v>
      </c>
      <c r="D258" t="str">
        <f t="shared" si="40"/>
        <v>2501717874</v>
      </c>
      <c r="E258" t="s">
        <v>1536</v>
      </c>
      <c r="F258" t="str">
        <f t="shared" si="42"/>
        <v>400514</v>
      </c>
      <c r="G258" t="s">
        <v>429</v>
      </c>
      <c r="H258" t="s">
        <v>1143</v>
      </c>
      <c r="I258" t="s">
        <v>41</v>
      </c>
      <c r="J258">
        <v>4</v>
      </c>
      <c r="K258">
        <v>30</v>
      </c>
      <c r="L258" t="str">
        <f t="shared" si="41"/>
        <v>520609</v>
      </c>
      <c r="M258" t="s">
        <v>1783</v>
      </c>
      <c r="N258" t="s">
        <v>1693</v>
      </c>
      <c r="O258" s="2">
        <v>46229.777766203704</v>
      </c>
      <c r="P258" s="2">
        <v>46229.777766203704</v>
      </c>
      <c r="Q258" s="2">
        <v>46229.777766203704</v>
      </c>
      <c r="R258" t="str">
        <f t="shared" si="43"/>
        <v>100010755</v>
      </c>
      <c r="S258" s="1">
        <v>47803</v>
      </c>
    </row>
    <row r="259" spans="1:19" x14ac:dyDescent="0.35">
      <c r="A259" t="s">
        <v>30</v>
      </c>
      <c r="B259" t="s">
        <v>31</v>
      </c>
      <c r="C259" t="s">
        <v>1780</v>
      </c>
      <c r="D259" t="str">
        <f t="shared" si="40"/>
        <v>2501717874</v>
      </c>
      <c r="E259" t="s">
        <v>1536</v>
      </c>
      <c r="F259" t="str">
        <f t="shared" si="42"/>
        <v>400514</v>
      </c>
      <c r="G259" t="s">
        <v>429</v>
      </c>
      <c r="H259" t="s">
        <v>1141</v>
      </c>
      <c r="I259" t="s">
        <v>41</v>
      </c>
      <c r="J259">
        <v>4</v>
      </c>
      <c r="K259">
        <v>30</v>
      </c>
      <c r="L259" t="str">
        <f t="shared" si="41"/>
        <v>520609</v>
      </c>
      <c r="M259" t="s">
        <v>1783</v>
      </c>
      <c r="N259" t="s">
        <v>1693</v>
      </c>
      <c r="O259" s="2">
        <v>46229.777037037034</v>
      </c>
      <c r="P259" s="2">
        <v>46229.777037037034</v>
      </c>
      <c r="Q259" s="2">
        <v>46229.777037037034</v>
      </c>
      <c r="R259" t="str">
        <f t="shared" si="43"/>
        <v>100010755</v>
      </c>
      <c r="S259" s="1">
        <v>47803</v>
      </c>
    </row>
    <row r="260" spans="1:19" x14ac:dyDescent="0.35">
      <c r="A260" t="s">
        <v>30</v>
      </c>
      <c r="B260" t="s">
        <v>31</v>
      </c>
      <c r="C260" t="s">
        <v>1780</v>
      </c>
      <c r="D260" t="str">
        <f t="shared" si="40"/>
        <v>2501717874</v>
      </c>
      <c r="E260" t="s">
        <v>1536</v>
      </c>
      <c r="F260" t="str">
        <f t="shared" si="42"/>
        <v>400514</v>
      </c>
      <c r="G260" t="s">
        <v>429</v>
      </c>
      <c r="H260" t="s">
        <v>1137</v>
      </c>
      <c r="I260" t="s">
        <v>41</v>
      </c>
      <c r="J260">
        <v>4</v>
      </c>
      <c r="K260">
        <v>30</v>
      </c>
      <c r="L260" t="str">
        <f t="shared" si="41"/>
        <v>520609</v>
      </c>
      <c r="M260" t="s">
        <v>1783</v>
      </c>
      <c r="N260" t="s">
        <v>1693</v>
      </c>
      <c r="O260" s="2">
        <v>46229.775648148148</v>
      </c>
      <c r="P260" s="2">
        <v>46229.775648148148</v>
      </c>
      <c r="Q260" s="2">
        <v>46229.775648148148</v>
      </c>
      <c r="R260" t="str">
        <f t="shared" si="43"/>
        <v>100010755</v>
      </c>
      <c r="S260" s="1">
        <v>47803</v>
      </c>
    </row>
    <row r="261" spans="1:19" x14ac:dyDescent="0.35">
      <c r="A261" t="s">
        <v>30</v>
      </c>
      <c r="B261" t="s">
        <v>31</v>
      </c>
      <c r="C261" t="s">
        <v>1780</v>
      </c>
      <c r="D261" t="str">
        <f t="shared" si="40"/>
        <v>2501717874</v>
      </c>
      <c r="E261" t="s">
        <v>1536</v>
      </c>
      <c r="F261" t="str">
        <f t="shared" si="42"/>
        <v>400514</v>
      </c>
      <c r="G261" t="s">
        <v>429</v>
      </c>
      <c r="H261" t="s">
        <v>1135</v>
      </c>
      <c r="I261" t="s">
        <v>41</v>
      </c>
      <c r="J261">
        <v>4</v>
      </c>
      <c r="K261">
        <v>30</v>
      </c>
      <c r="L261" t="str">
        <f t="shared" si="41"/>
        <v>520609</v>
      </c>
      <c r="M261" t="s">
        <v>1783</v>
      </c>
      <c r="N261" t="s">
        <v>1693</v>
      </c>
      <c r="O261" s="2">
        <v>46229.773310185185</v>
      </c>
      <c r="P261" s="2">
        <v>46229.773310185185</v>
      </c>
      <c r="Q261" s="2">
        <v>46229.773310185185</v>
      </c>
      <c r="R261" t="str">
        <f t="shared" si="43"/>
        <v>100010755</v>
      </c>
      <c r="S261" s="1">
        <v>47803</v>
      </c>
    </row>
    <row r="262" spans="1:19" x14ac:dyDescent="0.35">
      <c r="A262" t="s">
        <v>30</v>
      </c>
      <c r="B262" t="s">
        <v>31</v>
      </c>
      <c r="C262" t="s">
        <v>1780</v>
      </c>
      <c r="D262" t="str">
        <f t="shared" si="40"/>
        <v>2501717874</v>
      </c>
      <c r="E262" t="s">
        <v>1536</v>
      </c>
      <c r="F262" t="str">
        <f t="shared" si="42"/>
        <v>400514</v>
      </c>
      <c r="G262" t="s">
        <v>429</v>
      </c>
      <c r="H262" t="s">
        <v>1133</v>
      </c>
      <c r="I262" t="s">
        <v>41</v>
      </c>
      <c r="J262">
        <v>4</v>
      </c>
      <c r="K262">
        <v>30</v>
      </c>
      <c r="L262" t="str">
        <f t="shared" si="41"/>
        <v>520609</v>
      </c>
      <c r="M262" t="s">
        <v>1783</v>
      </c>
      <c r="N262" t="s">
        <v>1693</v>
      </c>
      <c r="O262" s="2">
        <v>46229.772743055553</v>
      </c>
      <c r="P262" s="2">
        <v>46229.772743055553</v>
      </c>
      <c r="Q262" s="2">
        <v>46229.772743055553</v>
      </c>
      <c r="R262" t="str">
        <f t="shared" si="43"/>
        <v>100010755</v>
      </c>
      <c r="S262" s="1">
        <v>47803</v>
      </c>
    </row>
    <row r="263" spans="1:19" x14ac:dyDescent="0.35">
      <c r="A263" t="s">
        <v>30</v>
      </c>
      <c r="B263" t="s">
        <v>31</v>
      </c>
      <c r="C263" t="s">
        <v>1780</v>
      </c>
      <c r="D263" t="str">
        <f t="shared" si="40"/>
        <v>2501717874</v>
      </c>
      <c r="E263" t="s">
        <v>1536</v>
      </c>
      <c r="F263" t="str">
        <f t="shared" si="42"/>
        <v>400514</v>
      </c>
      <c r="G263" t="s">
        <v>429</v>
      </c>
      <c r="H263" t="s">
        <v>1113</v>
      </c>
      <c r="I263" t="s">
        <v>41</v>
      </c>
      <c r="J263">
        <v>4</v>
      </c>
      <c r="K263">
        <v>30</v>
      </c>
      <c r="L263" t="str">
        <f t="shared" si="41"/>
        <v>520609</v>
      </c>
      <c r="M263" t="s">
        <v>1783</v>
      </c>
      <c r="N263" t="s">
        <v>1693</v>
      </c>
      <c r="O263" s="2">
        <v>46229.772222222222</v>
      </c>
      <c r="P263" s="2">
        <v>46229.772222222222</v>
      </c>
      <c r="Q263" s="2">
        <v>46229.772222222222</v>
      </c>
      <c r="R263" t="str">
        <f t="shared" si="43"/>
        <v>100010755</v>
      </c>
      <c r="S263" s="1">
        <v>47803</v>
      </c>
    </row>
    <row r="264" spans="1:19" x14ac:dyDescent="0.35">
      <c r="A264" t="s">
        <v>30</v>
      </c>
      <c r="B264" t="s">
        <v>31</v>
      </c>
      <c r="C264" t="s">
        <v>1780</v>
      </c>
      <c r="D264" t="str">
        <f t="shared" si="40"/>
        <v>2501717874</v>
      </c>
      <c r="E264" t="s">
        <v>1536</v>
      </c>
      <c r="F264" t="str">
        <f t="shared" si="42"/>
        <v>400514</v>
      </c>
      <c r="G264" t="s">
        <v>429</v>
      </c>
      <c r="H264" t="s">
        <v>1117</v>
      </c>
      <c r="I264" t="s">
        <v>41</v>
      </c>
      <c r="J264">
        <v>2</v>
      </c>
      <c r="K264">
        <v>30</v>
      </c>
      <c r="L264" t="str">
        <f t="shared" si="41"/>
        <v>520609</v>
      </c>
      <c r="M264" t="s">
        <v>1783</v>
      </c>
      <c r="N264" t="s">
        <v>1693</v>
      </c>
      <c r="O264" s="2">
        <v>46229.786539351851</v>
      </c>
      <c r="P264" s="2">
        <v>46229.786539351851</v>
      </c>
      <c r="Q264" s="2">
        <v>46229.786539351851</v>
      </c>
      <c r="R264" t="str">
        <f t="shared" si="43"/>
        <v>100010755</v>
      </c>
      <c r="S264" s="1">
        <v>47803</v>
      </c>
    </row>
    <row r="265" spans="1:19" x14ac:dyDescent="0.35">
      <c r="A265" t="s">
        <v>30</v>
      </c>
      <c r="B265" t="s">
        <v>31</v>
      </c>
      <c r="C265" t="s">
        <v>1780</v>
      </c>
      <c r="D265" t="str">
        <f t="shared" si="40"/>
        <v>2501717874</v>
      </c>
      <c r="E265" t="s">
        <v>1536</v>
      </c>
      <c r="F265" t="str">
        <f>"400450"</f>
        <v>400450</v>
      </c>
      <c r="G265" t="s">
        <v>1786</v>
      </c>
      <c r="H265" t="s">
        <v>1169</v>
      </c>
      <c r="I265" t="s">
        <v>41</v>
      </c>
      <c r="J265">
        <v>3</v>
      </c>
      <c r="K265">
        <v>3</v>
      </c>
      <c r="L265" t="str">
        <f t="shared" si="41"/>
        <v>520609</v>
      </c>
      <c r="M265" t="s">
        <v>1783</v>
      </c>
      <c r="N265" t="s">
        <v>1693</v>
      </c>
      <c r="O265" s="2">
        <v>46229.817962962959</v>
      </c>
      <c r="P265" s="2">
        <v>46229.817962962959</v>
      </c>
      <c r="Q265" s="2">
        <v>46229.817962962959</v>
      </c>
      <c r="R265" t="str">
        <f>"153000232"</f>
        <v>153000232</v>
      </c>
      <c r="S265" s="1">
        <v>47944</v>
      </c>
    </row>
    <row r="266" spans="1:19" x14ac:dyDescent="0.35">
      <c r="A266" t="s">
        <v>30</v>
      </c>
      <c r="B266" t="s">
        <v>31</v>
      </c>
      <c r="C266" t="s">
        <v>1780</v>
      </c>
      <c r="D266" t="str">
        <f t="shared" si="40"/>
        <v>2501717874</v>
      </c>
      <c r="E266" t="s">
        <v>1536</v>
      </c>
      <c r="F266" t="str">
        <f>"400415"</f>
        <v>400415</v>
      </c>
      <c r="G266" t="s">
        <v>39</v>
      </c>
      <c r="H266" t="s">
        <v>1167</v>
      </c>
      <c r="I266" t="s">
        <v>41</v>
      </c>
      <c r="J266">
        <v>1</v>
      </c>
      <c r="K266">
        <v>5</v>
      </c>
      <c r="L266" t="str">
        <f t="shared" si="41"/>
        <v>520609</v>
      </c>
      <c r="M266" t="s">
        <v>1783</v>
      </c>
      <c r="N266" t="s">
        <v>1693</v>
      </c>
      <c r="O266" s="2">
        <v>46229.819594907407</v>
      </c>
      <c r="P266" s="2">
        <v>46229.819594907407</v>
      </c>
      <c r="Q266" s="2">
        <v>46229.819594907407</v>
      </c>
      <c r="R266" t="str">
        <f>"153000355"</f>
        <v>153000355</v>
      </c>
      <c r="S266" s="1">
        <v>48004</v>
      </c>
    </row>
    <row r="267" spans="1:19" x14ac:dyDescent="0.35">
      <c r="A267" t="s">
        <v>30</v>
      </c>
      <c r="B267" t="s">
        <v>31</v>
      </c>
      <c r="C267" t="s">
        <v>1780</v>
      </c>
      <c r="D267" t="str">
        <f t="shared" si="40"/>
        <v>2501717874</v>
      </c>
      <c r="E267" t="s">
        <v>1536</v>
      </c>
      <c r="F267" t="str">
        <f>"400415"</f>
        <v>400415</v>
      </c>
      <c r="G267" t="s">
        <v>39</v>
      </c>
      <c r="H267" t="s">
        <v>1511</v>
      </c>
      <c r="I267" t="s">
        <v>41</v>
      </c>
      <c r="J267">
        <v>4</v>
      </c>
      <c r="K267">
        <v>5</v>
      </c>
      <c r="L267" t="str">
        <f t="shared" si="41"/>
        <v>520609</v>
      </c>
      <c r="M267" t="s">
        <v>1783</v>
      </c>
      <c r="N267" t="s">
        <v>1693</v>
      </c>
      <c r="O267" s="2">
        <v>46229.814236111109</v>
      </c>
      <c r="P267" s="2">
        <v>46229.814236111109</v>
      </c>
      <c r="Q267" s="2">
        <v>46229.814236111109</v>
      </c>
      <c r="R267" t="str">
        <f>"153000355"</f>
        <v>153000355</v>
      </c>
      <c r="S267" s="1">
        <v>48004</v>
      </c>
    </row>
    <row r="268" spans="1:19" x14ac:dyDescent="0.35">
      <c r="A268" t="s">
        <v>30</v>
      </c>
      <c r="B268" t="s">
        <v>31</v>
      </c>
      <c r="C268" t="s">
        <v>1787</v>
      </c>
      <c r="D268" t="str">
        <f t="shared" ref="D268:D273" si="44">"2501717825"</f>
        <v>2501717825</v>
      </c>
      <c r="E268" t="s">
        <v>1536</v>
      </c>
      <c r="F268" t="str">
        <f t="shared" ref="F268:F273" si="45">"400405"</f>
        <v>400405</v>
      </c>
      <c r="G268" t="s">
        <v>519</v>
      </c>
      <c r="H268" t="s">
        <v>1326</v>
      </c>
      <c r="I268" t="s">
        <v>37</v>
      </c>
      <c r="J268">
        <v>4</v>
      </c>
      <c r="K268">
        <v>224</v>
      </c>
      <c r="L268" t="str">
        <f t="shared" ref="L268:L273" si="46">"521088"</f>
        <v>521088</v>
      </c>
      <c r="M268" t="s">
        <v>1559</v>
      </c>
      <c r="N268" t="s">
        <v>1560</v>
      </c>
      <c r="O268" s="2">
        <v>46229.831087962964</v>
      </c>
      <c r="P268" s="2">
        <v>46229.831087962964</v>
      </c>
      <c r="Q268" s="2">
        <v>46229.831087962964</v>
      </c>
      <c r="R268" t="str">
        <f t="shared" ref="R268:R273" si="47">"153000440"</f>
        <v>153000440</v>
      </c>
      <c r="S268" s="1">
        <v>48036</v>
      </c>
    </row>
    <row r="269" spans="1:19" x14ac:dyDescent="0.35">
      <c r="A269" t="s">
        <v>30</v>
      </c>
      <c r="B269" t="s">
        <v>31</v>
      </c>
      <c r="C269" t="s">
        <v>1787</v>
      </c>
      <c r="D269" t="str">
        <f t="shared" si="44"/>
        <v>2501717825</v>
      </c>
      <c r="E269" t="s">
        <v>1536</v>
      </c>
      <c r="F269" t="str">
        <f t="shared" si="45"/>
        <v>400405</v>
      </c>
      <c r="G269" t="s">
        <v>519</v>
      </c>
      <c r="H269" t="s">
        <v>1508</v>
      </c>
      <c r="I269" t="s">
        <v>37</v>
      </c>
      <c r="J269">
        <v>52</v>
      </c>
      <c r="K269">
        <v>224</v>
      </c>
      <c r="L269" t="str">
        <f t="shared" si="46"/>
        <v>521088</v>
      </c>
      <c r="M269" t="s">
        <v>1559</v>
      </c>
      <c r="N269" t="s">
        <v>1560</v>
      </c>
      <c r="O269" s="2">
        <v>46229.82912037037</v>
      </c>
      <c r="P269" s="2">
        <v>46229.82912037037</v>
      </c>
      <c r="Q269" s="2">
        <v>46229.82912037037</v>
      </c>
      <c r="R269" t="str">
        <f t="shared" si="47"/>
        <v>153000440</v>
      </c>
      <c r="S269" s="1">
        <v>48036</v>
      </c>
    </row>
    <row r="270" spans="1:19" x14ac:dyDescent="0.35">
      <c r="A270" t="s">
        <v>30</v>
      </c>
      <c r="B270" t="s">
        <v>31</v>
      </c>
      <c r="C270" t="s">
        <v>1787</v>
      </c>
      <c r="D270" t="str">
        <f t="shared" si="44"/>
        <v>2501717825</v>
      </c>
      <c r="E270" t="s">
        <v>1536</v>
      </c>
      <c r="F270" t="str">
        <f t="shared" si="45"/>
        <v>400405</v>
      </c>
      <c r="G270" t="s">
        <v>519</v>
      </c>
      <c r="H270" t="s">
        <v>1788</v>
      </c>
      <c r="I270" t="s">
        <v>37</v>
      </c>
      <c r="J270">
        <v>52</v>
      </c>
      <c r="K270">
        <v>224</v>
      </c>
      <c r="L270" t="str">
        <f t="shared" si="46"/>
        <v>521088</v>
      </c>
      <c r="M270" t="s">
        <v>1559</v>
      </c>
      <c r="N270" t="s">
        <v>1560</v>
      </c>
      <c r="O270" s="2">
        <v>46229.828356481485</v>
      </c>
      <c r="P270" s="2">
        <v>46229.828368055554</v>
      </c>
      <c r="Q270" s="2">
        <v>46229.828368055554</v>
      </c>
      <c r="R270" t="str">
        <f t="shared" si="47"/>
        <v>153000440</v>
      </c>
      <c r="S270" s="1">
        <v>48036</v>
      </c>
    </row>
    <row r="271" spans="1:19" x14ac:dyDescent="0.35">
      <c r="A271" t="s">
        <v>30</v>
      </c>
      <c r="B271" t="s">
        <v>31</v>
      </c>
      <c r="C271" t="s">
        <v>1787</v>
      </c>
      <c r="D271" t="str">
        <f t="shared" si="44"/>
        <v>2501717825</v>
      </c>
      <c r="E271" t="s">
        <v>1536</v>
      </c>
      <c r="F271" t="str">
        <f t="shared" si="45"/>
        <v>400405</v>
      </c>
      <c r="G271" t="s">
        <v>519</v>
      </c>
      <c r="H271" t="s">
        <v>1789</v>
      </c>
      <c r="I271" t="s">
        <v>37</v>
      </c>
      <c r="J271">
        <v>52</v>
      </c>
      <c r="K271">
        <v>224</v>
      </c>
      <c r="L271" t="str">
        <f t="shared" si="46"/>
        <v>521088</v>
      </c>
      <c r="M271" t="s">
        <v>1559</v>
      </c>
      <c r="N271" t="s">
        <v>1560</v>
      </c>
      <c r="O271" s="2">
        <v>46229.8278587963</v>
      </c>
      <c r="P271" s="2">
        <v>46229.8278587963</v>
      </c>
      <c r="Q271" s="2">
        <v>46229.8278587963</v>
      </c>
      <c r="R271" t="str">
        <f t="shared" si="47"/>
        <v>153000440</v>
      </c>
      <c r="S271" s="1">
        <v>48036</v>
      </c>
    </row>
    <row r="272" spans="1:19" x14ac:dyDescent="0.35">
      <c r="A272" t="s">
        <v>30</v>
      </c>
      <c r="B272" t="s">
        <v>31</v>
      </c>
      <c r="C272" t="s">
        <v>1787</v>
      </c>
      <c r="D272" t="str">
        <f t="shared" si="44"/>
        <v>2501717825</v>
      </c>
      <c r="E272" t="s">
        <v>1536</v>
      </c>
      <c r="F272" t="str">
        <f t="shared" si="45"/>
        <v>400405</v>
      </c>
      <c r="G272" t="s">
        <v>519</v>
      </c>
      <c r="H272" t="s">
        <v>1322</v>
      </c>
      <c r="I272" t="s">
        <v>37</v>
      </c>
      <c r="J272">
        <v>52</v>
      </c>
      <c r="K272">
        <v>224</v>
      </c>
      <c r="L272" t="str">
        <f t="shared" si="46"/>
        <v>521088</v>
      </c>
      <c r="M272" t="s">
        <v>1559</v>
      </c>
      <c r="N272" t="s">
        <v>1560</v>
      </c>
      <c r="O272" s="2">
        <v>46229.827094907407</v>
      </c>
      <c r="P272" s="2">
        <v>46229.827094907407</v>
      </c>
      <c r="Q272" s="2">
        <v>46229.827094907407</v>
      </c>
      <c r="R272" t="str">
        <f t="shared" si="47"/>
        <v>153000440</v>
      </c>
      <c r="S272" s="1">
        <v>48036</v>
      </c>
    </row>
    <row r="273" spans="1:19" x14ac:dyDescent="0.35">
      <c r="A273" t="s">
        <v>30</v>
      </c>
      <c r="B273" t="s">
        <v>31</v>
      </c>
      <c r="C273" t="s">
        <v>1787</v>
      </c>
      <c r="D273" t="str">
        <f t="shared" si="44"/>
        <v>2501717825</v>
      </c>
      <c r="E273" t="s">
        <v>1536</v>
      </c>
      <c r="F273" t="str">
        <f t="shared" si="45"/>
        <v>400405</v>
      </c>
      <c r="G273" t="s">
        <v>519</v>
      </c>
      <c r="H273" t="s">
        <v>1320</v>
      </c>
      <c r="I273" t="s">
        <v>37</v>
      </c>
      <c r="J273">
        <v>12</v>
      </c>
      <c r="K273">
        <v>224</v>
      </c>
      <c r="L273" t="str">
        <f t="shared" si="46"/>
        <v>521088</v>
      </c>
      <c r="M273" t="s">
        <v>1559</v>
      </c>
      <c r="N273" t="s">
        <v>1560</v>
      </c>
      <c r="O273" s="2">
        <v>46229.831192129626</v>
      </c>
      <c r="P273" s="2">
        <v>46229.831192129626</v>
      </c>
      <c r="Q273" s="2">
        <v>46229.831192129626</v>
      </c>
      <c r="R273" t="str">
        <f t="shared" si="47"/>
        <v>153000440</v>
      </c>
      <c r="S273" s="1">
        <v>48036</v>
      </c>
    </row>
    <row r="274" spans="1:19" x14ac:dyDescent="0.35">
      <c r="A274" t="s">
        <v>30</v>
      </c>
      <c r="B274" t="s">
        <v>31</v>
      </c>
      <c r="C274" t="s">
        <v>1790</v>
      </c>
      <c r="D274" t="str">
        <f>"2501717839"</f>
        <v>2501717839</v>
      </c>
      <c r="E274" t="s">
        <v>1536</v>
      </c>
      <c r="F274" t="str">
        <f>"400398"</f>
        <v>400398</v>
      </c>
      <c r="G274" t="s">
        <v>1562</v>
      </c>
      <c r="H274" t="s">
        <v>1658</v>
      </c>
      <c r="I274" t="s">
        <v>41</v>
      </c>
      <c r="J274">
        <v>1</v>
      </c>
      <c r="K274">
        <v>1</v>
      </c>
      <c r="L274" t="str">
        <f t="shared" ref="L274:L279" si="48">"520721"</f>
        <v>520721</v>
      </c>
      <c r="M274" t="s">
        <v>1791</v>
      </c>
      <c r="N274" t="s">
        <v>1540</v>
      </c>
      <c r="O274" s="2">
        <v>46226.932835648149</v>
      </c>
      <c r="P274" s="2">
        <v>46226.932835648149</v>
      </c>
      <c r="Q274" s="2">
        <v>46226.932835648149</v>
      </c>
      <c r="R274" t="str">
        <f>"153000097"</f>
        <v>153000097</v>
      </c>
      <c r="S274" s="1">
        <v>47888</v>
      </c>
    </row>
    <row r="275" spans="1:19" x14ac:dyDescent="0.35">
      <c r="A275" t="s">
        <v>30</v>
      </c>
      <c r="B275" t="s">
        <v>31</v>
      </c>
      <c r="C275" t="s">
        <v>1790</v>
      </c>
      <c r="D275" t="str">
        <f>"2501717839"</f>
        <v>2501717839</v>
      </c>
      <c r="E275" t="s">
        <v>1536</v>
      </c>
      <c r="F275" t="str">
        <f>"400441"</f>
        <v>400441</v>
      </c>
      <c r="G275" t="s">
        <v>65</v>
      </c>
      <c r="H275" t="s">
        <v>1713</v>
      </c>
      <c r="I275" t="s">
        <v>41</v>
      </c>
      <c r="J275">
        <v>1</v>
      </c>
      <c r="K275">
        <v>5</v>
      </c>
      <c r="L275" t="str">
        <f t="shared" si="48"/>
        <v>520721</v>
      </c>
      <c r="M275" t="s">
        <v>1791</v>
      </c>
      <c r="N275" t="s">
        <v>1540</v>
      </c>
      <c r="O275" s="2">
        <v>46226.935219907406</v>
      </c>
      <c r="P275" s="2">
        <v>46226.935219907406</v>
      </c>
      <c r="Q275" s="2">
        <v>46226.935219907406</v>
      </c>
      <c r="R275" t="str">
        <f>"153000271"</f>
        <v>153000271</v>
      </c>
      <c r="S275" s="1">
        <v>47966</v>
      </c>
    </row>
    <row r="276" spans="1:19" x14ac:dyDescent="0.35">
      <c r="A276" t="s">
        <v>30</v>
      </c>
      <c r="B276" t="s">
        <v>31</v>
      </c>
      <c r="C276" t="s">
        <v>1790</v>
      </c>
      <c r="D276" t="str">
        <f>"2501717839"</f>
        <v>2501717839</v>
      </c>
      <c r="E276" t="s">
        <v>1536</v>
      </c>
      <c r="F276" t="str">
        <f>"400441"</f>
        <v>400441</v>
      </c>
      <c r="G276" t="s">
        <v>65</v>
      </c>
      <c r="H276" t="s">
        <v>1083</v>
      </c>
      <c r="I276" t="s">
        <v>41</v>
      </c>
      <c r="J276">
        <v>4</v>
      </c>
      <c r="K276">
        <v>5</v>
      </c>
      <c r="L276" t="str">
        <f t="shared" si="48"/>
        <v>520721</v>
      </c>
      <c r="M276" t="s">
        <v>1791</v>
      </c>
      <c r="N276" t="s">
        <v>1540</v>
      </c>
      <c r="O276" s="2">
        <v>46226.934513888889</v>
      </c>
      <c r="P276" s="2">
        <v>46226.934513888889</v>
      </c>
      <c r="Q276" s="2">
        <v>46226.934513888889</v>
      </c>
      <c r="R276" t="str">
        <f>"153000271"</f>
        <v>153000271</v>
      </c>
      <c r="S276" s="1">
        <v>47966</v>
      </c>
    </row>
    <row r="277" spans="1:19" x14ac:dyDescent="0.35">
      <c r="A277" t="s">
        <v>30</v>
      </c>
      <c r="B277" t="s">
        <v>31</v>
      </c>
      <c r="C277" t="s">
        <v>1792</v>
      </c>
      <c r="D277" t="str">
        <f>"2501717840"</f>
        <v>2501717840</v>
      </c>
      <c r="E277" t="s">
        <v>1536</v>
      </c>
      <c r="F277" t="str">
        <f>"400411"</f>
        <v>400411</v>
      </c>
      <c r="G277" t="s">
        <v>1537</v>
      </c>
      <c r="H277" t="s">
        <v>1079</v>
      </c>
      <c r="I277" t="s">
        <v>41</v>
      </c>
      <c r="J277">
        <v>3</v>
      </c>
      <c r="K277">
        <v>4</v>
      </c>
      <c r="L277" t="str">
        <f t="shared" si="48"/>
        <v>520721</v>
      </c>
      <c r="M277" t="s">
        <v>1793</v>
      </c>
      <c r="N277" t="s">
        <v>1540</v>
      </c>
      <c r="O277" s="2">
        <v>46226.935983796298</v>
      </c>
      <c r="P277" s="2">
        <v>46226.935983796298</v>
      </c>
      <c r="Q277" s="2">
        <v>46226.935983796298</v>
      </c>
      <c r="R277" t="str">
        <f>"153000352"</f>
        <v>153000352</v>
      </c>
      <c r="S277" s="1">
        <v>48002</v>
      </c>
    </row>
    <row r="278" spans="1:19" x14ac:dyDescent="0.35">
      <c r="A278" t="s">
        <v>30</v>
      </c>
      <c r="B278" t="s">
        <v>31</v>
      </c>
      <c r="C278" t="s">
        <v>1792</v>
      </c>
      <c r="D278" t="str">
        <f>"2501717840"</f>
        <v>2501717840</v>
      </c>
      <c r="E278" t="s">
        <v>1536</v>
      </c>
      <c r="F278" t="str">
        <f>"400411"</f>
        <v>400411</v>
      </c>
      <c r="G278" t="s">
        <v>1537</v>
      </c>
      <c r="H278" t="s">
        <v>1079</v>
      </c>
      <c r="I278" t="s">
        <v>41</v>
      </c>
      <c r="J278">
        <v>1</v>
      </c>
      <c r="K278">
        <v>4</v>
      </c>
      <c r="L278" t="str">
        <f t="shared" si="48"/>
        <v>520721</v>
      </c>
      <c r="M278" t="s">
        <v>1793</v>
      </c>
      <c r="N278" t="s">
        <v>1540</v>
      </c>
      <c r="O278" s="2">
        <v>46226.936145833337</v>
      </c>
      <c r="P278" s="2">
        <v>46226.936145833337</v>
      </c>
      <c r="Q278" s="2">
        <v>46226.936145833337</v>
      </c>
      <c r="R278" t="str">
        <f>"153000352"</f>
        <v>153000352</v>
      </c>
      <c r="S278" s="1">
        <v>48002</v>
      </c>
    </row>
    <row r="279" spans="1:19" x14ac:dyDescent="0.35">
      <c r="A279" t="s">
        <v>30</v>
      </c>
      <c r="B279" t="s">
        <v>31</v>
      </c>
      <c r="C279" t="s">
        <v>1794</v>
      </c>
      <c r="D279" t="str">
        <f>"2501717843"</f>
        <v>2501717843</v>
      </c>
      <c r="E279" t="s">
        <v>1536</v>
      </c>
      <c r="F279" t="str">
        <f>"400483"</f>
        <v>400483</v>
      </c>
      <c r="G279" t="s">
        <v>1518</v>
      </c>
      <c r="H279" t="s">
        <v>1551</v>
      </c>
      <c r="I279" t="s">
        <v>41</v>
      </c>
      <c r="J279">
        <v>2</v>
      </c>
      <c r="K279">
        <v>2</v>
      </c>
      <c r="L279" t="str">
        <f t="shared" si="48"/>
        <v>520721</v>
      </c>
      <c r="M279" t="s">
        <v>1795</v>
      </c>
      <c r="N279" t="s">
        <v>1540</v>
      </c>
      <c r="O279" s="2">
        <v>46226.931203703702</v>
      </c>
      <c r="P279" s="2">
        <v>46226.931203703702</v>
      </c>
      <c r="Q279" s="2">
        <v>46226.931203703702</v>
      </c>
      <c r="R279" t="str">
        <f>"153000066"</f>
        <v>153000066</v>
      </c>
      <c r="S279" s="1">
        <v>47875</v>
      </c>
    </row>
    <row r="280" spans="1:19" x14ac:dyDescent="0.35">
      <c r="A280" t="s">
        <v>30</v>
      </c>
      <c r="B280" t="s">
        <v>31</v>
      </c>
      <c r="C280" t="s">
        <v>1796</v>
      </c>
      <c r="D280" t="str">
        <f t="shared" ref="D280:D305" si="49">"2501717848"</f>
        <v>2501717848</v>
      </c>
      <c r="E280" t="s">
        <v>1536</v>
      </c>
      <c r="F280" t="str">
        <f t="shared" ref="F280:F305" si="50">"400428"</f>
        <v>400428</v>
      </c>
      <c r="G280" t="s">
        <v>833</v>
      </c>
      <c r="H280" t="s">
        <v>1139</v>
      </c>
      <c r="I280" t="s">
        <v>41</v>
      </c>
      <c r="J280">
        <v>4</v>
      </c>
      <c r="K280">
        <v>20</v>
      </c>
      <c r="L280" t="str">
        <f t="shared" ref="L280:L305" si="51">"520996"</f>
        <v>520996</v>
      </c>
      <c r="M280" t="s">
        <v>1797</v>
      </c>
      <c r="N280" t="s">
        <v>1798</v>
      </c>
      <c r="O280" s="2">
        <v>46226.928831018522</v>
      </c>
      <c r="P280" s="2">
        <v>46226.928831018522</v>
      </c>
      <c r="Q280" s="2">
        <v>46226.928831018522</v>
      </c>
      <c r="R280" t="str">
        <f>"153000423"</f>
        <v>153000423</v>
      </c>
      <c r="S280" s="1">
        <v>48027</v>
      </c>
    </row>
    <row r="281" spans="1:19" x14ac:dyDescent="0.35">
      <c r="A281" t="s">
        <v>30</v>
      </c>
      <c r="B281" t="s">
        <v>31</v>
      </c>
      <c r="C281" t="s">
        <v>1796</v>
      </c>
      <c r="D281" t="str">
        <f t="shared" si="49"/>
        <v>2501717848</v>
      </c>
      <c r="E281" t="s">
        <v>1536</v>
      </c>
      <c r="F281" t="str">
        <f t="shared" si="50"/>
        <v>400428</v>
      </c>
      <c r="G281" t="s">
        <v>833</v>
      </c>
      <c r="H281" t="s">
        <v>1305</v>
      </c>
      <c r="I281" t="s">
        <v>41</v>
      </c>
      <c r="J281">
        <v>4</v>
      </c>
      <c r="K281">
        <v>20</v>
      </c>
      <c r="L281" t="str">
        <f t="shared" si="51"/>
        <v>520996</v>
      </c>
      <c r="M281" t="s">
        <v>1797</v>
      </c>
      <c r="N281" t="s">
        <v>1798</v>
      </c>
      <c r="O281" s="2">
        <v>46226.927604166667</v>
      </c>
      <c r="P281" s="2">
        <v>46226.927604166667</v>
      </c>
      <c r="Q281" s="2">
        <v>46226.927604166667</v>
      </c>
      <c r="R281" t="str">
        <f>"153000423"</f>
        <v>153000423</v>
      </c>
      <c r="S281" s="1">
        <v>48027</v>
      </c>
    </row>
    <row r="282" spans="1:19" x14ac:dyDescent="0.35">
      <c r="A282" t="s">
        <v>30</v>
      </c>
      <c r="B282" t="s">
        <v>31</v>
      </c>
      <c r="C282" t="s">
        <v>1796</v>
      </c>
      <c r="D282" t="str">
        <f t="shared" si="49"/>
        <v>2501717848</v>
      </c>
      <c r="E282" t="s">
        <v>1536</v>
      </c>
      <c r="F282" t="str">
        <f t="shared" si="50"/>
        <v>400428</v>
      </c>
      <c r="G282" t="s">
        <v>833</v>
      </c>
      <c r="H282" t="s">
        <v>1300</v>
      </c>
      <c r="I282" t="s">
        <v>41</v>
      </c>
      <c r="J282">
        <v>4</v>
      </c>
      <c r="K282">
        <v>20</v>
      </c>
      <c r="L282" t="str">
        <f t="shared" si="51"/>
        <v>520996</v>
      </c>
      <c r="M282" t="s">
        <v>1797</v>
      </c>
      <c r="N282" t="s">
        <v>1798</v>
      </c>
      <c r="O282" s="2">
        <v>46226.926516203705</v>
      </c>
      <c r="P282" s="2">
        <v>46226.926516203705</v>
      </c>
      <c r="Q282" s="2">
        <v>46226.926516203705</v>
      </c>
      <c r="R282" t="str">
        <f>"153000423"</f>
        <v>153000423</v>
      </c>
      <c r="S282" s="1">
        <v>48027</v>
      </c>
    </row>
    <row r="283" spans="1:19" x14ac:dyDescent="0.35">
      <c r="A283" t="s">
        <v>30</v>
      </c>
      <c r="B283" t="s">
        <v>31</v>
      </c>
      <c r="C283" t="s">
        <v>1796</v>
      </c>
      <c r="D283" t="str">
        <f t="shared" si="49"/>
        <v>2501717848</v>
      </c>
      <c r="E283" t="s">
        <v>1536</v>
      </c>
      <c r="F283" t="str">
        <f t="shared" si="50"/>
        <v>400428</v>
      </c>
      <c r="G283" t="s">
        <v>833</v>
      </c>
      <c r="H283" t="s">
        <v>1097</v>
      </c>
      <c r="I283" t="s">
        <v>41</v>
      </c>
      <c r="J283">
        <v>4</v>
      </c>
      <c r="K283">
        <v>20</v>
      </c>
      <c r="L283" t="str">
        <f t="shared" si="51"/>
        <v>520996</v>
      </c>
      <c r="M283" t="s">
        <v>1797</v>
      </c>
      <c r="N283" t="s">
        <v>1798</v>
      </c>
      <c r="O283" s="2">
        <v>46226.925868055558</v>
      </c>
      <c r="P283" s="2">
        <v>46226.925868055558</v>
      </c>
      <c r="Q283" s="2">
        <v>46226.925868055558</v>
      </c>
      <c r="R283" t="str">
        <f>"153000423"</f>
        <v>153000423</v>
      </c>
      <c r="S283" s="1">
        <v>48027</v>
      </c>
    </row>
    <row r="284" spans="1:19" x14ac:dyDescent="0.35">
      <c r="A284" t="s">
        <v>30</v>
      </c>
      <c r="B284" t="s">
        <v>31</v>
      </c>
      <c r="C284" t="s">
        <v>1796</v>
      </c>
      <c r="D284" t="str">
        <f t="shared" si="49"/>
        <v>2501717848</v>
      </c>
      <c r="E284" t="s">
        <v>1536</v>
      </c>
      <c r="F284" t="str">
        <f t="shared" si="50"/>
        <v>400428</v>
      </c>
      <c r="G284" t="s">
        <v>833</v>
      </c>
      <c r="H284" t="s">
        <v>1095</v>
      </c>
      <c r="I284" t="s">
        <v>41</v>
      </c>
      <c r="J284">
        <v>4</v>
      </c>
      <c r="K284">
        <v>20</v>
      </c>
      <c r="L284" t="str">
        <f t="shared" si="51"/>
        <v>520996</v>
      </c>
      <c r="M284" t="s">
        <v>1797</v>
      </c>
      <c r="N284" t="s">
        <v>1798</v>
      </c>
      <c r="O284" s="2">
        <v>46226.92496527778</v>
      </c>
      <c r="P284" s="2">
        <v>46226.92496527778</v>
      </c>
      <c r="Q284" s="2">
        <v>46226.92496527778</v>
      </c>
      <c r="R284" t="str">
        <f>"153000423"</f>
        <v>153000423</v>
      </c>
      <c r="S284" s="1">
        <v>48027</v>
      </c>
    </row>
    <row r="285" spans="1:19" x14ac:dyDescent="0.35">
      <c r="A285" t="s">
        <v>30</v>
      </c>
      <c r="B285" t="s">
        <v>31</v>
      </c>
      <c r="C285" t="s">
        <v>1796</v>
      </c>
      <c r="D285" t="str">
        <f t="shared" si="49"/>
        <v>2501717848</v>
      </c>
      <c r="E285" t="s">
        <v>1536</v>
      </c>
      <c r="F285" t="str">
        <f t="shared" si="50"/>
        <v>400428</v>
      </c>
      <c r="G285" t="s">
        <v>833</v>
      </c>
      <c r="H285" t="s">
        <v>1157</v>
      </c>
      <c r="I285" t="s">
        <v>41</v>
      </c>
      <c r="J285">
        <v>4</v>
      </c>
      <c r="K285">
        <v>80</v>
      </c>
      <c r="L285" t="str">
        <f t="shared" si="51"/>
        <v>520996</v>
      </c>
      <c r="M285" t="s">
        <v>1797</v>
      </c>
      <c r="N285" t="s">
        <v>1798</v>
      </c>
      <c r="O285" s="2">
        <v>46226.924340277779</v>
      </c>
      <c r="P285" s="2">
        <v>46226.924340277779</v>
      </c>
      <c r="Q285" s="2">
        <v>46226.924340277779</v>
      </c>
      <c r="R285" t="str">
        <f t="shared" ref="R285:R305" si="52">"153000241"</f>
        <v>153000241</v>
      </c>
      <c r="S285" s="1">
        <v>47950</v>
      </c>
    </row>
    <row r="286" spans="1:19" x14ac:dyDescent="0.35">
      <c r="A286" t="s">
        <v>30</v>
      </c>
      <c r="B286" t="s">
        <v>31</v>
      </c>
      <c r="C286" t="s">
        <v>1796</v>
      </c>
      <c r="D286" t="str">
        <f t="shared" si="49"/>
        <v>2501717848</v>
      </c>
      <c r="E286" t="s">
        <v>1536</v>
      </c>
      <c r="F286" t="str">
        <f t="shared" si="50"/>
        <v>400428</v>
      </c>
      <c r="G286" t="s">
        <v>833</v>
      </c>
      <c r="H286" t="s">
        <v>1149</v>
      </c>
      <c r="I286" t="s">
        <v>41</v>
      </c>
      <c r="J286">
        <v>4</v>
      </c>
      <c r="K286">
        <v>80</v>
      </c>
      <c r="L286" t="str">
        <f t="shared" si="51"/>
        <v>520996</v>
      </c>
      <c r="M286" t="s">
        <v>1797</v>
      </c>
      <c r="N286" t="s">
        <v>1798</v>
      </c>
      <c r="O286" s="2">
        <v>46226.923657407409</v>
      </c>
      <c r="P286" s="2">
        <v>46226.923657407409</v>
      </c>
      <c r="Q286" s="2">
        <v>46226.923657407409</v>
      </c>
      <c r="R286" t="str">
        <f t="shared" si="52"/>
        <v>153000241</v>
      </c>
      <c r="S286" s="1">
        <v>47950</v>
      </c>
    </row>
    <row r="287" spans="1:19" x14ac:dyDescent="0.35">
      <c r="A287" t="s">
        <v>30</v>
      </c>
      <c r="B287" t="s">
        <v>31</v>
      </c>
      <c r="C287" t="s">
        <v>1796</v>
      </c>
      <c r="D287" t="str">
        <f t="shared" si="49"/>
        <v>2501717848</v>
      </c>
      <c r="E287" t="s">
        <v>1536</v>
      </c>
      <c r="F287" t="str">
        <f t="shared" si="50"/>
        <v>400428</v>
      </c>
      <c r="G287" t="s">
        <v>833</v>
      </c>
      <c r="H287" t="s">
        <v>1159</v>
      </c>
      <c r="I287" t="s">
        <v>41</v>
      </c>
      <c r="J287">
        <v>4</v>
      </c>
      <c r="K287">
        <v>80</v>
      </c>
      <c r="L287" t="str">
        <f t="shared" si="51"/>
        <v>520996</v>
      </c>
      <c r="M287" t="s">
        <v>1797</v>
      </c>
      <c r="N287" t="s">
        <v>1798</v>
      </c>
      <c r="O287" s="2">
        <v>46226.923009259262</v>
      </c>
      <c r="P287" s="2">
        <v>46226.923009259262</v>
      </c>
      <c r="Q287" s="2">
        <v>46226.923009259262</v>
      </c>
      <c r="R287" t="str">
        <f t="shared" si="52"/>
        <v>153000241</v>
      </c>
      <c r="S287" s="1">
        <v>47950</v>
      </c>
    </row>
    <row r="288" spans="1:19" x14ac:dyDescent="0.35">
      <c r="A288" t="s">
        <v>30</v>
      </c>
      <c r="B288" t="s">
        <v>31</v>
      </c>
      <c r="C288" t="s">
        <v>1796</v>
      </c>
      <c r="D288" t="str">
        <f t="shared" si="49"/>
        <v>2501717848</v>
      </c>
      <c r="E288" t="s">
        <v>1536</v>
      </c>
      <c r="F288" t="str">
        <f t="shared" si="50"/>
        <v>400428</v>
      </c>
      <c r="G288" t="s">
        <v>833</v>
      </c>
      <c r="H288" t="s">
        <v>1111</v>
      </c>
      <c r="I288" t="s">
        <v>41</v>
      </c>
      <c r="J288">
        <v>4</v>
      </c>
      <c r="K288">
        <v>80</v>
      </c>
      <c r="L288" t="str">
        <f t="shared" si="51"/>
        <v>520996</v>
      </c>
      <c r="M288" t="s">
        <v>1797</v>
      </c>
      <c r="N288" t="s">
        <v>1798</v>
      </c>
      <c r="O288" s="2">
        <v>46226.922337962962</v>
      </c>
      <c r="P288" s="2">
        <v>46226.922337962962</v>
      </c>
      <c r="Q288" s="2">
        <v>46226.922337962962</v>
      </c>
      <c r="R288" t="str">
        <f t="shared" si="52"/>
        <v>153000241</v>
      </c>
      <c r="S288" s="1">
        <v>47950</v>
      </c>
    </row>
    <row r="289" spans="1:19" x14ac:dyDescent="0.35">
      <c r="A289" t="s">
        <v>30</v>
      </c>
      <c r="B289" t="s">
        <v>31</v>
      </c>
      <c r="C289" t="s">
        <v>1796</v>
      </c>
      <c r="D289" t="str">
        <f t="shared" si="49"/>
        <v>2501717848</v>
      </c>
      <c r="E289" t="s">
        <v>1536</v>
      </c>
      <c r="F289" t="str">
        <f t="shared" si="50"/>
        <v>400428</v>
      </c>
      <c r="G289" t="s">
        <v>833</v>
      </c>
      <c r="H289" t="s">
        <v>1109</v>
      </c>
      <c r="I289" t="s">
        <v>41</v>
      </c>
      <c r="J289">
        <v>4</v>
      </c>
      <c r="K289">
        <v>80</v>
      </c>
      <c r="L289" t="str">
        <f t="shared" si="51"/>
        <v>520996</v>
      </c>
      <c r="M289" t="s">
        <v>1797</v>
      </c>
      <c r="N289" t="s">
        <v>1798</v>
      </c>
      <c r="O289" s="2">
        <v>46226.921782407408</v>
      </c>
      <c r="P289" s="2">
        <v>46226.921782407408</v>
      </c>
      <c r="Q289" s="2">
        <v>46226.921782407408</v>
      </c>
      <c r="R289" t="str">
        <f t="shared" si="52"/>
        <v>153000241</v>
      </c>
      <c r="S289" s="1">
        <v>47950</v>
      </c>
    </row>
    <row r="290" spans="1:19" x14ac:dyDescent="0.35">
      <c r="A290" t="s">
        <v>30</v>
      </c>
      <c r="B290" t="s">
        <v>31</v>
      </c>
      <c r="C290" t="s">
        <v>1796</v>
      </c>
      <c r="D290" t="str">
        <f t="shared" si="49"/>
        <v>2501717848</v>
      </c>
      <c r="E290" t="s">
        <v>1536</v>
      </c>
      <c r="F290" t="str">
        <f t="shared" si="50"/>
        <v>400428</v>
      </c>
      <c r="G290" t="s">
        <v>833</v>
      </c>
      <c r="H290" t="s">
        <v>1127</v>
      </c>
      <c r="I290" t="s">
        <v>41</v>
      </c>
      <c r="J290">
        <v>4</v>
      </c>
      <c r="K290">
        <v>80</v>
      </c>
      <c r="L290" t="str">
        <f t="shared" si="51"/>
        <v>520996</v>
      </c>
      <c r="M290" t="s">
        <v>1797</v>
      </c>
      <c r="N290" t="s">
        <v>1798</v>
      </c>
      <c r="O290" s="2">
        <v>46226.920856481483</v>
      </c>
      <c r="P290" s="2">
        <v>46226.920856481483</v>
      </c>
      <c r="Q290" s="2">
        <v>46226.920856481483</v>
      </c>
      <c r="R290" t="str">
        <f t="shared" si="52"/>
        <v>153000241</v>
      </c>
      <c r="S290" s="1">
        <v>47950</v>
      </c>
    </row>
    <row r="291" spans="1:19" x14ac:dyDescent="0.35">
      <c r="A291" t="s">
        <v>30</v>
      </c>
      <c r="B291" t="s">
        <v>31</v>
      </c>
      <c r="C291" t="s">
        <v>1796</v>
      </c>
      <c r="D291" t="str">
        <f t="shared" si="49"/>
        <v>2501717848</v>
      </c>
      <c r="E291" t="s">
        <v>1536</v>
      </c>
      <c r="F291" t="str">
        <f t="shared" si="50"/>
        <v>400428</v>
      </c>
      <c r="G291" t="s">
        <v>833</v>
      </c>
      <c r="H291" t="s">
        <v>1107</v>
      </c>
      <c r="I291" t="s">
        <v>41</v>
      </c>
      <c r="J291">
        <v>4</v>
      </c>
      <c r="K291">
        <v>80</v>
      </c>
      <c r="L291" t="str">
        <f t="shared" si="51"/>
        <v>520996</v>
      </c>
      <c r="M291" t="s">
        <v>1797</v>
      </c>
      <c r="N291" t="s">
        <v>1798</v>
      </c>
      <c r="O291" s="2">
        <v>46226.920277777775</v>
      </c>
      <c r="P291" s="2">
        <v>46226.920277777775</v>
      </c>
      <c r="Q291" s="2">
        <v>46226.920277777775</v>
      </c>
      <c r="R291" t="str">
        <f t="shared" si="52"/>
        <v>153000241</v>
      </c>
      <c r="S291" s="1">
        <v>47950</v>
      </c>
    </row>
    <row r="292" spans="1:19" x14ac:dyDescent="0.35">
      <c r="A292" t="s">
        <v>30</v>
      </c>
      <c r="B292" t="s">
        <v>31</v>
      </c>
      <c r="C292" t="s">
        <v>1796</v>
      </c>
      <c r="D292" t="str">
        <f t="shared" si="49"/>
        <v>2501717848</v>
      </c>
      <c r="E292" t="s">
        <v>1536</v>
      </c>
      <c r="F292" t="str">
        <f t="shared" si="50"/>
        <v>400428</v>
      </c>
      <c r="G292" t="s">
        <v>833</v>
      </c>
      <c r="H292" t="s">
        <v>1089</v>
      </c>
      <c r="I292" t="s">
        <v>41</v>
      </c>
      <c r="J292">
        <v>4</v>
      </c>
      <c r="K292">
        <v>80</v>
      </c>
      <c r="L292" t="str">
        <f t="shared" si="51"/>
        <v>520996</v>
      </c>
      <c r="M292" t="s">
        <v>1797</v>
      </c>
      <c r="N292" t="s">
        <v>1798</v>
      </c>
      <c r="O292" s="2">
        <v>46226.919236111113</v>
      </c>
      <c r="P292" s="2">
        <v>46226.919236111113</v>
      </c>
      <c r="Q292" s="2">
        <v>46226.919236111113</v>
      </c>
      <c r="R292" t="str">
        <f t="shared" si="52"/>
        <v>153000241</v>
      </c>
      <c r="S292" s="1">
        <v>47950</v>
      </c>
    </row>
    <row r="293" spans="1:19" x14ac:dyDescent="0.35">
      <c r="A293" t="s">
        <v>30</v>
      </c>
      <c r="B293" t="s">
        <v>31</v>
      </c>
      <c r="C293" t="s">
        <v>1796</v>
      </c>
      <c r="D293" t="str">
        <f t="shared" si="49"/>
        <v>2501717848</v>
      </c>
      <c r="E293" t="s">
        <v>1536</v>
      </c>
      <c r="F293" t="str">
        <f t="shared" si="50"/>
        <v>400428</v>
      </c>
      <c r="G293" t="s">
        <v>833</v>
      </c>
      <c r="H293" t="s">
        <v>1093</v>
      </c>
      <c r="I293" t="s">
        <v>41</v>
      </c>
      <c r="J293">
        <v>4</v>
      </c>
      <c r="K293">
        <v>80</v>
      </c>
      <c r="L293" t="str">
        <f t="shared" si="51"/>
        <v>520996</v>
      </c>
      <c r="M293" t="s">
        <v>1797</v>
      </c>
      <c r="N293" t="s">
        <v>1798</v>
      </c>
      <c r="O293" s="2">
        <v>46226.918217592596</v>
      </c>
      <c r="P293" s="2">
        <v>46226.918217592596</v>
      </c>
      <c r="Q293" s="2">
        <v>46226.918217592596</v>
      </c>
      <c r="R293" t="str">
        <f t="shared" si="52"/>
        <v>153000241</v>
      </c>
      <c r="S293" s="1">
        <v>47950</v>
      </c>
    </row>
    <row r="294" spans="1:19" x14ac:dyDescent="0.35">
      <c r="A294" t="s">
        <v>30</v>
      </c>
      <c r="B294" t="s">
        <v>31</v>
      </c>
      <c r="C294" t="s">
        <v>1796</v>
      </c>
      <c r="D294" t="str">
        <f t="shared" si="49"/>
        <v>2501717848</v>
      </c>
      <c r="E294" t="s">
        <v>1536</v>
      </c>
      <c r="F294" t="str">
        <f t="shared" si="50"/>
        <v>400428</v>
      </c>
      <c r="G294" t="s">
        <v>833</v>
      </c>
      <c r="H294" t="s">
        <v>1091</v>
      </c>
      <c r="I294" t="s">
        <v>41</v>
      </c>
      <c r="J294">
        <v>4</v>
      </c>
      <c r="K294">
        <v>80</v>
      </c>
      <c r="L294" t="str">
        <f t="shared" si="51"/>
        <v>520996</v>
      </c>
      <c r="M294" t="s">
        <v>1797</v>
      </c>
      <c r="N294" t="s">
        <v>1798</v>
      </c>
      <c r="O294" s="2">
        <v>46226.917407407411</v>
      </c>
      <c r="P294" s="2">
        <v>46226.917407407411</v>
      </c>
      <c r="Q294" s="2">
        <v>46226.917407407411</v>
      </c>
      <c r="R294" t="str">
        <f t="shared" si="52"/>
        <v>153000241</v>
      </c>
      <c r="S294" s="1">
        <v>47950</v>
      </c>
    </row>
    <row r="295" spans="1:19" x14ac:dyDescent="0.35">
      <c r="A295" t="s">
        <v>30</v>
      </c>
      <c r="B295" t="s">
        <v>31</v>
      </c>
      <c r="C295" t="s">
        <v>1796</v>
      </c>
      <c r="D295" t="str">
        <f t="shared" si="49"/>
        <v>2501717848</v>
      </c>
      <c r="E295" t="s">
        <v>1536</v>
      </c>
      <c r="F295" t="str">
        <f t="shared" si="50"/>
        <v>400428</v>
      </c>
      <c r="G295" t="s">
        <v>833</v>
      </c>
      <c r="H295" t="s">
        <v>1087</v>
      </c>
      <c r="I295" t="s">
        <v>41</v>
      </c>
      <c r="J295">
        <v>4</v>
      </c>
      <c r="K295">
        <v>80</v>
      </c>
      <c r="L295" t="str">
        <f t="shared" si="51"/>
        <v>520996</v>
      </c>
      <c r="M295" t="s">
        <v>1797</v>
      </c>
      <c r="N295" t="s">
        <v>1798</v>
      </c>
      <c r="O295" s="2">
        <v>46226.916550925926</v>
      </c>
      <c r="P295" s="2">
        <v>46226.916550925926</v>
      </c>
      <c r="Q295" s="2">
        <v>46226.916550925926</v>
      </c>
      <c r="R295" t="str">
        <f t="shared" si="52"/>
        <v>153000241</v>
      </c>
      <c r="S295" s="1">
        <v>47950</v>
      </c>
    </row>
    <row r="296" spans="1:19" x14ac:dyDescent="0.35">
      <c r="A296" t="s">
        <v>30</v>
      </c>
      <c r="B296" t="s">
        <v>31</v>
      </c>
      <c r="C296" t="s">
        <v>1796</v>
      </c>
      <c r="D296" t="str">
        <f t="shared" si="49"/>
        <v>2501717848</v>
      </c>
      <c r="E296" t="s">
        <v>1536</v>
      </c>
      <c r="F296" t="str">
        <f t="shared" si="50"/>
        <v>400428</v>
      </c>
      <c r="G296" t="s">
        <v>833</v>
      </c>
      <c r="H296" t="s">
        <v>1601</v>
      </c>
      <c r="I296" t="s">
        <v>41</v>
      </c>
      <c r="J296">
        <v>4</v>
      </c>
      <c r="K296">
        <v>80</v>
      </c>
      <c r="L296" t="str">
        <f t="shared" si="51"/>
        <v>520996</v>
      </c>
      <c r="M296" t="s">
        <v>1797</v>
      </c>
      <c r="N296" t="s">
        <v>1798</v>
      </c>
      <c r="O296" s="2">
        <v>46226.915659722225</v>
      </c>
      <c r="P296" s="2">
        <v>46226.915659722225</v>
      </c>
      <c r="Q296" s="2">
        <v>46226.915659722225</v>
      </c>
      <c r="R296" t="str">
        <f t="shared" si="52"/>
        <v>153000241</v>
      </c>
      <c r="S296" s="1">
        <v>47950</v>
      </c>
    </row>
    <row r="297" spans="1:19" x14ac:dyDescent="0.35">
      <c r="A297" t="s">
        <v>30</v>
      </c>
      <c r="B297" t="s">
        <v>31</v>
      </c>
      <c r="C297" t="s">
        <v>1796</v>
      </c>
      <c r="D297" t="str">
        <f t="shared" si="49"/>
        <v>2501717848</v>
      </c>
      <c r="E297" t="s">
        <v>1536</v>
      </c>
      <c r="F297" t="str">
        <f t="shared" si="50"/>
        <v>400428</v>
      </c>
      <c r="G297" t="s">
        <v>833</v>
      </c>
      <c r="H297" t="s">
        <v>1105</v>
      </c>
      <c r="I297" t="s">
        <v>41</v>
      </c>
      <c r="J297">
        <v>4</v>
      </c>
      <c r="K297">
        <v>80</v>
      </c>
      <c r="L297" t="str">
        <f t="shared" si="51"/>
        <v>520996</v>
      </c>
      <c r="M297" t="s">
        <v>1797</v>
      </c>
      <c r="N297" t="s">
        <v>1798</v>
      </c>
      <c r="O297" s="2">
        <v>46226.914895833332</v>
      </c>
      <c r="P297" s="2">
        <v>46226.914895833332</v>
      </c>
      <c r="Q297" s="2">
        <v>46226.914895833332</v>
      </c>
      <c r="R297" t="str">
        <f t="shared" si="52"/>
        <v>153000241</v>
      </c>
      <c r="S297" s="1">
        <v>47950</v>
      </c>
    </row>
    <row r="298" spans="1:19" x14ac:dyDescent="0.35">
      <c r="A298" t="s">
        <v>30</v>
      </c>
      <c r="B298" t="s">
        <v>31</v>
      </c>
      <c r="C298" t="s">
        <v>1796</v>
      </c>
      <c r="D298" t="str">
        <f t="shared" si="49"/>
        <v>2501717848</v>
      </c>
      <c r="E298" t="s">
        <v>1536</v>
      </c>
      <c r="F298" t="str">
        <f t="shared" si="50"/>
        <v>400428</v>
      </c>
      <c r="G298" t="s">
        <v>833</v>
      </c>
      <c r="H298" t="s">
        <v>1101</v>
      </c>
      <c r="I298" t="s">
        <v>41</v>
      </c>
      <c r="J298">
        <v>4</v>
      </c>
      <c r="K298">
        <v>80</v>
      </c>
      <c r="L298" t="str">
        <f t="shared" si="51"/>
        <v>520996</v>
      </c>
      <c r="M298" t="s">
        <v>1797</v>
      </c>
      <c r="N298" t="s">
        <v>1798</v>
      </c>
      <c r="O298" s="2">
        <v>46226.9141087963</v>
      </c>
      <c r="P298" s="2">
        <v>46226.9141087963</v>
      </c>
      <c r="Q298" s="2">
        <v>46226.9141087963</v>
      </c>
      <c r="R298" t="str">
        <f t="shared" si="52"/>
        <v>153000241</v>
      </c>
      <c r="S298" s="1">
        <v>47950</v>
      </c>
    </row>
    <row r="299" spans="1:19" x14ac:dyDescent="0.35">
      <c r="A299" t="s">
        <v>30</v>
      </c>
      <c r="B299" t="s">
        <v>31</v>
      </c>
      <c r="C299" t="s">
        <v>1796</v>
      </c>
      <c r="D299" t="str">
        <f t="shared" si="49"/>
        <v>2501717848</v>
      </c>
      <c r="E299" t="s">
        <v>1536</v>
      </c>
      <c r="F299" t="str">
        <f t="shared" si="50"/>
        <v>400428</v>
      </c>
      <c r="G299" t="s">
        <v>833</v>
      </c>
      <c r="H299" t="s">
        <v>1099</v>
      </c>
      <c r="I299" t="s">
        <v>41</v>
      </c>
      <c r="J299">
        <v>4</v>
      </c>
      <c r="K299">
        <v>80</v>
      </c>
      <c r="L299" t="str">
        <f t="shared" si="51"/>
        <v>520996</v>
      </c>
      <c r="M299" t="s">
        <v>1797</v>
      </c>
      <c r="N299" t="s">
        <v>1798</v>
      </c>
      <c r="O299" s="2">
        <v>46226.913391203707</v>
      </c>
      <c r="P299" s="2">
        <v>46226.913391203707</v>
      </c>
      <c r="Q299" s="2">
        <v>46226.913391203707</v>
      </c>
      <c r="R299" t="str">
        <f t="shared" si="52"/>
        <v>153000241</v>
      </c>
      <c r="S299" s="1">
        <v>47950</v>
      </c>
    </row>
    <row r="300" spans="1:19" x14ac:dyDescent="0.35">
      <c r="A300" t="s">
        <v>30</v>
      </c>
      <c r="B300" t="s">
        <v>31</v>
      </c>
      <c r="C300" t="s">
        <v>1796</v>
      </c>
      <c r="D300" t="str">
        <f t="shared" si="49"/>
        <v>2501717848</v>
      </c>
      <c r="E300" t="s">
        <v>1536</v>
      </c>
      <c r="F300" t="str">
        <f t="shared" si="50"/>
        <v>400428</v>
      </c>
      <c r="G300" t="s">
        <v>833</v>
      </c>
      <c r="H300" t="s">
        <v>1077</v>
      </c>
      <c r="I300" t="s">
        <v>41</v>
      </c>
      <c r="J300">
        <v>4</v>
      </c>
      <c r="K300">
        <v>80</v>
      </c>
      <c r="L300" t="str">
        <f t="shared" si="51"/>
        <v>520996</v>
      </c>
      <c r="M300" t="s">
        <v>1797</v>
      </c>
      <c r="N300" t="s">
        <v>1798</v>
      </c>
      <c r="O300" s="2">
        <v>46226.912314814814</v>
      </c>
      <c r="P300" s="2">
        <v>46226.912314814814</v>
      </c>
      <c r="Q300" s="2">
        <v>46226.912314814814</v>
      </c>
      <c r="R300" t="str">
        <f t="shared" si="52"/>
        <v>153000241</v>
      </c>
      <c r="S300" s="1">
        <v>47950</v>
      </c>
    </row>
    <row r="301" spans="1:19" x14ac:dyDescent="0.35">
      <c r="A301" t="s">
        <v>30</v>
      </c>
      <c r="B301" t="s">
        <v>31</v>
      </c>
      <c r="C301" t="s">
        <v>1796</v>
      </c>
      <c r="D301" t="str">
        <f t="shared" si="49"/>
        <v>2501717848</v>
      </c>
      <c r="E301" t="s">
        <v>1536</v>
      </c>
      <c r="F301" t="str">
        <f t="shared" si="50"/>
        <v>400428</v>
      </c>
      <c r="G301" t="s">
        <v>833</v>
      </c>
      <c r="H301" t="s">
        <v>1075</v>
      </c>
      <c r="I301" t="s">
        <v>41</v>
      </c>
      <c r="J301">
        <v>3</v>
      </c>
      <c r="K301">
        <v>80</v>
      </c>
      <c r="L301" t="str">
        <f t="shared" si="51"/>
        <v>520996</v>
      </c>
      <c r="M301" t="s">
        <v>1797</v>
      </c>
      <c r="N301" t="s">
        <v>1798</v>
      </c>
      <c r="O301" s="2">
        <v>46226.911215277774</v>
      </c>
      <c r="P301" s="2">
        <v>46226.911215277774</v>
      </c>
      <c r="Q301" s="2">
        <v>46226.911215277774</v>
      </c>
      <c r="R301" t="str">
        <f t="shared" si="52"/>
        <v>153000241</v>
      </c>
      <c r="S301" s="1">
        <v>47950</v>
      </c>
    </row>
    <row r="302" spans="1:19" x14ac:dyDescent="0.35">
      <c r="A302" t="s">
        <v>30</v>
      </c>
      <c r="B302" t="s">
        <v>31</v>
      </c>
      <c r="C302" t="s">
        <v>1796</v>
      </c>
      <c r="D302" t="str">
        <f t="shared" si="49"/>
        <v>2501717848</v>
      </c>
      <c r="E302" t="s">
        <v>1536</v>
      </c>
      <c r="F302" t="str">
        <f t="shared" si="50"/>
        <v>400428</v>
      </c>
      <c r="G302" t="s">
        <v>833</v>
      </c>
      <c r="H302" t="s">
        <v>1073</v>
      </c>
      <c r="I302" t="s">
        <v>41</v>
      </c>
      <c r="J302">
        <v>4</v>
      </c>
      <c r="K302">
        <v>80</v>
      </c>
      <c r="L302" t="str">
        <f t="shared" si="51"/>
        <v>520996</v>
      </c>
      <c r="M302" t="s">
        <v>1797</v>
      </c>
      <c r="N302" t="s">
        <v>1798</v>
      </c>
      <c r="O302" s="2">
        <v>46226.909907407404</v>
      </c>
      <c r="P302" s="2">
        <v>46226.909907407404</v>
      </c>
      <c r="Q302" s="2">
        <v>46226.909907407404</v>
      </c>
      <c r="R302" t="str">
        <f t="shared" si="52"/>
        <v>153000241</v>
      </c>
      <c r="S302" s="1">
        <v>47950</v>
      </c>
    </row>
    <row r="303" spans="1:19" x14ac:dyDescent="0.35">
      <c r="A303" t="s">
        <v>30</v>
      </c>
      <c r="B303" t="s">
        <v>31</v>
      </c>
      <c r="C303" t="s">
        <v>1796</v>
      </c>
      <c r="D303" t="str">
        <f t="shared" si="49"/>
        <v>2501717848</v>
      </c>
      <c r="E303" t="s">
        <v>1536</v>
      </c>
      <c r="F303" t="str">
        <f t="shared" si="50"/>
        <v>400428</v>
      </c>
      <c r="G303" t="s">
        <v>833</v>
      </c>
      <c r="H303" t="s">
        <v>1071</v>
      </c>
      <c r="I303" t="s">
        <v>41</v>
      </c>
      <c r="J303">
        <v>4</v>
      </c>
      <c r="K303">
        <v>80</v>
      </c>
      <c r="L303" t="str">
        <f t="shared" si="51"/>
        <v>520996</v>
      </c>
      <c r="M303" t="s">
        <v>1797</v>
      </c>
      <c r="N303" t="s">
        <v>1798</v>
      </c>
      <c r="O303" s="2">
        <v>46226.909282407411</v>
      </c>
      <c r="P303" s="2">
        <v>46226.909282407411</v>
      </c>
      <c r="Q303" s="2">
        <v>46226.909282407411</v>
      </c>
      <c r="R303" t="str">
        <f t="shared" si="52"/>
        <v>153000241</v>
      </c>
      <c r="S303" s="1">
        <v>47950</v>
      </c>
    </row>
    <row r="304" spans="1:19" x14ac:dyDescent="0.35">
      <c r="A304" t="s">
        <v>30</v>
      </c>
      <c r="B304" t="s">
        <v>31</v>
      </c>
      <c r="C304" t="s">
        <v>1796</v>
      </c>
      <c r="D304" t="str">
        <f t="shared" si="49"/>
        <v>2501717848</v>
      </c>
      <c r="E304" t="s">
        <v>1536</v>
      </c>
      <c r="F304" t="str">
        <f t="shared" si="50"/>
        <v>400428</v>
      </c>
      <c r="G304" t="s">
        <v>833</v>
      </c>
      <c r="H304" t="s">
        <v>1069</v>
      </c>
      <c r="I304" t="s">
        <v>41</v>
      </c>
      <c r="J304">
        <v>4</v>
      </c>
      <c r="K304">
        <v>80</v>
      </c>
      <c r="L304" t="str">
        <f t="shared" si="51"/>
        <v>520996</v>
      </c>
      <c r="M304" t="s">
        <v>1797</v>
      </c>
      <c r="N304" t="s">
        <v>1798</v>
      </c>
      <c r="O304" s="2">
        <v>46226.907523148147</v>
      </c>
      <c r="P304" s="2">
        <v>46226.907523148147</v>
      </c>
      <c r="Q304" s="2">
        <v>46226.907523148147</v>
      </c>
      <c r="R304" t="str">
        <f t="shared" si="52"/>
        <v>153000241</v>
      </c>
      <c r="S304" s="1">
        <v>47950</v>
      </c>
    </row>
    <row r="305" spans="1:19" x14ac:dyDescent="0.35">
      <c r="A305" t="s">
        <v>30</v>
      </c>
      <c r="B305" t="s">
        <v>31</v>
      </c>
      <c r="C305" t="s">
        <v>1796</v>
      </c>
      <c r="D305" t="str">
        <f t="shared" si="49"/>
        <v>2501717848</v>
      </c>
      <c r="E305" t="s">
        <v>1536</v>
      </c>
      <c r="F305" t="str">
        <f t="shared" si="50"/>
        <v>400428</v>
      </c>
      <c r="G305" t="s">
        <v>833</v>
      </c>
      <c r="H305" t="s">
        <v>1067</v>
      </c>
      <c r="I305" t="s">
        <v>41</v>
      </c>
      <c r="J305">
        <v>1</v>
      </c>
      <c r="K305">
        <v>80</v>
      </c>
      <c r="L305" t="str">
        <f t="shared" si="51"/>
        <v>520996</v>
      </c>
      <c r="M305" t="s">
        <v>1797</v>
      </c>
      <c r="N305" t="s">
        <v>1798</v>
      </c>
      <c r="O305" s="2">
        <v>46226.906238425923</v>
      </c>
      <c r="P305" s="2">
        <v>46226.906238425923</v>
      </c>
      <c r="Q305" s="2">
        <v>46226.906238425923</v>
      </c>
      <c r="R305" t="str">
        <f t="shared" si="52"/>
        <v>153000241</v>
      </c>
      <c r="S305" s="1">
        <v>47950</v>
      </c>
    </row>
    <row r="306" spans="1:19" x14ac:dyDescent="0.35">
      <c r="A306" t="s">
        <v>30</v>
      </c>
      <c r="B306" t="s">
        <v>31</v>
      </c>
      <c r="C306" t="s">
        <v>1799</v>
      </c>
      <c r="D306" t="str">
        <f>"2501717826"</f>
        <v>2501717826</v>
      </c>
      <c r="E306" t="s">
        <v>1536</v>
      </c>
      <c r="F306" t="str">
        <f>"400903"</f>
        <v>400903</v>
      </c>
      <c r="G306" t="s">
        <v>1712</v>
      </c>
      <c r="H306" t="s">
        <v>1519</v>
      </c>
      <c r="I306" t="s">
        <v>41</v>
      </c>
      <c r="J306">
        <v>1</v>
      </c>
      <c r="K306">
        <v>5</v>
      </c>
      <c r="L306" t="str">
        <f>"520617"</f>
        <v>520617</v>
      </c>
      <c r="M306" t="s">
        <v>1559</v>
      </c>
      <c r="N306" t="s">
        <v>1715</v>
      </c>
      <c r="O306" s="2">
        <v>46225.973912037036</v>
      </c>
      <c r="P306" s="2">
        <v>46225.973912037036</v>
      </c>
      <c r="Q306" s="2">
        <v>46225.973912037036</v>
      </c>
      <c r="R306" t="str">
        <f>"600000993"</f>
        <v>600000993</v>
      </c>
      <c r="S306" s="1">
        <v>47834</v>
      </c>
    </row>
    <row r="307" spans="1:19" x14ac:dyDescent="0.35">
      <c r="A307" t="s">
        <v>30</v>
      </c>
      <c r="B307" t="s">
        <v>31</v>
      </c>
      <c r="C307" t="s">
        <v>1799</v>
      </c>
      <c r="D307" t="str">
        <f>"2501717826"</f>
        <v>2501717826</v>
      </c>
      <c r="E307" t="s">
        <v>1536</v>
      </c>
      <c r="F307" t="str">
        <f>"400903"</f>
        <v>400903</v>
      </c>
      <c r="G307" t="s">
        <v>1712</v>
      </c>
      <c r="H307" t="s">
        <v>1153</v>
      </c>
      <c r="I307" t="s">
        <v>41</v>
      </c>
      <c r="J307">
        <v>4</v>
      </c>
      <c r="K307">
        <v>5</v>
      </c>
      <c r="L307" t="str">
        <f>"520617"</f>
        <v>520617</v>
      </c>
      <c r="M307" t="s">
        <v>1559</v>
      </c>
      <c r="N307" t="s">
        <v>1715</v>
      </c>
      <c r="O307" s="2">
        <v>46225.972708333335</v>
      </c>
      <c r="P307" s="2">
        <v>46225.972708333335</v>
      </c>
      <c r="Q307" s="2">
        <v>46225.972708333335</v>
      </c>
      <c r="R307" t="str">
        <f>"600000993"</f>
        <v>600000993</v>
      </c>
      <c r="S307" s="1">
        <v>47834</v>
      </c>
    </row>
    <row r="308" spans="1:19" x14ac:dyDescent="0.35">
      <c r="A308" t="s">
        <v>30</v>
      </c>
      <c r="B308" t="s">
        <v>31</v>
      </c>
      <c r="C308" t="s">
        <v>1799</v>
      </c>
      <c r="D308" t="str">
        <f>"2501717826"</f>
        <v>2501717826</v>
      </c>
      <c r="E308" t="s">
        <v>1536</v>
      </c>
      <c r="F308" t="str">
        <f>"400903"</f>
        <v>400903</v>
      </c>
      <c r="G308" t="s">
        <v>1712</v>
      </c>
      <c r="H308" t="s">
        <v>1163</v>
      </c>
      <c r="I308" t="s">
        <v>41</v>
      </c>
      <c r="J308">
        <v>3</v>
      </c>
      <c r="K308">
        <v>3</v>
      </c>
      <c r="L308" t="str">
        <f>"520617"</f>
        <v>520617</v>
      </c>
      <c r="M308" t="s">
        <v>1559</v>
      </c>
      <c r="N308" t="s">
        <v>1715</v>
      </c>
      <c r="O308" s="2">
        <v>46225.971087962964</v>
      </c>
      <c r="P308" s="2">
        <v>46225.971087962964</v>
      </c>
      <c r="Q308" s="2">
        <v>46225.971087962964</v>
      </c>
      <c r="R308" t="str">
        <f>"600000994"</f>
        <v>600000994</v>
      </c>
      <c r="S308" s="1">
        <v>47834</v>
      </c>
    </row>
    <row r="309" spans="1:19" x14ac:dyDescent="0.35">
      <c r="A309" t="s">
        <v>30</v>
      </c>
      <c r="B309" t="s">
        <v>31</v>
      </c>
      <c r="C309" t="s">
        <v>1800</v>
      </c>
      <c r="D309" t="str">
        <f>"2501717817"</f>
        <v>2501717817</v>
      </c>
      <c r="E309" t="s">
        <v>1536</v>
      </c>
      <c r="F309" t="str">
        <f>"400426"</f>
        <v>400426</v>
      </c>
      <c r="G309" t="s">
        <v>34</v>
      </c>
      <c r="H309" t="s">
        <v>1236</v>
      </c>
      <c r="I309" t="s">
        <v>37</v>
      </c>
      <c r="J309">
        <v>6</v>
      </c>
      <c r="K309">
        <v>6</v>
      </c>
      <c r="L309" t="str">
        <f>"521091"</f>
        <v>521091</v>
      </c>
      <c r="M309" t="s">
        <v>1801</v>
      </c>
      <c r="N309" t="s">
        <v>1802</v>
      </c>
      <c r="O309" s="2">
        <v>46224.938472222224</v>
      </c>
      <c r="P309" s="2">
        <v>46224.938472222224</v>
      </c>
      <c r="Q309" s="2">
        <v>46224.938472222224</v>
      </c>
      <c r="R309" t="str">
        <f>"153000233"</f>
        <v>153000233</v>
      </c>
      <c r="S309" s="1">
        <v>47945</v>
      </c>
    </row>
    <row r="310" spans="1:19" x14ac:dyDescent="0.35">
      <c r="A310" t="s">
        <v>30</v>
      </c>
      <c r="B310" t="s">
        <v>31</v>
      </c>
      <c r="C310" t="s">
        <v>1800</v>
      </c>
      <c r="D310" t="str">
        <f>"2501717817"</f>
        <v>2501717817</v>
      </c>
      <c r="E310" t="s">
        <v>1536</v>
      </c>
      <c r="F310" t="str">
        <f>"400413"</f>
        <v>400413</v>
      </c>
      <c r="G310" t="s">
        <v>1545</v>
      </c>
      <c r="H310" t="s">
        <v>1688</v>
      </c>
      <c r="I310" t="s">
        <v>37</v>
      </c>
      <c r="J310">
        <v>6</v>
      </c>
      <c r="K310">
        <v>6</v>
      </c>
      <c r="L310" t="str">
        <f>"521091"</f>
        <v>521091</v>
      </c>
      <c r="M310" t="s">
        <v>1801</v>
      </c>
      <c r="N310" t="s">
        <v>1802</v>
      </c>
      <c r="O310" s="2">
        <v>46224.93482638889</v>
      </c>
      <c r="P310" s="2">
        <v>46224.93482638889</v>
      </c>
      <c r="Q310" s="2">
        <v>46224.93482638889</v>
      </c>
      <c r="R310" t="str">
        <f>"153000382"</f>
        <v>153000382</v>
      </c>
      <c r="S310" s="1">
        <v>48011</v>
      </c>
    </row>
    <row r="311" spans="1:19" x14ac:dyDescent="0.35">
      <c r="A311" t="s">
        <v>30</v>
      </c>
      <c r="B311" t="s">
        <v>31</v>
      </c>
      <c r="C311" t="s">
        <v>1800</v>
      </c>
      <c r="D311" t="str">
        <f>"2501717817"</f>
        <v>2501717817</v>
      </c>
      <c r="E311" t="s">
        <v>1536</v>
      </c>
      <c r="F311" t="str">
        <f>"400402"</f>
        <v>400402</v>
      </c>
      <c r="G311" t="s">
        <v>1665</v>
      </c>
      <c r="H311" t="s">
        <v>1240</v>
      </c>
      <c r="I311" t="s">
        <v>37</v>
      </c>
      <c r="J311">
        <v>17</v>
      </c>
      <c r="K311">
        <v>20</v>
      </c>
      <c r="L311" t="str">
        <f>"521091"</f>
        <v>521091</v>
      </c>
      <c r="M311" t="s">
        <v>1801</v>
      </c>
      <c r="N311" t="s">
        <v>1802</v>
      </c>
      <c r="O311" s="2">
        <v>46224.931215277778</v>
      </c>
      <c r="P311" s="2">
        <v>46224.931215277778</v>
      </c>
      <c r="Q311" s="2">
        <v>46224.931215277778</v>
      </c>
      <c r="R311" t="str">
        <f>"153000363"</f>
        <v>153000363</v>
      </c>
      <c r="S311" s="1">
        <v>48006</v>
      </c>
    </row>
    <row r="312" spans="1:19" x14ac:dyDescent="0.35">
      <c r="A312" t="s">
        <v>30</v>
      </c>
      <c r="B312" t="s">
        <v>31</v>
      </c>
      <c r="C312" t="s">
        <v>1800</v>
      </c>
      <c r="D312" t="str">
        <f>"2501717817"</f>
        <v>2501717817</v>
      </c>
      <c r="E312" t="s">
        <v>1536</v>
      </c>
      <c r="F312" t="str">
        <f>"400402"</f>
        <v>400402</v>
      </c>
      <c r="G312" t="s">
        <v>1665</v>
      </c>
      <c r="H312" t="s">
        <v>1147</v>
      </c>
      <c r="I312" t="s">
        <v>37</v>
      </c>
      <c r="J312">
        <v>3</v>
      </c>
      <c r="K312">
        <v>20</v>
      </c>
      <c r="L312" t="str">
        <f>"521091"</f>
        <v>521091</v>
      </c>
      <c r="M312" t="s">
        <v>1801</v>
      </c>
      <c r="N312" t="s">
        <v>1802</v>
      </c>
      <c r="O312" s="2">
        <v>46224.929305555554</v>
      </c>
      <c r="P312" s="2">
        <v>46224.929305555554</v>
      </c>
      <c r="Q312" s="2">
        <v>46224.929305555554</v>
      </c>
      <c r="R312" t="str">
        <f>"153000363"</f>
        <v>153000363</v>
      </c>
      <c r="S312" s="1">
        <v>48006</v>
      </c>
    </row>
    <row r="313" spans="1:19" x14ac:dyDescent="0.35">
      <c r="A313" t="s">
        <v>30</v>
      </c>
      <c r="B313" t="s">
        <v>31</v>
      </c>
      <c r="C313" t="s">
        <v>1800</v>
      </c>
      <c r="D313" t="str">
        <f>"2501717817"</f>
        <v>2501717817</v>
      </c>
      <c r="E313" t="s">
        <v>1536</v>
      </c>
      <c r="F313" t="str">
        <f>"400396"</f>
        <v>400396</v>
      </c>
      <c r="G313" t="s">
        <v>1750</v>
      </c>
      <c r="H313" t="s">
        <v>1751</v>
      </c>
      <c r="I313" t="s">
        <v>37</v>
      </c>
      <c r="J313">
        <v>30</v>
      </c>
      <c r="K313">
        <v>30</v>
      </c>
      <c r="L313" t="str">
        <f>"521091"</f>
        <v>521091</v>
      </c>
      <c r="M313" t="s">
        <v>1801</v>
      </c>
      <c r="N313" t="s">
        <v>1802</v>
      </c>
      <c r="O313" s="2">
        <v>46224.927870370368</v>
      </c>
      <c r="P313" s="2">
        <v>46224.927870370368</v>
      </c>
      <c r="Q313" s="2">
        <v>46224.927870370368</v>
      </c>
      <c r="R313" t="str">
        <f>"153000455"</f>
        <v>153000455</v>
      </c>
      <c r="S313" s="1">
        <v>48042</v>
      </c>
    </row>
    <row r="314" spans="1:19" x14ac:dyDescent="0.35">
      <c r="A314" t="s">
        <v>30</v>
      </c>
      <c r="B314" t="s">
        <v>31</v>
      </c>
      <c r="C314" t="s">
        <v>1803</v>
      </c>
      <c r="D314" t="str">
        <f>"2501717775"</f>
        <v>2501717775</v>
      </c>
      <c r="E314" t="s">
        <v>1536</v>
      </c>
      <c r="F314" t="str">
        <f>"400396"</f>
        <v>400396</v>
      </c>
      <c r="G314" t="s">
        <v>1750</v>
      </c>
      <c r="H314" t="s">
        <v>1804</v>
      </c>
      <c r="I314" t="s">
        <v>37</v>
      </c>
      <c r="J314">
        <v>29</v>
      </c>
      <c r="K314">
        <v>81</v>
      </c>
      <c r="L314" t="str">
        <f>"521088"</f>
        <v>521088</v>
      </c>
      <c r="M314" t="s">
        <v>1805</v>
      </c>
      <c r="N314" t="s">
        <v>1560</v>
      </c>
      <c r="O314" s="2">
        <v>46223.782025462962</v>
      </c>
      <c r="P314" s="2">
        <v>46223.782025462962</v>
      </c>
      <c r="Q314" s="2">
        <v>46223.782025462962</v>
      </c>
      <c r="R314" t="str">
        <f>"153000455"</f>
        <v>153000455</v>
      </c>
      <c r="S314" s="1">
        <v>48042</v>
      </c>
    </row>
    <row r="315" spans="1:19" x14ac:dyDescent="0.35">
      <c r="A315" t="s">
        <v>30</v>
      </c>
      <c r="B315" t="s">
        <v>31</v>
      </c>
      <c r="C315" t="s">
        <v>1806</v>
      </c>
      <c r="D315" t="str">
        <f>"2501717792"</f>
        <v>2501717792</v>
      </c>
      <c r="E315" t="s">
        <v>1536</v>
      </c>
      <c r="F315" t="str">
        <f>"400396"</f>
        <v>400396</v>
      </c>
      <c r="G315" t="s">
        <v>1750</v>
      </c>
      <c r="H315" t="s">
        <v>1751</v>
      </c>
      <c r="I315" t="s">
        <v>37</v>
      </c>
      <c r="J315">
        <v>21</v>
      </c>
      <c r="K315">
        <v>90</v>
      </c>
      <c r="L315" t="str">
        <f>"521152"</f>
        <v>521152</v>
      </c>
      <c r="M315" t="s">
        <v>1807</v>
      </c>
      <c r="N315" t="s">
        <v>1681</v>
      </c>
      <c r="O315" s="2">
        <v>46223.790706018517</v>
      </c>
      <c r="P315" s="2">
        <v>46223.790706018517</v>
      </c>
      <c r="Q315" s="2">
        <v>46223.790706018517</v>
      </c>
      <c r="R315" t="str">
        <f>"153000455"</f>
        <v>153000455</v>
      </c>
      <c r="S315" s="1">
        <v>48042</v>
      </c>
    </row>
    <row r="316" spans="1:19" x14ac:dyDescent="0.35">
      <c r="A316" t="s">
        <v>30</v>
      </c>
      <c r="B316" t="s">
        <v>31</v>
      </c>
      <c r="C316" t="s">
        <v>1806</v>
      </c>
      <c r="D316" t="str">
        <f>"2501717792"</f>
        <v>2501717792</v>
      </c>
      <c r="E316" t="s">
        <v>1536</v>
      </c>
      <c r="F316" t="str">
        <f>"400396"</f>
        <v>400396</v>
      </c>
      <c r="G316" t="s">
        <v>1750</v>
      </c>
      <c r="H316" t="s">
        <v>1808</v>
      </c>
      <c r="I316" t="s">
        <v>37</v>
      </c>
      <c r="J316">
        <v>52</v>
      </c>
      <c r="K316">
        <v>90</v>
      </c>
      <c r="L316" t="str">
        <f>"521152"</f>
        <v>521152</v>
      </c>
      <c r="M316" t="s">
        <v>1807</v>
      </c>
      <c r="N316" t="s">
        <v>1681</v>
      </c>
      <c r="O316" s="2">
        <v>46223.794085648151</v>
      </c>
      <c r="P316" s="2">
        <v>46223.794085648151</v>
      </c>
      <c r="Q316" s="2">
        <v>46223.794085648151</v>
      </c>
      <c r="R316" t="str">
        <f>"153000455"</f>
        <v>153000455</v>
      </c>
      <c r="S316" s="1">
        <v>48042</v>
      </c>
    </row>
    <row r="317" spans="1:19" x14ac:dyDescent="0.35">
      <c r="A317" t="s">
        <v>30</v>
      </c>
      <c r="B317" t="s">
        <v>31</v>
      </c>
      <c r="C317" t="s">
        <v>1806</v>
      </c>
      <c r="D317" t="str">
        <f>"2501717792"</f>
        <v>2501717792</v>
      </c>
      <c r="E317" t="s">
        <v>1536</v>
      </c>
      <c r="F317" t="str">
        <f>"400396"</f>
        <v>400396</v>
      </c>
      <c r="G317" t="s">
        <v>1750</v>
      </c>
      <c r="H317" t="s">
        <v>1804</v>
      </c>
      <c r="I317" t="s">
        <v>37</v>
      </c>
      <c r="J317">
        <v>17</v>
      </c>
      <c r="K317">
        <v>90</v>
      </c>
      <c r="L317" t="str">
        <f>"521152"</f>
        <v>521152</v>
      </c>
      <c r="M317" t="s">
        <v>1807</v>
      </c>
      <c r="N317" t="s">
        <v>1681</v>
      </c>
      <c r="O317" s="2">
        <v>46223.785914351851</v>
      </c>
      <c r="P317" s="2">
        <v>46223.785914351851</v>
      </c>
      <c r="Q317" s="2">
        <v>46223.785914351851</v>
      </c>
      <c r="R317" t="str">
        <f>"153000455"</f>
        <v>153000455</v>
      </c>
      <c r="S317" s="1">
        <v>48042</v>
      </c>
    </row>
    <row r="318" spans="1:19" x14ac:dyDescent="0.35">
      <c r="A318" t="s">
        <v>30</v>
      </c>
      <c r="B318" t="s">
        <v>31</v>
      </c>
      <c r="C318" t="s">
        <v>1809</v>
      </c>
      <c r="D318" t="str">
        <f t="shared" ref="D318:D324" si="53">"2501717787"</f>
        <v>2501717787</v>
      </c>
      <c r="E318" t="s">
        <v>1536</v>
      </c>
      <c r="F318" t="str">
        <f>"400420"</f>
        <v>400420</v>
      </c>
      <c r="G318" t="s">
        <v>1661</v>
      </c>
      <c r="H318" t="s">
        <v>1810</v>
      </c>
      <c r="I318" t="s">
        <v>37</v>
      </c>
      <c r="J318">
        <v>13</v>
      </c>
      <c r="K318">
        <v>104</v>
      </c>
      <c r="L318" t="str">
        <f t="shared" ref="L318:L324" si="54">"520605"</f>
        <v>520605</v>
      </c>
      <c r="M318" t="s">
        <v>1811</v>
      </c>
      <c r="N318" t="s">
        <v>1719</v>
      </c>
      <c r="O318" s="2">
        <v>46223.793402777781</v>
      </c>
      <c r="P318" s="2">
        <v>46223.793402777781</v>
      </c>
      <c r="Q318" s="2">
        <v>46223.793402777781</v>
      </c>
      <c r="R318" t="str">
        <f>"153000453"</f>
        <v>153000453</v>
      </c>
      <c r="S318" s="1">
        <v>48041</v>
      </c>
    </row>
    <row r="319" spans="1:19" x14ac:dyDescent="0.35">
      <c r="A319" t="s">
        <v>30</v>
      </c>
      <c r="B319" t="s">
        <v>31</v>
      </c>
      <c r="C319" t="s">
        <v>1809</v>
      </c>
      <c r="D319" t="str">
        <f t="shared" si="53"/>
        <v>2501717787</v>
      </c>
      <c r="E319" t="s">
        <v>1536</v>
      </c>
      <c r="F319" t="str">
        <f>"400420"</f>
        <v>400420</v>
      </c>
      <c r="G319" t="s">
        <v>1661</v>
      </c>
      <c r="H319" t="s">
        <v>1812</v>
      </c>
      <c r="I319" t="s">
        <v>37</v>
      </c>
      <c r="J319">
        <v>52</v>
      </c>
      <c r="K319">
        <v>104</v>
      </c>
      <c r="L319" t="str">
        <f t="shared" si="54"/>
        <v>520605</v>
      </c>
      <c r="M319" t="s">
        <v>1811</v>
      </c>
      <c r="N319" t="s">
        <v>1719</v>
      </c>
      <c r="O319" s="2">
        <v>46223.789444444446</v>
      </c>
      <c r="P319" s="2">
        <v>46223.789444444446</v>
      </c>
      <c r="Q319" s="2">
        <v>46223.789444444446</v>
      </c>
      <c r="R319" t="str">
        <f>"153000453"</f>
        <v>153000453</v>
      </c>
      <c r="S319" s="1">
        <v>48041</v>
      </c>
    </row>
    <row r="320" spans="1:19" x14ac:dyDescent="0.35">
      <c r="A320" t="s">
        <v>30</v>
      </c>
      <c r="B320" t="s">
        <v>31</v>
      </c>
      <c r="C320" t="s">
        <v>1809</v>
      </c>
      <c r="D320" t="str">
        <f t="shared" si="53"/>
        <v>2501717787</v>
      </c>
      <c r="E320" t="s">
        <v>1536</v>
      </c>
      <c r="F320" t="str">
        <f>"400420"</f>
        <v>400420</v>
      </c>
      <c r="G320" t="s">
        <v>1661</v>
      </c>
      <c r="H320" t="s">
        <v>1810</v>
      </c>
      <c r="I320" t="s">
        <v>37</v>
      </c>
      <c r="J320">
        <v>39</v>
      </c>
      <c r="K320">
        <v>104</v>
      </c>
      <c r="L320" t="str">
        <f t="shared" si="54"/>
        <v>520605</v>
      </c>
      <c r="M320" t="s">
        <v>1811</v>
      </c>
      <c r="N320" t="s">
        <v>1719</v>
      </c>
      <c r="O320" s="2">
        <v>46223.793252314812</v>
      </c>
      <c r="P320" s="2">
        <v>46223.793252314812</v>
      </c>
      <c r="Q320" s="2">
        <v>46223.793252314812</v>
      </c>
      <c r="R320" t="str">
        <f>"153000453"</f>
        <v>153000453</v>
      </c>
      <c r="S320" s="1">
        <v>48041</v>
      </c>
    </row>
    <row r="321" spans="1:19" x14ac:dyDescent="0.35">
      <c r="A321" t="s">
        <v>30</v>
      </c>
      <c r="B321" t="s">
        <v>31</v>
      </c>
      <c r="C321" t="s">
        <v>1809</v>
      </c>
      <c r="D321" t="str">
        <f t="shared" si="53"/>
        <v>2501717787</v>
      </c>
      <c r="E321" t="s">
        <v>1536</v>
      </c>
      <c r="F321" t="str">
        <f>"400390"</f>
        <v>400390</v>
      </c>
      <c r="G321" t="s">
        <v>1706</v>
      </c>
      <c r="H321" t="s">
        <v>990</v>
      </c>
      <c r="I321" t="s">
        <v>37</v>
      </c>
      <c r="J321">
        <v>6</v>
      </c>
      <c r="K321">
        <v>104</v>
      </c>
      <c r="L321" t="str">
        <f t="shared" si="54"/>
        <v>520605</v>
      </c>
      <c r="M321" t="s">
        <v>1811</v>
      </c>
      <c r="N321" t="s">
        <v>1719</v>
      </c>
      <c r="O321" s="2">
        <v>46223.786898148152</v>
      </c>
      <c r="P321" s="2">
        <v>46223.786898148152</v>
      </c>
      <c r="Q321" s="2">
        <v>46223.786898148152</v>
      </c>
      <c r="R321" t="str">
        <f>"153000458"</f>
        <v>153000458</v>
      </c>
      <c r="S321" s="1">
        <v>48043</v>
      </c>
    </row>
    <row r="322" spans="1:19" x14ac:dyDescent="0.35">
      <c r="A322" t="s">
        <v>30</v>
      </c>
      <c r="B322" t="s">
        <v>31</v>
      </c>
      <c r="C322" t="s">
        <v>1809</v>
      </c>
      <c r="D322" t="str">
        <f t="shared" si="53"/>
        <v>2501717787</v>
      </c>
      <c r="E322" t="s">
        <v>1536</v>
      </c>
      <c r="F322" t="str">
        <f>"400390"</f>
        <v>400390</v>
      </c>
      <c r="G322" t="s">
        <v>1706</v>
      </c>
      <c r="H322" t="s">
        <v>990</v>
      </c>
      <c r="I322" t="s">
        <v>37</v>
      </c>
      <c r="J322">
        <v>20</v>
      </c>
      <c r="K322">
        <v>104</v>
      </c>
      <c r="L322" t="str">
        <f t="shared" si="54"/>
        <v>520605</v>
      </c>
      <c r="M322" t="s">
        <v>1811</v>
      </c>
      <c r="N322" t="s">
        <v>1719</v>
      </c>
      <c r="O322" s="2">
        <v>46223.786840277775</v>
      </c>
      <c r="P322" s="2">
        <v>46223.786840277775</v>
      </c>
      <c r="Q322" s="2">
        <v>46223.786840277775</v>
      </c>
      <c r="R322" t="str">
        <f>"153000458"</f>
        <v>153000458</v>
      </c>
      <c r="S322" s="1">
        <v>48043</v>
      </c>
    </row>
    <row r="323" spans="1:19" x14ac:dyDescent="0.35">
      <c r="A323" t="s">
        <v>30</v>
      </c>
      <c r="B323" t="s">
        <v>31</v>
      </c>
      <c r="C323" t="s">
        <v>1809</v>
      </c>
      <c r="D323" t="str">
        <f t="shared" si="53"/>
        <v>2501717787</v>
      </c>
      <c r="E323" t="s">
        <v>1536</v>
      </c>
      <c r="F323" t="str">
        <f>"400390"</f>
        <v>400390</v>
      </c>
      <c r="G323" t="s">
        <v>1706</v>
      </c>
      <c r="H323" t="s">
        <v>992</v>
      </c>
      <c r="I323" t="s">
        <v>37</v>
      </c>
      <c r="J323">
        <v>52</v>
      </c>
      <c r="K323">
        <v>104</v>
      </c>
      <c r="L323" t="str">
        <f t="shared" si="54"/>
        <v>520605</v>
      </c>
      <c r="M323" t="s">
        <v>1811</v>
      </c>
      <c r="N323" t="s">
        <v>1719</v>
      </c>
      <c r="O323" s="2">
        <v>46223.785219907404</v>
      </c>
      <c r="P323" s="2">
        <v>46223.785219907404</v>
      </c>
      <c r="Q323" s="2">
        <v>46223.785219907404</v>
      </c>
      <c r="R323" t="str">
        <f>"153000458"</f>
        <v>153000458</v>
      </c>
      <c r="S323" s="1">
        <v>48043</v>
      </c>
    </row>
    <row r="324" spans="1:19" x14ac:dyDescent="0.35">
      <c r="A324" t="s">
        <v>30</v>
      </c>
      <c r="B324" t="s">
        <v>31</v>
      </c>
      <c r="C324" t="s">
        <v>1809</v>
      </c>
      <c r="D324" t="str">
        <f t="shared" si="53"/>
        <v>2501717787</v>
      </c>
      <c r="E324" t="s">
        <v>1536</v>
      </c>
      <c r="F324" t="str">
        <f>"400390"</f>
        <v>400390</v>
      </c>
      <c r="G324" t="s">
        <v>1706</v>
      </c>
      <c r="H324" t="s">
        <v>990</v>
      </c>
      <c r="I324" t="s">
        <v>37</v>
      </c>
      <c r="J324">
        <v>26</v>
      </c>
      <c r="K324">
        <v>104</v>
      </c>
      <c r="L324" t="str">
        <f t="shared" si="54"/>
        <v>520605</v>
      </c>
      <c r="M324" t="s">
        <v>1811</v>
      </c>
      <c r="N324" t="s">
        <v>1719</v>
      </c>
      <c r="O324" s="2">
        <v>46223.786712962959</v>
      </c>
      <c r="P324" s="2">
        <v>46223.786712962959</v>
      </c>
      <c r="Q324" s="2">
        <v>46223.786712962959</v>
      </c>
      <c r="R324" t="str">
        <f>"153000458"</f>
        <v>153000458</v>
      </c>
      <c r="S324" s="1">
        <v>48043</v>
      </c>
    </row>
    <row r="325" spans="1:19" x14ac:dyDescent="0.35">
      <c r="A325" t="s">
        <v>30</v>
      </c>
      <c r="B325" t="s">
        <v>31</v>
      </c>
      <c r="C325" t="s">
        <v>1803</v>
      </c>
      <c r="D325" t="str">
        <f>"2501717775"</f>
        <v>2501717775</v>
      </c>
      <c r="E325" t="s">
        <v>1536</v>
      </c>
      <c r="F325" t="str">
        <f t="shared" ref="F325:F330" si="55">"400396"</f>
        <v>400396</v>
      </c>
      <c r="G325" t="s">
        <v>1750</v>
      </c>
      <c r="H325" t="s">
        <v>994</v>
      </c>
      <c r="I325" t="s">
        <v>37</v>
      </c>
      <c r="J325">
        <v>6</v>
      </c>
      <c r="K325">
        <v>81</v>
      </c>
      <c r="L325" t="str">
        <f t="shared" ref="L325:L330" si="56">"521088"</f>
        <v>521088</v>
      </c>
      <c r="M325" t="s">
        <v>1805</v>
      </c>
      <c r="N325" t="s">
        <v>1560</v>
      </c>
      <c r="O325" s="2">
        <v>46223.775347222225</v>
      </c>
      <c r="P325" s="2">
        <v>46223.775347222225</v>
      </c>
      <c r="Q325" s="2">
        <v>46223.775347222225</v>
      </c>
      <c r="R325" t="str">
        <f>"153000455"</f>
        <v>153000455</v>
      </c>
      <c r="S325" s="1">
        <v>48042</v>
      </c>
    </row>
    <row r="326" spans="1:19" x14ac:dyDescent="0.35">
      <c r="A326" t="s">
        <v>30</v>
      </c>
      <c r="B326" t="s">
        <v>31</v>
      </c>
      <c r="C326" t="s">
        <v>1803</v>
      </c>
      <c r="D326" t="str">
        <f>"2501717775"</f>
        <v>2501717775</v>
      </c>
      <c r="E326" t="s">
        <v>1536</v>
      </c>
      <c r="F326" t="str">
        <f t="shared" si="55"/>
        <v>400396</v>
      </c>
      <c r="G326" t="s">
        <v>1750</v>
      </c>
      <c r="H326" t="s">
        <v>994</v>
      </c>
      <c r="I326" t="s">
        <v>37</v>
      </c>
      <c r="J326">
        <v>46</v>
      </c>
      <c r="K326">
        <v>81</v>
      </c>
      <c r="L326" t="str">
        <f t="shared" si="56"/>
        <v>521088</v>
      </c>
      <c r="M326" t="s">
        <v>1805</v>
      </c>
      <c r="N326" t="s">
        <v>1560</v>
      </c>
      <c r="O326" s="2">
        <v>46223.775208333333</v>
      </c>
      <c r="P326" s="2">
        <v>46223.775208333333</v>
      </c>
      <c r="Q326" s="2">
        <v>46223.775208333333</v>
      </c>
      <c r="R326" t="str">
        <f>"153000455"</f>
        <v>153000455</v>
      </c>
      <c r="S326" s="1">
        <v>48042</v>
      </c>
    </row>
    <row r="327" spans="1:19" x14ac:dyDescent="0.35">
      <c r="A327" t="s">
        <v>30</v>
      </c>
      <c r="B327" t="s">
        <v>31</v>
      </c>
      <c r="C327" t="s">
        <v>1813</v>
      </c>
      <c r="D327" t="str">
        <f>"2501717774"</f>
        <v>2501717774</v>
      </c>
      <c r="E327" t="s">
        <v>1536</v>
      </c>
      <c r="F327" t="str">
        <f t="shared" si="55"/>
        <v>400396</v>
      </c>
      <c r="G327" t="s">
        <v>1750</v>
      </c>
      <c r="H327" t="s">
        <v>1804</v>
      </c>
      <c r="I327" t="s">
        <v>37</v>
      </c>
      <c r="J327">
        <v>6</v>
      </c>
      <c r="K327">
        <v>30</v>
      </c>
      <c r="L327" t="str">
        <f t="shared" si="56"/>
        <v>521088</v>
      </c>
      <c r="M327" t="s">
        <v>1559</v>
      </c>
      <c r="N327" t="s">
        <v>1560</v>
      </c>
      <c r="O327" s="2">
        <v>46223.77888888889</v>
      </c>
      <c r="P327" s="2">
        <v>46223.77888888889</v>
      </c>
      <c r="Q327" s="2">
        <v>46223.77888888889</v>
      </c>
      <c r="R327" t="str">
        <f>"153000455"</f>
        <v>153000455</v>
      </c>
      <c r="S327" s="1">
        <v>48042</v>
      </c>
    </row>
    <row r="328" spans="1:19" x14ac:dyDescent="0.35">
      <c r="A328" t="s">
        <v>30</v>
      </c>
      <c r="B328" t="s">
        <v>31</v>
      </c>
      <c r="C328" t="s">
        <v>1813</v>
      </c>
      <c r="D328" t="str">
        <f>"2501717774"</f>
        <v>2501717774</v>
      </c>
      <c r="E328" t="s">
        <v>1536</v>
      </c>
      <c r="F328" t="str">
        <f t="shared" si="55"/>
        <v>400396</v>
      </c>
      <c r="G328" t="s">
        <v>1750</v>
      </c>
      <c r="H328" t="s">
        <v>988</v>
      </c>
      <c r="I328" t="s">
        <v>37</v>
      </c>
      <c r="J328">
        <v>24</v>
      </c>
      <c r="K328">
        <v>30</v>
      </c>
      <c r="L328" t="str">
        <f t="shared" si="56"/>
        <v>521088</v>
      </c>
      <c r="M328" t="s">
        <v>1559</v>
      </c>
      <c r="N328" t="s">
        <v>1560</v>
      </c>
      <c r="O328" s="2">
        <v>46223.778217592589</v>
      </c>
      <c r="P328" s="2">
        <v>46223.778217592589</v>
      </c>
      <c r="Q328" s="2">
        <v>46223.778217592589</v>
      </c>
      <c r="R328" t="str">
        <f>"153000455"</f>
        <v>153000455</v>
      </c>
      <c r="S328" s="1">
        <v>48042</v>
      </c>
    </row>
    <row r="329" spans="1:19" x14ac:dyDescent="0.35">
      <c r="A329" t="s">
        <v>30</v>
      </c>
      <c r="B329" t="s">
        <v>31</v>
      </c>
      <c r="C329" t="s">
        <v>1814</v>
      </c>
      <c r="D329" t="str">
        <f>"2501717773"</f>
        <v>2501717773</v>
      </c>
      <c r="E329" t="s">
        <v>1536</v>
      </c>
      <c r="F329" t="str">
        <f t="shared" si="55"/>
        <v>400396</v>
      </c>
      <c r="G329" t="s">
        <v>1750</v>
      </c>
      <c r="H329" t="s">
        <v>988</v>
      </c>
      <c r="I329" t="s">
        <v>37</v>
      </c>
      <c r="J329">
        <v>28</v>
      </c>
      <c r="K329">
        <v>28</v>
      </c>
      <c r="L329" t="str">
        <f t="shared" si="56"/>
        <v>521088</v>
      </c>
      <c r="M329" t="s">
        <v>1559</v>
      </c>
      <c r="N329" t="s">
        <v>1560</v>
      </c>
      <c r="O329" s="2">
        <v>46223.781400462962</v>
      </c>
      <c r="P329" s="2">
        <v>46223.781400462962</v>
      </c>
      <c r="Q329" s="2">
        <v>46223.781400462962</v>
      </c>
      <c r="R329" t="str">
        <f>"153000455"</f>
        <v>153000455</v>
      </c>
      <c r="S329" s="1">
        <v>48042</v>
      </c>
    </row>
    <row r="330" spans="1:19" x14ac:dyDescent="0.35">
      <c r="A330" t="s">
        <v>30</v>
      </c>
      <c r="B330" t="s">
        <v>31</v>
      </c>
      <c r="C330" t="s">
        <v>1814</v>
      </c>
      <c r="D330" t="str">
        <f>"2501717773"</f>
        <v>2501717773</v>
      </c>
      <c r="E330" t="s">
        <v>1536</v>
      </c>
      <c r="F330" t="str">
        <f t="shared" si="55"/>
        <v>400396</v>
      </c>
      <c r="G330" t="s">
        <v>1750</v>
      </c>
      <c r="H330" t="s">
        <v>1214</v>
      </c>
      <c r="I330" t="s">
        <v>37</v>
      </c>
      <c r="J330">
        <v>2</v>
      </c>
      <c r="K330">
        <v>2</v>
      </c>
      <c r="L330" t="str">
        <f t="shared" si="56"/>
        <v>521088</v>
      </c>
      <c r="M330" t="s">
        <v>1559</v>
      </c>
      <c r="N330" t="s">
        <v>1560</v>
      </c>
      <c r="O330" s="2">
        <v>46223.783530092594</v>
      </c>
      <c r="P330" s="2">
        <v>46223.783530092594</v>
      </c>
      <c r="Q330" s="2">
        <v>46223.783530092594</v>
      </c>
      <c r="R330" t="str">
        <f>"153000356"</f>
        <v>153000356</v>
      </c>
      <c r="S330" s="1">
        <v>48004</v>
      </c>
    </row>
    <row r="331" spans="1:19" x14ac:dyDescent="0.35">
      <c r="A331" t="s">
        <v>30</v>
      </c>
      <c r="B331" t="s">
        <v>31</v>
      </c>
      <c r="C331" t="s">
        <v>1815</v>
      </c>
      <c r="D331" t="str">
        <f>"2501717758"</f>
        <v>2501717758</v>
      </c>
      <c r="E331" t="s">
        <v>1536</v>
      </c>
      <c r="F331" t="str">
        <f>"400420"</f>
        <v>400420</v>
      </c>
      <c r="G331" t="s">
        <v>1661</v>
      </c>
      <c r="H331" t="s">
        <v>1662</v>
      </c>
      <c r="I331" t="s">
        <v>37</v>
      </c>
      <c r="J331">
        <v>13</v>
      </c>
      <c r="K331">
        <v>30</v>
      </c>
      <c r="L331" t="str">
        <f>"520721"</f>
        <v>520721</v>
      </c>
      <c r="M331" t="s">
        <v>1816</v>
      </c>
      <c r="N331" t="s">
        <v>1540</v>
      </c>
      <c r="O331" s="2">
        <v>46223.797731481478</v>
      </c>
      <c r="P331" s="2">
        <v>46223.797731481478</v>
      </c>
      <c r="Q331" s="2">
        <v>46223.797731481478</v>
      </c>
      <c r="R331" t="str">
        <f>"153000453"</f>
        <v>153000453</v>
      </c>
      <c r="S331" s="1">
        <v>48041</v>
      </c>
    </row>
    <row r="332" spans="1:19" x14ac:dyDescent="0.35">
      <c r="A332" t="s">
        <v>30</v>
      </c>
      <c r="B332" t="s">
        <v>31</v>
      </c>
      <c r="C332" t="s">
        <v>1815</v>
      </c>
      <c r="D332" t="str">
        <f>"2501717758"</f>
        <v>2501717758</v>
      </c>
      <c r="E332" t="s">
        <v>1536</v>
      </c>
      <c r="F332" t="str">
        <f>"400420"</f>
        <v>400420</v>
      </c>
      <c r="G332" t="s">
        <v>1661</v>
      </c>
      <c r="H332" t="s">
        <v>1662</v>
      </c>
      <c r="I332" t="s">
        <v>37</v>
      </c>
      <c r="J332">
        <v>17</v>
      </c>
      <c r="K332">
        <v>30</v>
      </c>
      <c r="L332" t="str">
        <f>"520721"</f>
        <v>520721</v>
      </c>
      <c r="M332" t="s">
        <v>1816</v>
      </c>
      <c r="N332" t="s">
        <v>1540</v>
      </c>
      <c r="O332" s="2">
        <v>46223.79787037037</v>
      </c>
      <c r="P332" s="2">
        <v>46223.79787037037</v>
      </c>
      <c r="Q332" s="2">
        <v>46223.79787037037</v>
      </c>
      <c r="R332" t="str">
        <f>"153000453"</f>
        <v>153000453</v>
      </c>
      <c r="S332" s="1">
        <v>48041</v>
      </c>
    </row>
    <row r="333" spans="1:19" x14ac:dyDescent="0.35">
      <c r="A333" t="s">
        <v>30</v>
      </c>
      <c r="B333" t="s">
        <v>31</v>
      </c>
      <c r="C333" t="s">
        <v>1817</v>
      </c>
      <c r="D333" t="str">
        <f>"2501717757"</f>
        <v>2501717757</v>
      </c>
      <c r="E333" t="s">
        <v>1536</v>
      </c>
      <c r="F333" t="str">
        <f>"400420"</f>
        <v>400420</v>
      </c>
      <c r="G333" t="s">
        <v>1661</v>
      </c>
      <c r="H333" t="s">
        <v>1662</v>
      </c>
      <c r="I333" t="s">
        <v>37</v>
      </c>
      <c r="J333">
        <v>35</v>
      </c>
      <c r="K333">
        <v>94</v>
      </c>
      <c r="L333" t="str">
        <f>"520721"</f>
        <v>520721</v>
      </c>
      <c r="M333" t="s">
        <v>1645</v>
      </c>
      <c r="N333" t="s">
        <v>1540</v>
      </c>
      <c r="O333" s="2">
        <v>46224.440983796296</v>
      </c>
      <c r="P333" s="2">
        <v>46224.440983796296</v>
      </c>
      <c r="Q333" s="2">
        <v>46224.440983796296</v>
      </c>
      <c r="R333" t="str">
        <f>"153000453"</f>
        <v>153000453</v>
      </c>
      <c r="S333" s="1">
        <v>48041</v>
      </c>
    </row>
    <row r="334" spans="1:19" x14ac:dyDescent="0.35">
      <c r="A334" t="s">
        <v>30</v>
      </c>
      <c r="B334" t="s">
        <v>31</v>
      </c>
      <c r="C334" t="s">
        <v>1817</v>
      </c>
      <c r="D334" t="str">
        <f>"2501717757"</f>
        <v>2501717757</v>
      </c>
      <c r="E334" t="s">
        <v>1536</v>
      </c>
      <c r="F334" t="str">
        <f>"400420"</f>
        <v>400420</v>
      </c>
      <c r="G334" t="s">
        <v>1661</v>
      </c>
      <c r="H334" t="s">
        <v>996</v>
      </c>
      <c r="I334" t="s">
        <v>37</v>
      </c>
      <c r="J334">
        <v>7</v>
      </c>
      <c r="K334">
        <v>94</v>
      </c>
      <c r="L334" t="str">
        <f>"520721"</f>
        <v>520721</v>
      </c>
      <c r="M334" t="s">
        <v>1645</v>
      </c>
      <c r="N334" t="s">
        <v>1540</v>
      </c>
      <c r="O334" s="2">
        <v>46224.437615740739</v>
      </c>
      <c r="P334" s="2">
        <v>46224.437615740739</v>
      </c>
      <c r="Q334" s="2">
        <v>46224.437615740739</v>
      </c>
      <c r="R334" t="str">
        <f>"153000453"</f>
        <v>153000453</v>
      </c>
      <c r="S334" s="1">
        <v>48041</v>
      </c>
    </row>
    <row r="335" spans="1:19" x14ac:dyDescent="0.35">
      <c r="A335" t="s">
        <v>30</v>
      </c>
      <c r="B335" t="s">
        <v>31</v>
      </c>
      <c r="C335" t="s">
        <v>1817</v>
      </c>
      <c r="D335" t="str">
        <f>"2501717757"</f>
        <v>2501717757</v>
      </c>
      <c r="E335" t="s">
        <v>1536</v>
      </c>
      <c r="F335" t="str">
        <f>"400420"</f>
        <v>400420</v>
      </c>
      <c r="G335" t="s">
        <v>1661</v>
      </c>
      <c r="H335" t="s">
        <v>1818</v>
      </c>
      <c r="I335" t="s">
        <v>37</v>
      </c>
      <c r="J335">
        <v>52</v>
      </c>
      <c r="K335">
        <v>94</v>
      </c>
      <c r="L335" t="str">
        <f>"520721"</f>
        <v>520721</v>
      </c>
      <c r="M335" t="s">
        <v>1645</v>
      </c>
      <c r="N335" t="s">
        <v>1540</v>
      </c>
      <c r="O335" s="2">
        <v>46224.436944444446</v>
      </c>
      <c r="P335" s="2">
        <v>46224.436944444446</v>
      </c>
      <c r="Q335" s="2">
        <v>46224.436944444446</v>
      </c>
      <c r="R335" t="str">
        <f>"153000453"</f>
        <v>153000453</v>
      </c>
      <c r="S335" s="1">
        <v>48041</v>
      </c>
    </row>
    <row r="336" spans="1:19" x14ac:dyDescent="0.35">
      <c r="A336" t="s">
        <v>30</v>
      </c>
      <c r="B336" t="s">
        <v>31</v>
      </c>
      <c r="C336" t="s">
        <v>1819</v>
      </c>
      <c r="D336" t="str">
        <f>"2501717795"</f>
        <v>2501717795</v>
      </c>
      <c r="E336" t="s">
        <v>1536</v>
      </c>
      <c r="F336" t="str">
        <f>"400390"</f>
        <v>400390</v>
      </c>
      <c r="G336" t="s">
        <v>1706</v>
      </c>
      <c r="H336" t="s">
        <v>1723</v>
      </c>
      <c r="I336" t="s">
        <v>37</v>
      </c>
      <c r="J336">
        <v>26</v>
      </c>
      <c r="K336">
        <v>26</v>
      </c>
      <c r="L336" t="str">
        <f>"521083"</f>
        <v>521083</v>
      </c>
      <c r="M336" t="s">
        <v>1820</v>
      </c>
      <c r="N336" t="s">
        <v>1745</v>
      </c>
      <c r="O336" s="2">
        <v>46222.884988425925</v>
      </c>
      <c r="P336" s="2">
        <v>46222.884988425925</v>
      </c>
      <c r="Q336" s="2">
        <v>46222.884988425925</v>
      </c>
      <c r="R336" t="str">
        <f>"153000458"</f>
        <v>153000458</v>
      </c>
      <c r="S336" s="1">
        <v>48043</v>
      </c>
    </row>
    <row r="337" spans="1:19" x14ac:dyDescent="0.35">
      <c r="A337" t="s">
        <v>30</v>
      </c>
      <c r="B337" t="s">
        <v>31</v>
      </c>
      <c r="C337" t="s">
        <v>1819</v>
      </c>
      <c r="D337" t="str">
        <f>"2501717795"</f>
        <v>2501717795</v>
      </c>
      <c r="E337" t="s">
        <v>1536</v>
      </c>
      <c r="F337" t="str">
        <f>"400390"</f>
        <v>400390</v>
      </c>
      <c r="G337" t="s">
        <v>1706</v>
      </c>
      <c r="H337" t="s">
        <v>868</v>
      </c>
      <c r="I337" t="s">
        <v>37</v>
      </c>
      <c r="J337">
        <v>4</v>
      </c>
      <c r="K337">
        <v>4</v>
      </c>
      <c r="L337" t="str">
        <f>"521083"</f>
        <v>521083</v>
      </c>
      <c r="M337" t="s">
        <v>1820</v>
      </c>
      <c r="N337" t="s">
        <v>1745</v>
      </c>
      <c r="O337" s="2">
        <v>46222.886238425926</v>
      </c>
      <c r="P337" s="2">
        <v>46222.886238425926</v>
      </c>
      <c r="Q337" s="2">
        <v>46222.886238425926</v>
      </c>
      <c r="R337" t="str">
        <f>"153000370"</f>
        <v>153000370</v>
      </c>
      <c r="S337" s="1">
        <v>48007</v>
      </c>
    </row>
    <row r="338" spans="1:19" x14ac:dyDescent="0.35">
      <c r="A338" t="s">
        <v>30</v>
      </c>
      <c r="B338" t="s">
        <v>31</v>
      </c>
      <c r="C338" t="s">
        <v>1821</v>
      </c>
      <c r="D338" t="str">
        <f>"2501717785"</f>
        <v>2501717785</v>
      </c>
      <c r="E338" t="s">
        <v>1536</v>
      </c>
      <c r="F338" t="str">
        <f>"400389"</f>
        <v>400389</v>
      </c>
      <c r="G338" t="s">
        <v>1726</v>
      </c>
      <c r="H338" t="s">
        <v>1165</v>
      </c>
      <c r="I338" t="s">
        <v>41</v>
      </c>
      <c r="J338">
        <v>4</v>
      </c>
      <c r="K338">
        <v>4</v>
      </c>
      <c r="L338" t="str">
        <f>"520605"</f>
        <v>520605</v>
      </c>
      <c r="M338" t="s">
        <v>1822</v>
      </c>
      <c r="N338" t="s">
        <v>1719</v>
      </c>
      <c r="O338" s="2">
        <v>46222.893784722219</v>
      </c>
      <c r="P338" s="2">
        <v>46222.893784722219</v>
      </c>
      <c r="Q338" s="2">
        <v>46222.893784722219</v>
      </c>
      <c r="R338" t="str">
        <f>"153000317"</f>
        <v>153000317</v>
      </c>
      <c r="S338" s="1">
        <v>47980</v>
      </c>
    </row>
    <row r="339" spans="1:19" x14ac:dyDescent="0.35">
      <c r="A339" t="s">
        <v>30</v>
      </c>
      <c r="B339" t="s">
        <v>31</v>
      </c>
      <c r="C339" t="s">
        <v>1821</v>
      </c>
      <c r="D339" t="str">
        <f>"2501717785"</f>
        <v>2501717785</v>
      </c>
      <c r="E339" t="s">
        <v>1536</v>
      </c>
      <c r="F339" t="str">
        <f>"400630"</f>
        <v>400630</v>
      </c>
      <c r="G339" t="s">
        <v>1742</v>
      </c>
      <c r="H339" t="s">
        <v>1743</v>
      </c>
      <c r="I339" t="s">
        <v>41</v>
      </c>
      <c r="J339">
        <v>2</v>
      </c>
      <c r="K339">
        <v>2</v>
      </c>
      <c r="L339" t="str">
        <f>"520605"</f>
        <v>520605</v>
      </c>
      <c r="M339" t="s">
        <v>1822</v>
      </c>
      <c r="N339" t="s">
        <v>1719</v>
      </c>
      <c r="O339" s="2">
        <v>46222.896284722221</v>
      </c>
      <c r="P339" s="2">
        <v>46222.896296296298</v>
      </c>
      <c r="Q339" s="2">
        <v>46222.896296296298</v>
      </c>
      <c r="R339" t="str">
        <f>"153000344"</f>
        <v>153000344</v>
      </c>
      <c r="S339" s="1">
        <v>48001</v>
      </c>
    </row>
    <row r="340" spans="1:19" x14ac:dyDescent="0.35">
      <c r="A340" t="s">
        <v>30</v>
      </c>
      <c r="B340" t="s">
        <v>31</v>
      </c>
      <c r="C340" t="s">
        <v>1821</v>
      </c>
      <c r="D340" t="str">
        <f>"2501717785"</f>
        <v>2501717785</v>
      </c>
      <c r="E340" t="s">
        <v>1536</v>
      </c>
      <c r="F340" t="str">
        <f>"400630"</f>
        <v>400630</v>
      </c>
      <c r="G340" t="s">
        <v>1742</v>
      </c>
      <c r="H340" t="s">
        <v>1103</v>
      </c>
      <c r="I340" t="s">
        <v>41</v>
      </c>
      <c r="J340">
        <v>1</v>
      </c>
      <c r="K340">
        <v>6</v>
      </c>
      <c r="L340" t="str">
        <f>"520605"</f>
        <v>520605</v>
      </c>
      <c r="M340" t="s">
        <v>1822</v>
      </c>
      <c r="N340" t="s">
        <v>1719</v>
      </c>
      <c r="O340" s="2">
        <v>46222.892488425925</v>
      </c>
      <c r="P340" s="2">
        <v>46222.892488425925</v>
      </c>
      <c r="Q340" s="2">
        <v>46222.892488425925</v>
      </c>
      <c r="R340" t="str">
        <f>"153000282"</f>
        <v>153000282</v>
      </c>
      <c r="S340" s="1">
        <v>47970</v>
      </c>
    </row>
    <row r="341" spans="1:19" x14ac:dyDescent="0.35">
      <c r="A341" t="s">
        <v>30</v>
      </c>
      <c r="B341" t="s">
        <v>31</v>
      </c>
      <c r="C341" t="s">
        <v>1821</v>
      </c>
      <c r="D341" t="str">
        <f>"2501717785"</f>
        <v>2501717785</v>
      </c>
      <c r="E341" t="s">
        <v>1536</v>
      </c>
      <c r="F341" t="str">
        <f>"400630"</f>
        <v>400630</v>
      </c>
      <c r="G341" t="s">
        <v>1742</v>
      </c>
      <c r="H341" t="s">
        <v>1823</v>
      </c>
      <c r="I341" t="s">
        <v>41</v>
      </c>
      <c r="J341">
        <v>4</v>
      </c>
      <c r="K341">
        <v>6</v>
      </c>
      <c r="L341" t="str">
        <f>"520605"</f>
        <v>520605</v>
      </c>
      <c r="M341" t="s">
        <v>1822</v>
      </c>
      <c r="N341" t="s">
        <v>1719</v>
      </c>
      <c r="O341" s="2">
        <v>46222.891076388885</v>
      </c>
      <c r="P341" s="2">
        <v>46222.891076388885</v>
      </c>
      <c r="Q341" s="2">
        <v>46222.891076388885</v>
      </c>
      <c r="R341" t="str">
        <f>"153000282"</f>
        <v>153000282</v>
      </c>
      <c r="S341" s="1">
        <v>47970</v>
      </c>
    </row>
    <row r="342" spans="1:19" x14ac:dyDescent="0.35">
      <c r="A342" t="s">
        <v>30</v>
      </c>
      <c r="B342" t="s">
        <v>31</v>
      </c>
      <c r="C342" t="s">
        <v>1821</v>
      </c>
      <c r="D342" t="str">
        <f>"2501717785"</f>
        <v>2501717785</v>
      </c>
      <c r="E342" t="s">
        <v>1536</v>
      </c>
      <c r="F342" t="str">
        <f>"400630"</f>
        <v>400630</v>
      </c>
      <c r="G342" t="s">
        <v>1742</v>
      </c>
      <c r="H342" t="s">
        <v>1059</v>
      </c>
      <c r="I342" t="s">
        <v>41</v>
      </c>
      <c r="J342">
        <v>1</v>
      </c>
      <c r="K342">
        <v>6</v>
      </c>
      <c r="L342" t="str">
        <f>"520605"</f>
        <v>520605</v>
      </c>
      <c r="M342" t="s">
        <v>1822</v>
      </c>
      <c r="N342" t="s">
        <v>1719</v>
      </c>
      <c r="O342" s="2">
        <v>46222.889062499999</v>
      </c>
      <c r="P342" s="2">
        <v>46222.889062499999</v>
      </c>
      <c r="Q342" s="2">
        <v>46222.889062499999</v>
      </c>
      <c r="R342" t="str">
        <f>"153000282"</f>
        <v>153000282</v>
      </c>
      <c r="S342" s="1">
        <v>47970</v>
      </c>
    </row>
    <row r="343" spans="1:19" x14ac:dyDescent="0.35">
      <c r="A343" t="s">
        <v>30</v>
      </c>
      <c r="B343" t="s">
        <v>31</v>
      </c>
      <c r="C343" t="s">
        <v>1824</v>
      </c>
      <c r="D343" t="str">
        <f>"2501717760"</f>
        <v>2501717760</v>
      </c>
      <c r="E343" t="s">
        <v>1536</v>
      </c>
      <c r="F343" t="str">
        <f>"400405"</f>
        <v>400405</v>
      </c>
      <c r="G343" t="s">
        <v>519</v>
      </c>
      <c r="H343" t="s">
        <v>1320</v>
      </c>
      <c r="I343" t="s">
        <v>37</v>
      </c>
      <c r="J343">
        <v>22</v>
      </c>
      <c r="K343">
        <v>22</v>
      </c>
      <c r="L343" t="str">
        <f>"521088"</f>
        <v>521088</v>
      </c>
      <c r="M343" t="s">
        <v>1805</v>
      </c>
      <c r="N343" t="s">
        <v>1560</v>
      </c>
      <c r="O343" s="2">
        <v>46222.877442129633</v>
      </c>
      <c r="P343" s="2">
        <v>46222.877442129633</v>
      </c>
      <c r="Q343" s="2">
        <v>46222.877442129633</v>
      </c>
      <c r="R343" t="str">
        <f>"153000440"</f>
        <v>153000440</v>
      </c>
      <c r="S343" s="1">
        <v>48036</v>
      </c>
    </row>
    <row r="344" spans="1:19" x14ac:dyDescent="0.35">
      <c r="A344" t="s">
        <v>30</v>
      </c>
      <c r="B344" t="s">
        <v>31</v>
      </c>
      <c r="C344" t="s">
        <v>1825</v>
      </c>
      <c r="D344" t="str">
        <f>"2501717719"</f>
        <v>2501717719</v>
      </c>
      <c r="E344" t="s">
        <v>1536</v>
      </c>
      <c r="F344" t="str">
        <f>"400426"</f>
        <v>400426</v>
      </c>
      <c r="G344" t="s">
        <v>34</v>
      </c>
      <c r="H344" t="s">
        <v>1826</v>
      </c>
      <c r="I344" t="s">
        <v>37</v>
      </c>
      <c r="J344">
        <v>21</v>
      </c>
      <c r="K344">
        <v>123</v>
      </c>
      <c r="L344" t="str">
        <f>"521152"</f>
        <v>521152</v>
      </c>
      <c r="M344" t="s">
        <v>1559</v>
      </c>
      <c r="N344" t="s">
        <v>1681</v>
      </c>
      <c r="O344" s="2">
        <v>46219.964236111111</v>
      </c>
      <c r="P344" s="2">
        <v>46219.964236111111</v>
      </c>
      <c r="Q344" s="2">
        <v>46219.964236111111</v>
      </c>
      <c r="R344" t="str">
        <f>"153000231"</f>
        <v>153000231</v>
      </c>
      <c r="S344" s="1">
        <v>47944</v>
      </c>
    </row>
    <row r="345" spans="1:19" x14ac:dyDescent="0.35">
      <c r="A345" t="s">
        <v>30</v>
      </c>
      <c r="B345" t="s">
        <v>31</v>
      </c>
      <c r="C345" t="s">
        <v>1827</v>
      </c>
      <c r="D345" t="str">
        <f>"2501717757"</f>
        <v>2501717757</v>
      </c>
      <c r="E345" t="s">
        <v>1536</v>
      </c>
      <c r="F345" t="str">
        <f>"400413"</f>
        <v>400413</v>
      </c>
      <c r="G345" t="s">
        <v>1545</v>
      </c>
      <c r="H345" t="s">
        <v>791</v>
      </c>
      <c r="I345" t="s">
        <v>37</v>
      </c>
      <c r="J345">
        <v>2</v>
      </c>
      <c r="K345">
        <v>31</v>
      </c>
      <c r="L345" t="str">
        <f>"520721"</f>
        <v>520721</v>
      </c>
      <c r="M345" t="s">
        <v>1645</v>
      </c>
      <c r="N345" t="s">
        <v>1540</v>
      </c>
      <c r="O345" s="2">
        <v>46219.960138888891</v>
      </c>
      <c r="P345" s="2">
        <v>46219.960138888891</v>
      </c>
      <c r="Q345" s="2">
        <v>46219.960138888891</v>
      </c>
      <c r="R345" t="str">
        <f>"153000376"</f>
        <v>153000376</v>
      </c>
      <c r="S345" s="1">
        <v>48008</v>
      </c>
    </row>
    <row r="346" spans="1:19" x14ac:dyDescent="0.35">
      <c r="A346" t="s">
        <v>30</v>
      </c>
      <c r="B346" t="s">
        <v>31</v>
      </c>
      <c r="C346" t="s">
        <v>1828</v>
      </c>
      <c r="D346" t="str">
        <f>"2501717758"</f>
        <v>2501717758</v>
      </c>
      <c r="E346" t="s">
        <v>1536</v>
      </c>
      <c r="F346" t="str">
        <f>"400920"</f>
        <v>400920</v>
      </c>
      <c r="G346" t="s">
        <v>1829</v>
      </c>
      <c r="H346" t="s">
        <v>1830</v>
      </c>
      <c r="I346" t="s">
        <v>37</v>
      </c>
      <c r="J346">
        <v>10</v>
      </c>
      <c r="K346">
        <v>10</v>
      </c>
      <c r="L346" t="str">
        <f>"520721"</f>
        <v>520721</v>
      </c>
      <c r="M346" t="s">
        <v>1816</v>
      </c>
      <c r="N346" t="s">
        <v>1540</v>
      </c>
      <c r="O346" s="2">
        <v>46219.990532407406</v>
      </c>
      <c r="P346" s="2">
        <v>46219.990532407406</v>
      </c>
      <c r="Q346" s="2">
        <v>46219.990532407406</v>
      </c>
      <c r="R346" t="str">
        <f>"100011191"</f>
        <v>100011191</v>
      </c>
      <c r="S346" s="1">
        <v>47841</v>
      </c>
    </row>
    <row r="347" spans="1:19" x14ac:dyDescent="0.35">
      <c r="A347" t="s">
        <v>30</v>
      </c>
      <c r="B347" t="s">
        <v>31</v>
      </c>
      <c r="C347" t="s">
        <v>1828</v>
      </c>
      <c r="D347" t="str">
        <f>"2501717758"</f>
        <v>2501717758</v>
      </c>
      <c r="E347" t="s">
        <v>1536</v>
      </c>
      <c r="F347" t="str">
        <f>"400405"</f>
        <v>400405</v>
      </c>
      <c r="G347" t="s">
        <v>519</v>
      </c>
      <c r="H347" t="s">
        <v>1320</v>
      </c>
      <c r="I347" t="s">
        <v>37</v>
      </c>
      <c r="J347">
        <v>18</v>
      </c>
      <c r="K347">
        <v>20</v>
      </c>
      <c r="L347" t="str">
        <f>"520721"</f>
        <v>520721</v>
      </c>
      <c r="M347" t="s">
        <v>1816</v>
      </c>
      <c r="N347" t="s">
        <v>1540</v>
      </c>
      <c r="O347" s="2">
        <v>46219.987951388888</v>
      </c>
      <c r="P347" s="2">
        <v>46219.987951388888</v>
      </c>
      <c r="Q347" s="2">
        <v>46219.987951388888</v>
      </c>
      <c r="R347" t="str">
        <f>"153000440"</f>
        <v>153000440</v>
      </c>
      <c r="S347" s="1">
        <v>48036</v>
      </c>
    </row>
    <row r="348" spans="1:19" x14ac:dyDescent="0.35">
      <c r="A348" t="s">
        <v>30</v>
      </c>
      <c r="B348" t="s">
        <v>31</v>
      </c>
      <c r="C348" t="s">
        <v>1828</v>
      </c>
      <c r="D348" t="str">
        <f>"2501717758"</f>
        <v>2501717758</v>
      </c>
      <c r="E348" t="s">
        <v>1536</v>
      </c>
      <c r="F348" t="str">
        <f>"400405"</f>
        <v>400405</v>
      </c>
      <c r="G348" t="s">
        <v>519</v>
      </c>
      <c r="H348" t="s">
        <v>817</v>
      </c>
      <c r="I348" t="s">
        <v>37</v>
      </c>
      <c r="J348">
        <v>2</v>
      </c>
      <c r="K348">
        <v>20</v>
      </c>
      <c r="L348" t="str">
        <f>"520721"</f>
        <v>520721</v>
      </c>
      <c r="M348" t="s">
        <v>1816</v>
      </c>
      <c r="N348" t="s">
        <v>1540</v>
      </c>
      <c r="O348" s="2">
        <v>46219.987349537034</v>
      </c>
      <c r="P348" s="2">
        <v>46219.987349537034</v>
      </c>
      <c r="Q348" s="2">
        <v>46219.987349537034</v>
      </c>
      <c r="R348" t="str">
        <f>"153000440"</f>
        <v>153000440</v>
      </c>
      <c r="S348" s="1">
        <v>48036</v>
      </c>
    </row>
    <row r="349" spans="1:19" x14ac:dyDescent="0.35">
      <c r="A349" t="s">
        <v>30</v>
      </c>
      <c r="B349" t="s">
        <v>31</v>
      </c>
      <c r="C349" t="s">
        <v>1831</v>
      </c>
      <c r="D349" t="str">
        <f>"2505702842"</f>
        <v>2505702842</v>
      </c>
      <c r="E349" t="s">
        <v>1536</v>
      </c>
      <c r="F349" t="str">
        <f>"400413"</f>
        <v>400413</v>
      </c>
      <c r="G349" t="s">
        <v>1545</v>
      </c>
      <c r="H349" t="s">
        <v>1687</v>
      </c>
      <c r="I349" t="s">
        <v>37</v>
      </c>
      <c r="J349">
        <v>11</v>
      </c>
      <c r="K349">
        <v>38</v>
      </c>
      <c r="L349" t="str">
        <f>"520807"</f>
        <v>520807</v>
      </c>
      <c r="M349" t="s">
        <v>1559</v>
      </c>
      <c r="N349" t="s">
        <v>1832</v>
      </c>
      <c r="O349" s="2">
        <v>46221.417442129627</v>
      </c>
      <c r="P349" s="2">
        <v>46221.417442129627</v>
      </c>
      <c r="Q349" s="2">
        <v>46221.417442129627</v>
      </c>
      <c r="R349" t="str">
        <f>"153000384"</f>
        <v>153000384</v>
      </c>
      <c r="S349" s="1">
        <v>48011</v>
      </c>
    </row>
    <row r="350" spans="1:19" x14ac:dyDescent="0.35">
      <c r="A350" t="s">
        <v>30</v>
      </c>
      <c r="B350" t="s">
        <v>31</v>
      </c>
      <c r="C350" t="s">
        <v>1831</v>
      </c>
      <c r="D350" t="str">
        <f>"2505702842"</f>
        <v>2505702842</v>
      </c>
      <c r="E350" t="s">
        <v>1536</v>
      </c>
      <c r="F350" t="str">
        <f>"400413"</f>
        <v>400413</v>
      </c>
      <c r="G350" t="s">
        <v>1545</v>
      </c>
      <c r="H350" t="s">
        <v>779</v>
      </c>
      <c r="I350" t="s">
        <v>37</v>
      </c>
      <c r="J350">
        <v>24</v>
      </c>
      <c r="K350">
        <v>38</v>
      </c>
      <c r="L350" t="str">
        <f>"520807"</f>
        <v>520807</v>
      </c>
      <c r="M350" t="s">
        <v>1559</v>
      </c>
      <c r="N350" t="s">
        <v>1832</v>
      </c>
      <c r="O350" s="2">
        <v>46221.417326388888</v>
      </c>
      <c r="P350" s="2">
        <v>46221.417326388888</v>
      </c>
      <c r="Q350" s="2">
        <v>46221.417326388888</v>
      </c>
      <c r="R350" t="str">
        <f>"153000384"</f>
        <v>153000384</v>
      </c>
      <c r="S350" s="1">
        <v>48011</v>
      </c>
    </row>
    <row r="351" spans="1:19" x14ac:dyDescent="0.35">
      <c r="A351" t="s">
        <v>30</v>
      </c>
      <c r="B351" t="s">
        <v>31</v>
      </c>
      <c r="C351" t="s">
        <v>1831</v>
      </c>
      <c r="D351" t="str">
        <f>"2505702842"</f>
        <v>2505702842</v>
      </c>
      <c r="E351" t="s">
        <v>1536</v>
      </c>
      <c r="F351" t="str">
        <f>"400413"</f>
        <v>400413</v>
      </c>
      <c r="G351" t="s">
        <v>1545</v>
      </c>
      <c r="H351" t="s">
        <v>781</v>
      </c>
      <c r="I351" t="s">
        <v>37</v>
      </c>
      <c r="J351">
        <v>3</v>
      </c>
      <c r="K351">
        <v>38</v>
      </c>
      <c r="L351" t="str">
        <f>"520807"</f>
        <v>520807</v>
      </c>
      <c r="M351" t="s">
        <v>1559</v>
      </c>
      <c r="N351" t="s">
        <v>1832</v>
      </c>
      <c r="O351" s="2">
        <v>46221.417164351849</v>
      </c>
      <c r="P351" s="2">
        <v>46221.417164351849</v>
      </c>
      <c r="Q351" s="2">
        <v>46221.417164351849</v>
      </c>
      <c r="R351" t="str">
        <f>"153000384"</f>
        <v>153000384</v>
      </c>
      <c r="S351" s="1">
        <v>48011</v>
      </c>
    </row>
    <row r="352" spans="1:19" x14ac:dyDescent="0.35">
      <c r="A352" t="s">
        <v>30</v>
      </c>
      <c r="B352" t="s">
        <v>31</v>
      </c>
      <c r="C352" t="s">
        <v>1833</v>
      </c>
      <c r="D352" t="str">
        <f>"2501717772"</f>
        <v>2501717772</v>
      </c>
      <c r="E352" t="s">
        <v>1536</v>
      </c>
      <c r="F352" t="str">
        <f>"400405"</f>
        <v>400405</v>
      </c>
      <c r="G352" t="s">
        <v>519</v>
      </c>
      <c r="H352" t="s">
        <v>817</v>
      </c>
      <c r="I352" t="s">
        <v>37</v>
      </c>
      <c r="J352">
        <v>50</v>
      </c>
      <c r="K352">
        <v>50</v>
      </c>
      <c r="L352" t="str">
        <f>"520721"</f>
        <v>520721</v>
      </c>
      <c r="M352" t="s">
        <v>1645</v>
      </c>
      <c r="N352" t="s">
        <v>1540</v>
      </c>
      <c r="O352" s="2">
        <v>46219.916701388887</v>
      </c>
      <c r="P352" s="2">
        <v>46219.916701388887</v>
      </c>
      <c r="Q352" s="2">
        <v>46219.916701388887</v>
      </c>
      <c r="R352" t="str">
        <f>"153000440"</f>
        <v>153000440</v>
      </c>
      <c r="S352" s="1">
        <v>48036</v>
      </c>
    </row>
    <row r="353" spans="1:19" x14ac:dyDescent="0.35">
      <c r="A353" t="s">
        <v>30</v>
      </c>
      <c r="B353" t="s">
        <v>31</v>
      </c>
      <c r="C353" t="s">
        <v>1834</v>
      </c>
      <c r="D353" t="str">
        <f>"2501717771"</f>
        <v>2501717771</v>
      </c>
      <c r="E353" t="s">
        <v>1536</v>
      </c>
      <c r="F353" t="str">
        <f t="shared" ref="F353:F361" si="57">"400441"</f>
        <v>400441</v>
      </c>
      <c r="G353" t="s">
        <v>65</v>
      </c>
      <c r="H353" t="s">
        <v>1676</v>
      </c>
      <c r="I353" t="s">
        <v>41</v>
      </c>
      <c r="J353">
        <v>2</v>
      </c>
      <c r="K353">
        <v>8</v>
      </c>
      <c r="L353" t="str">
        <f t="shared" ref="L353:L361" si="58">"520988"</f>
        <v>520988</v>
      </c>
      <c r="M353" t="s">
        <v>1835</v>
      </c>
      <c r="N353" t="s">
        <v>1836</v>
      </c>
      <c r="O353" s="2">
        <v>46219.921296296299</v>
      </c>
      <c r="P353" s="2">
        <v>46219.921296296299</v>
      </c>
      <c r="Q353" s="2">
        <v>46219.921296296299</v>
      </c>
      <c r="R353" t="str">
        <f t="shared" ref="R353:R359" si="59">"153000271"</f>
        <v>153000271</v>
      </c>
      <c r="S353" s="1">
        <v>47966</v>
      </c>
    </row>
    <row r="354" spans="1:19" x14ac:dyDescent="0.35">
      <c r="A354" t="s">
        <v>30</v>
      </c>
      <c r="B354" t="s">
        <v>31</v>
      </c>
      <c r="C354" t="s">
        <v>1834</v>
      </c>
      <c r="D354" t="str">
        <f>"2501717771"</f>
        <v>2501717771</v>
      </c>
      <c r="E354" t="s">
        <v>1536</v>
      </c>
      <c r="F354" t="str">
        <f t="shared" si="57"/>
        <v>400441</v>
      </c>
      <c r="G354" t="s">
        <v>65</v>
      </c>
      <c r="H354" t="s">
        <v>1063</v>
      </c>
      <c r="I354" t="s">
        <v>41</v>
      </c>
      <c r="J354">
        <v>4</v>
      </c>
      <c r="K354">
        <v>8</v>
      </c>
      <c r="L354" t="str">
        <f t="shared" si="58"/>
        <v>520988</v>
      </c>
      <c r="M354" t="s">
        <v>1835</v>
      </c>
      <c r="N354" t="s">
        <v>1836</v>
      </c>
      <c r="O354" s="2">
        <v>46219.919606481482</v>
      </c>
      <c r="P354" s="2">
        <v>46219.919606481482</v>
      </c>
      <c r="Q354" s="2">
        <v>46219.919606481482</v>
      </c>
      <c r="R354" t="str">
        <f t="shared" si="59"/>
        <v>153000271</v>
      </c>
      <c r="S354" s="1">
        <v>47966</v>
      </c>
    </row>
    <row r="355" spans="1:19" x14ac:dyDescent="0.35">
      <c r="A355" t="s">
        <v>30</v>
      </c>
      <c r="B355" t="s">
        <v>31</v>
      </c>
      <c r="C355" t="s">
        <v>1834</v>
      </c>
      <c r="D355" t="str">
        <f>"2501717771"</f>
        <v>2501717771</v>
      </c>
      <c r="E355" t="s">
        <v>1536</v>
      </c>
      <c r="F355" t="str">
        <f t="shared" si="57"/>
        <v>400441</v>
      </c>
      <c r="G355" t="s">
        <v>65</v>
      </c>
      <c r="H355" t="s">
        <v>1061</v>
      </c>
      <c r="I355" t="s">
        <v>41</v>
      </c>
      <c r="J355">
        <v>2</v>
      </c>
      <c r="K355">
        <v>8</v>
      </c>
      <c r="L355" t="str">
        <f t="shared" si="58"/>
        <v>520988</v>
      </c>
      <c r="M355" t="s">
        <v>1835</v>
      </c>
      <c r="N355" t="s">
        <v>1836</v>
      </c>
      <c r="O355" s="2">
        <v>46219.918414351851</v>
      </c>
      <c r="P355" s="2">
        <v>46219.918414351851</v>
      </c>
      <c r="Q355" s="2">
        <v>46219.918414351851</v>
      </c>
      <c r="R355" t="str">
        <f t="shared" si="59"/>
        <v>153000271</v>
      </c>
      <c r="S355" s="1">
        <v>47966</v>
      </c>
    </row>
    <row r="356" spans="1:19" x14ac:dyDescent="0.35">
      <c r="A356" t="s">
        <v>30</v>
      </c>
      <c r="B356" t="s">
        <v>31</v>
      </c>
      <c r="C356" t="s">
        <v>1837</v>
      </c>
      <c r="D356" t="str">
        <f>"2501717770"</f>
        <v>2501717770</v>
      </c>
      <c r="E356" t="s">
        <v>1536</v>
      </c>
      <c r="F356" t="str">
        <f t="shared" si="57"/>
        <v>400441</v>
      </c>
      <c r="G356" t="s">
        <v>65</v>
      </c>
      <c r="H356" t="s">
        <v>1061</v>
      </c>
      <c r="I356" t="s">
        <v>41</v>
      </c>
      <c r="J356">
        <v>2</v>
      </c>
      <c r="K356">
        <v>8</v>
      </c>
      <c r="L356" t="str">
        <f t="shared" si="58"/>
        <v>520988</v>
      </c>
      <c r="M356" t="s">
        <v>1838</v>
      </c>
      <c r="N356" t="s">
        <v>1836</v>
      </c>
      <c r="O356" s="2">
        <v>46219.923680555556</v>
      </c>
      <c r="P356" s="2">
        <v>46219.923680555556</v>
      </c>
      <c r="Q356" s="2">
        <v>46219.923680555556</v>
      </c>
      <c r="R356" t="str">
        <f t="shared" si="59"/>
        <v>153000271</v>
      </c>
      <c r="S356" s="1">
        <v>47966</v>
      </c>
    </row>
    <row r="357" spans="1:19" x14ac:dyDescent="0.35">
      <c r="A357" t="s">
        <v>30</v>
      </c>
      <c r="B357" t="s">
        <v>31</v>
      </c>
      <c r="C357" t="s">
        <v>1837</v>
      </c>
      <c r="D357" t="str">
        <f>"2501717770"</f>
        <v>2501717770</v>
      </c>
      <c r="E357" t="s">
        <v>1536</v>
      </c>
      <c r="F357" t="str">
        <f t="shared" si="57"/>
        <v>400441</v>
      </c>
      <c r="G357" t="s">
        <v>65</v>
      </c>
      <c r="H357" t="s">
        <v>1065</v>
      </c>
      <c r="I357" t="s">
        <v>41</v>
      </c>
      <c r="J357">
        <v>4</v>
      </c>
      <c r="K357">
        <v>8</v>
      </c>
      <c r="L357" t="str">
        <f t="shared" si="58"/>
        <v>520988</v>
      </c>
      <c r="M357" t="s">
        <v>1838</v>
      </c>
      <c r="N357" t="s">
        <v>1836</v>
      </c>
      <c r="O357" s="2">
        <v>46219.924849537034</v>
      </c>
      <c r="P357" s="2">
        <v>46219.924849537034</v>
      </c>
      <c r="Q357" s="2">
        <v>46219.924849537034</v>
      </c>
      <c r="R357" t="str">
        <f t="shared" si="59"/>
        <v>153000271</v>
      </c>
      <c r="S357" s="1">
        <v>47966</v>
      </c>
    </row>
    <row r="358" spans="1:19" x14ac:dyDescent="0.35">
      <c r="A358" t="s">
        <v>30</v>
      </c>
      <c r="B358" t="s">
        <v>31</v>
      </c>
      <c r="C358" t="s">
        <v>1837</v>
      </c>
      <c r="D358" t="str">
        <f>"2501717770"</f>
        <v>2501717770</v>
      </c>
      <c r="E358" t="s">
        <v>1536</v>
      </c>
      <c r="F358" t="str">
        <f t="shared" si="57"/>
        <v>400441</v>
      </c>
      <c r="G358" t="s">
        <v>65</v>
      </c>
      <c r="H358" t="s">
        <v>1085</v>
      </c>
      <c r="I358" t="s">
        <v>41</v>
      </c>
      <c r="J358">
        <v>2</v>
      </c>
      <c r="K358">
        <v>8</v>
      </c>
      <c r="L358" t="str">
        <f t="shared" si="58"/>
        <v>520988</v>
      </c>
      <c r="M358" t="s">
        <v>1838</v>
      </c>
      <c r="N358" t="s">
        <v>1836</v>
      </c>
      <c r="O358" s="2">
        <v>46219.923368055555</v>
      </c>
      <c r="P358" s="2">
        <v>46219.923379629632</v>
      </c>
      <c r="Q358" s="2">
        <v>46219.923379629632</v>
      </c>
      <c r="R358" t="str">
        <f t="shared" si="59"/>
        <v>153000271</v>
      </c>
      <c r="S358" s="1">
        <v>47966</v>
      </c>
    </row>
    <row r="359" spans="1:19" x14ac:dyDescent="0.35">
      <c r="A359" t="s">
        <v>30</v>
      </c>
      <c r="B359" t="s">
        <v>31</v>
      </c>
      <c r="C359" t="s">
        <v>1839</v>
      </c>
      <c r="D359" t="str">
        <f>"2501717769"</f>
        <v>2501717769</v>
      </c>
      <c r="E359" t="s">
        <v>1536</v>
      </c>
      <c r="F359" t="str">
        <f t="shared" si="57"/>
        <v>400441</v>
      </c>
      <c r="G359" t="s">
        <v>65</v>
      </c>
      <c r="H359" t="s">
        <v>1085</v>
      </c>
      <c r="I359" t="s">
        <v>41</v>
      </c>
      <c r="J359">
        <v>2</v>
      </c>
      <c r="K359">
        <v>2</v>
      </c>
      <c r="L359" t="str">
        <f t="shared" si="58"/>
        <v>520988</v>
      </c>
      <c r="M359" t="s">
        <v>1840</v>
      </c>
      <c r="N359" t="s">
        <v>1836</v>
      </c>
      <c r="O359" s="2">
        <v>46219.925578703704</v>
      </c>
      <c r="P359" s="2">
        <v>46219.925578703704</v>
      </c>
      <c r="Q359" s="2">
        <v>46219.925578703704</v>
      </c>
      <c r="R359" t="str">
        <f t="shared" si="59"/>
        <v>153000271</v>
      </c>
      <c r="S359" s="1">
        <v>47966</v>
      </c>
    </row>
    <row r="360" spans="1:19" x14ac:dyDescent="0.35">
      <c r="A360" t="s">
        <v>30</v>
      </c>
      <c r="B360" t="s">
        <v>31</v>
      </c>
      <c r="C360" t="s">
        <v>1839</v>
      </c>
      <c r="D360" t="str">
        <f>"2501717769"</f>
        <v>2501717769</v>
      </c>
      <c r="E360" t="s">
        <v>1536</v>
      </c>
      <c r="F360" t="str">
        <f t="shared" si="57"/>
        <v>400441</v>
      </c>
      <c r="G360" t="s">
        <v>65</v>
      </c>
      <c r="H360" t="s">
        <v>1125</v>
      </c>
      <c r="I360" t="s">
        <v>41</v>
      </c>
      <c r="J360">
        <v>4</v>
      </c>
      <c r="K360">
        <v>6</v>
      </c>
      <c r="L360" t="str">
        <f t="shared" si="58"/>
        <v>520988</v>
      </c>
      <c r="M360" t="s">
        <v>1840</v>
      </c>
      <c r="N360" t="s">
        <v>1836</v>
      </c>
      <c r="O360" s="2">
        <v>46219.926886574074</v>
      </c>
      <c r="P360" s="2">
        <v>46219.926886574074</v>
      </c>
      <c r="Q360" s="2">
        <v>46219.926886574074</v>
      </c>
      <c r="R360" t="str">
        <f>"153000269"</f>
        <v>153000269</v>
      </c>
      <c r="S360" s="1">
        <v>47964</v>
      </c>
    </row>
    <row r="361" spans="1:19" x14ac:dyDescent="0.35">
      <c r="A361" t="s">
        <v>30</v>
      </c>
      <c r="B361" t="s">
        <v>31</v>
      </c>
      <c r="C361" t="s">
        <v>1839</v>
      </c>
      <c r="D361" t="str">
        <f>"2501717769"</f>
        <v>2501717769</v>
      </c>
      <c r="E361" t="s">
        <v>1536</v>
      </c>
      <c r="F361" t="str">
        <f t="shared" si="57"/>
        <v>400441</v>
      </c>
      <c r="G361" t="s">
        <v>65</v>
      </c>
      <c r="H361" t="s">
        <v>1676</v>
      </c>
      <c r="I361" t="s">
        <v>41</v>
      </c>
      <c r="J361">
        <v>2</v>
      </c>
      <c r="K361">
        <v>6</v>
      </c>
      <c r="L361" t="str">
        <f t="shared" si="58"/>
        <v>520988</v>
      </c>
      <c r="M361" t="s">
        <v>1840</v>
      </c>
      <c r="N361" t="s">
        <v>1836</v>
      </c>
      <c r="O361" s="2">
        <v>46219.926585648151</v>
      </c>
      <c r="P361" s="2">
        <v>46219.926585648151</v>
      </c>
      <c r="Q361" s="2">
        <v>46219.926585648151</v>
      </c>
      <c r="R361" t="str">
        <f>"153000269"</f>
        <v>153000269</v>
      </c>
      <c r="S361" s="1">
        <v>47964</v>
      </c>
    </row>
    <row r="362" spans="1:19" x14ac:dyDescent="0.35">
      <c r="A362" t="s">
        <v>30</v>
      </c>
      <c r="B362" t="s">
        <v>31</v>
      </c>
      <c r="C362" t="s">
        <v>1827</v>
      </c>
      <c r="D362" t="str">
        <f t="shared" ref="D362:D367" si="60">"2501717757"</f>
        <v>2501717757</v>
      </c>
      <c r="E362" t="s">
        <v>1536</v>
      </c>
      <c r="F362" t="str">
        <f>"400413"</f>
        <v>400413</v>
      </c>
      <c r="G362" t="s">
        <v>1545</v>
      </c>
      <c r="H362" t="s">
        <v>781</v>
      </c>
      <c r="I362" t="s">
        <v>37</v>
      </c>
      <c r="J362">
        <v>21</v>
      </c>
      <c r="K362">
        <v>69</v>
      </c>
      <c r="L362" t="str">
        <f t="shared" ref="L362:L367" si="61">"520721"</f>
        <v>520721</v>
      </c>
      <c r="M362" t="s">
        <v>1645</v>
      </c>
      <c r="N362" t="s">
        <v>1540</v>
      </c>
      <c r="O362" s="2">
        <v>46219.958425925928</v>
      </c>
      <c r="P362" s="2">
        <v>46219.958425925928</v>
      </c>
      <c r="Q362" s="2">
        <v>46219.958425925928</v>
      </c>
      <c r="R362" t="str">
        <f>"153000384"</f>
        <v>153000384</v>
      </c>
      <c r="S362" s="1">
        <v>48011</v>
      </c>
    </row>
    <row r="363" spans="1:19" x14ac:dyDescent="0.35">
      <c r="A363" t="s">
        <v>30</v>
      </c>
      <c r="B363" t="s">
        <v>31</v>
      </c>
      <c r="C363" t="s">
        <v>1827</v>
      </c>
      <c r="D363" t="str">
        <f t="shared" si="60"/>
        <v>2501717757</v>
      </c>
      <c r="E363" t="s">
        <v>1536</v>
      </c>
      <c r="F363" t="str">
        <f>"400413"</f>
        <v>400413</v>
      </c>
      <c r="G363" t="s">
        <v>1545</v>
      </c>
      <c r="H363" t="s">
        <v>783</v>
      </c>
      <c r="I363" t="s">
        <v>37</v>
      </c>
      <c r="J363">
        <v>24</v>
      </c>
      <c r="K363">
        <v>69</v>
      </c>
      <c r="L363" t="str">
        <f t="shared" si="61"/>
        <v>520721</v>
      </c>
      <c r="M363" t="s">
        <v>1645</v>
      </c>
      <c r="N363" t="s">
        <v>1540</v>
      </c>
      <c r="O363" s="2">
        <v>46219.957696759258</v>
      </c>
      <c r="P363" s="2">
        <v>46219.957696759258</v>
      </c>
      <c r="Q363" s="2">
        <v>46219.957696759258</v>
      </c>
      <c r="R363" t="str">
        <f>"153000384"</f>
        <v>153000384</v>
      </c>
      <c r="S363" s="1">
        <v>48011</v>
      </c>
    </row>
    <row r="364" spans="1:19" x14ac:dyDescent="0.35">
      <c r="A364" t="s">
        <v>30</v>
      </c>
      <c r="B364" t="s">
        <v>31</v>
      </c>
      <c r="C364" t="s">
        <v>1827</v>
      </c>
      <c r="D364" t="str">
        <f t="shared" si="60"/>
        <v>2501717757</v>
      </c>
      <c r="E364" t="s">
        <v>1536</v>
      </c>
      <c r="F364" t="str">
        <f>"400413"</f>
        <v>400413</v>
      </c>
      <c r="G364" t="s">
        <v>1545</v>
      </c>
      <c r="H364" t="s">
        <v>834</v>
      </c>
      <c r="I364" t="s">
        <v>37</v>
      </c>
      <c r="J364">
        <v>24</v>
      </c>
      <c r="K364">
        <v>69</v>
      </c>
      <c r="L364" t="str">
        <f t="shared" si="61"/>
        <v>520721</v>
      </c>
      <c r="M364" t="s">
        <v>1645</v>
      </c>
      <c r="N364" t="s">
        <v>1540</v>
      </c>
      <c r="O364" s="2">
        <v>46219.956631944442</v>
      </c>
      <c r="P364" s="2">
        <v>46219.956631944442</v>
      </c>
      <c r="Q364" s="2">
        <v>46219.956631944442</v>
      </c>
      <c r="R364" t="str">
        <f>"153000384"</f>
        <v>153000384</v>
      </c>
      <c r="S364" s="1">
        <v>48011</v>
      </c>
    </row>
    <row r="365" spans="1:19" x14ac:dyDescent="0.35">
      <c r="A365" t="s">
        <v>30</v>
      </c>
      <c r="B365" t="s">
        <v>31</v>
      </c>
      <c r="C365" t="s">
        <v>1827</v>
      </c>
      <c r="D365" t="str">
        <f t="shared" si="60"/>
        <v>2501717757</v>
      </c>
      <c r="E365" t="s">
        <v>1536</v>
      </c>
      <c r="F365" t="str">
        <f>"400413"</f>
        <v>400413</v>
      </c>
      <c r="G365" t="s">
        <v>1545</v>
      </c>
      <c r="H365" t="s">
        <v>801</v>
      </c>
      <c r="I365" t="s">
        <v>37</v>
      </c>
      <c r="J365">
        <v>24</v>
      </c>
      <c r="K365">
        <v>31</v>
      </c>
      <c r="L365" t="str">
        <f t="shared" si="61"/>
        <v>520721</v>
      </c>
      <c r="M365" t="s">
        <v>1645</v>
      </c>
      <c r="N365" t="s">
        <v>1540</v>
      </c>
      <c r="O365" s="2">
        <v>46219.956192129626</v>
      </c>
      <c r="P365" s="2">
        <v>46219.956192129626</v>
      </c>
      <c r="Q365" s="2">
        <v>46219.956192129626</v>
      </c>
      <c r="R365" t="str">
        <f>"153000376"</f>
        <v>153000376</v>
      </c>
      <c r="S365" s="1">
        <v>48008</v>
      </c>
    </row>
    <row r="366" spans="1:19" x14ac:dyDescent="0.35">
      <c r="A366" t="s">
        <v>30</v>
      </c>
      <c r="B366" t="s">
        <v>31</v>
      </c>
      <c r="C366" t="s">
        <v>1827</v>
      </c>
      <c r="D366" t="str">
        <f t="shared" si="60"/>
        <v>2501717757</v>
      </c>
      <c r="E366" t="s">
        <v>1536</v>
      </c>
      <c r="F366" t="str">
        <f>"400413"</f>
        <v>400413</v>
      </c>
      <c r="G366" t="s">
        <v>1545</v>
      </c>
      <c r="H366" t="s">
        <v>1095</v>
      </c>
      <c r="I366" t="s">
        <v>37</v>
      </c>
      <c r="J366">
        <v>5</v>
      </c>
      <c r="K366">
        <v>31</v>
      </c>
      <c r="L366" t="str">
        <f t="shared" si="61"/>
        <v>520721</v>
      </c>
      <c r="M366" t="s">
        <v>1645</v>
      </c>
      <c r="N366" t="s">
        <v>1540</v>
      </c>
      <c r="O366" s="2">
        <v>46219.960069444445</v>
      </c>
      <c r="P366" s="2">
        <v>46219.960069444445</v>
      </c>
      <c r="Q366" s="2">
        <v>46219.960069444445</v>
      </c>
      <c r="R366" t="str">
        <f>"153000376"</f>
        <v>153000376</v>
      </c>
      <c r="S366" s="1">
        <v>48008</v>
      </c>
    </row>
    <row r="367" spans="1:19" x14ac:dyDescent="0.35">
      <c r="A367" t="s">
        <v>30</v>
      </c>
      <c r="B367" t="s">
        <v>31</v>
      </c>
      <c r="C367" t="s">
        <v>1827</v>
      </c>
      <c r="D367" t="str">
        <f t="shared" si="60"/>
        <v>2501717757</v>
      </c>
      <c r="E367" t="s">
        <v>1536</v>
      </c>
      <c r="F367" t="str">
        <f>"400420"</f>
        <v>400420</v>
      </c>
      <c r="G367" t="s">
        <v>1661</v>
      </c>
      <c r="H367" t="s">
        <v>809</v>
      </c>
      <c r="I367" t="s">
        <v>37</v>
      </c>
      <c r="J367">
        <v>6</v>
      </c>
      <c r="K367">
        <v>6</v>
      </c>
      <c r="L367" t="str">
        <f t="shared" si="61"/>
        <v>520721</v>
      </c>
      <c r="M367" t="s">
        <v>1645</v>
      </c>
      <c r="N367" t="s">
        <v>1540</v>
      </c>
      <c r="O367" s="2">
        <v>46219.954247685186</v>
      </c>
      <c r="P367" s="2">
        <v>46219.954247685186</v>
      </c>
      <c r="Q367" s="2">
        <v>46219.954247685186</v>
      </c>
      <c r="R367" t="str">
        <f>"153000320"</f>
        <v>153000320</v>
      </c>
      <c r="S367" s="1">
        <v>47981</v>
      </c>
    </row>
    <row r="368" spans="1:19" x14ac:dyDescent="0.35">
      <c r="A368" t="s">
        <v>30</v>
      </c>
      <c r="B368" t="s">
        <v>31</v>
      </c>
      <c r="C368" t="s">
        <v>1841</v>
      </c>
      <c r="D368" t="str">
        <f t="shared" ref="D368:D387" si="62">"2501717718"</f>
        <v>2501717718</v>
      </c>
      <c r="E368" t="s">
        <v>1536</v>
      </c>
      <c r="F368" t="str">
        <f>"400477"</f>
        <v>400477</v>
      </c>
      <c r="G368" t="s">
        <v>1842</v>
      </c>
      <c r="H368" t="s">
        <v>870</v>
      </c>
      <c r="I368" t="s">
        <v>37</v>
      </c>
      <c r="J368">
        <v>29</v>
      </c>
      <c r="K368">
        <v>29</v>
      </c>
      <c r="L368" t="str">
        <f t="shared" ref="L368:L407" si="63">"521152"</f>
        <v>521152</v>
      </c>
      <c r="M368" t="s">
        <v>1559</v>
      </c>
      <c r="N368" t="s">
        <v>1681</v>
      </c>
      <c r="O368" s="2">
        <v>46219.947256944448</v>
      </c>
      <c r="P368" s="2">
        <v>46219.947256944448</v>
      </c>
      <c r="Q368" s="2">
        <v>46219.947256944448</v>
      </c>
      <c r="R368" t="str">
        <f>"153000219"</f>
        <v>153000219</v>
      </c>
      <c r="S368" s="1">
        <v>47935</v>
      </c>
    </row>
    <row r="369" spans="1:19" x14ac:dyDescent="0.35">
      <c r="A369" t="s">
        <v>30</v>
      </c>
      <c r="B369" t="s">
        <v>31</v>
      </c>
      <c r="C369" t="s">
        <v>1841</v>
      </c>
      <c r="D369" t="str">
        <f t="shared" si="62"/>
        <v>2501717718</v>
      </c>
      <c r="E369" t="s">
        <v>1536</v>
      </c>
      <c r="F369" t="str">
        <f>"400477"</f>
        <v>400477</v>
      </c>
      <c r="G369" t="s">
        <v>1842</v>
      </c>
      <c r="H369" t="s">
        <v>813</v>
      </c>
      <c r="I369" t="s">
        <v>37</v>
      </c>
      <c r="J369">
        <v>1</v>
      </c>
      <c r="K369">
        <v>1</v>
      </c>
      <c r="L369" t="str">
        <f t="shared" si="63"/>
        <v>521152</v>
      </c>
      <c r="M369" t="s">
        <v>1559</v>
      </c>
      <c r="N369" t="s">
        <v>1681</v>
      </c>
      <c r="O369" s="2">
        <v>46219.948680555557</v>
      </c>
      <c r="P369" s="2">
        <v>46219.948680555557</v>
      </c>
      <c r="Q369" s="2">
        <v>46219.948680555557</v>
      </c>
      <c r="R369" t="str">
        <f>"100009584"</f>
        <v>100009584</v>
      </c>
      <c r="S369" s="1">
        <v>47696</v>
      </c>
    </row>
    <row r="370" spans="1:19" x14ac:dyDescent="0.35">
      <c r="A370" t="s">
        <v>30</v>
      </c>
      <c r="B370" t="s">
        <v>31</v>
      </c>
      <c r="C370" t="s">
        <v>1841</v>
      </c>
      <c r="D370" t="str">
        <f t="shared" si="62"/>
        <v>2501717718</v>
      </c>
      <c r="E370" t="s">
        <v>1536</v>
      </c>
      <c r="F370" t="str">
        <f t="shared" ref="F370:F387" si="64">"400413"</f>
        <v>400413</v>
      </c>
      <c r="G370" t="s">
        <v>1545</v>
      </c>
      <c r="H370" t="s">
        <v>791</v>
      </c>
      <c r="I370" t="s">
        <v>37</v>
      </c>
      <c r="J370">
        <v>17</v>
      </c>
      <c r="K370">
        <v>400</v>
      </c>
      <c r="L370" t="str">
        <f t="shared" si="63"/>
        <v>521152</v>
      </c>
      <c r="M370" t="s">
        <v>1559</v>
      </c>
      <c r="N370" t="s">
        <v>1681</v>
      </c>
      <c r="O370" s="2">
        <v>46219.945925925924</v>
      </c>
      <c r="P370" s="2">
        <v>46219.945925925924</v>
      </c>
      <c r="Q370" s="2">
        <v>46219.945925925924</v>
      </c>
      <c r="R370" t="str">
        <f t="shared" ref="R370:R387" si="65">"153000376"</f>
        <v>153000376</v>
      </c>
      <c r="S370" s="1">
        <v>48008</v>
      </c>
    </row>
    <row r="371" spans="1:19" x14ac:dyDescent="0.35">
      <c r="A371" t="s">
        <v>30</v>
      </c>
      <c r="B371" t="s">
        <v>31</v>
      </c>
      <c r="C371" t="s">
        <v>1841</v>
      </c>
      <c r="D371" t="str">
        <f t="shared" si="62"/>
        <v>2501717718</v>
      </c>
      <c r="E371" t="s">
        <v>1536</v>
      </c>
      <c r="F371" t="str">
        <f t="shared" si="64"/>
        <v>400413</v>
      </c>
      <c r="G371" t="s">
        <v>1545</v>
      </c>
      <c r="H371" t="s">
        <v>1578</v>
      </c>
      <c r="I371" t="s">
        <v>37</v>
      </c>
      <c r="J371">
        <v>24</v>
      </c>
      <c r="K371">
        <v>400</v>
      </c>
      <c r="L371" t="str">
        <f t="shared" si="63"/>
        <v>521152</v>
      </c>
      <c r="M371" t="s">
        <v>1559</v>
      </c>
      <c r="N371" t="s">
        <v>1681</v>
      </c>
      <c r="O371" s="2">
        <v>46219.945150462961</v>
      </c>
      <c r="P371" s="2">
        <v>46219.945150462961</v>
      </c>
      <c r="Q371" s="2">
        <v>46219.945150462961</v>
      </c>
      <c r="R371" t="str">
        <f t="shared" si="65"/>
        <v>153000376</v>
      </c>
      <c r="S371" s="1">
        <v>48008</v>
      </c>
    </row>
    <row r="372" spans="1:19" x14ac:dyDescent="0.35">
      <c r="A372" t="s">
        <v>30</v>
      </c>
      <c r="B372" t="s">
        <v>31</v>
      </c>
      <c r="C372" t="s">
        <v>1841</v>
      </c>
      <c r="D372" t="str">
        <f t="shared" si="62"/>
        <v>2501717718</v>
      </c>
      <c r="E372" t="s">
        <v>1536</v>
      </c>
      <c r="F372" t="str">
        <f t="shared" si="64"/>
        <v>400413</v>
      </c>
      <c r="G372" t="s">
        <v>1545</v>
      </c>
      <c r="H372" t="s">
        <v>1579</v>
      </c>
      <c r="I372" t="s">
        <v>37</v>
      </c>
      <c r="J372">
        <v>24</v>
      </c>
      <c r="K372">
        <v>400</v>
      </c>
      <c r="L372" t="str">
        <f t="shared" si="63"/>
        <v>521152</v>
      </c>
      <c r="M372" t="s">
        <v>1559</v>
      </c>
      <c r="N372" t="s">
        <v>1681</v>
      </c>
      <c r="O372" s="2">
        <v>46219.944386574076</v>
      </c>
      <c r="P372" s="2">
        <v>46219.944386574076</v>
      </c>
      <c r="Q372" s="2">
        <v>46219.944386574076</v>
      </c>
      <c r="R372" t="str">
        <f t="shared" si="65"/>
        <v>153000376</v>
      </c>
      <c r="S372" s="1">
        <v>48008</v>
      </c>
    </row>
    <row r="373" spans="1:19" x14ac:dyDescent="0.35">
      <c r="A373" t="s">
        <v>30</v>
      </c>
      <c r="B373" t="s">
        <v>31</v>
      </c>
      <c r="C373" t="s">
        <v>1841</v>
      </c>
      <c r="D373" t="str">
        <f t="shared" si="62"/>
        <v>2501717718</v>
      </c>
      <c r="E373" t="s">
        <v>1536</v>
      </c>
      <c r="F373" t="str">
        <f t="shared" si="64"/>
        <v>400413</v>
      </c>
      <c r="G373" t="s">
        <v>1545</v>
      </c>
      <c r="H373" t="s">
        <v>1324</v>
      </c>
      <c r="I373" t="s">
        <v>37</v>
      </c>
      <c r="J373">
        <v>24</v>
      </c>
      <c r="K373">
        <v>400</v>
      </c>
      <c r="L373" t="str">
        <f t="shared" si="63"/>
        <v>521152</v>
      </c>
      <c r="M373" t="s">
        <v>1559</v>
      </c>
      <c r="N373" t="s">
        <v>1681</v>
      </c>
      <c r="O373" s="2">
        <v>46219.94358796296</v>
      </c>
      <c r="P373" s="2">
        <v>46219.94358796296</v>
      </c>
      <c r="Q373" s="2">
        <v>46219.94358796296</v>
      </c>
      <c r="R373" t="str">
        <f t="shared" si="65"/>
        <v>153000376</v>
      </c>
      <c r="S373" s="1">
        <v>48008</v>
      </c>
    </row>
    <row r="374" spans="1:19" x14ac:dyDescent="0.35">
      <c r="A374" t="s">
        <v>30</v>
      </c>
      <c r="B374" t="s">
        <v>31</v>
      </c>
      <c r="C374" t="s">
        <v>1841</v>
      </c>
      <c r="D374" t="str">
        <f t="shared" si="62"/>
        <v>2501717718</v>
      </c>
      <c r="E374" t="s">
        <v>1536</v>
      </c>
      <c r="F374" t="str">
        <f t="shared" si="64"/>
        <v>400413</v>
      </c>
      <c r="G374" t="s">
        <v>1545</v>
      </c>
      <c r="H374" t="s">
        <v>1843</v>
      </c>
      <c r="I374" t="s">
        <v>37</v>
      </c>
      <c r="J374">
        <v>24</v>
      </c>
      <c r="K374">
        <v>400</v>
      </c>
      <c r="L374" t="str">
        <f t="shared" si="63"/>
        <v>521152</v>
      </c>
      <c r="M374" t="s">
        <v>1559</v>
      </c>
      <c r="N374" t="s">
        <v>1681</v>
      </c>
      <c r="O374" s="2">
        <v>46219.942835648151</v>
      </c>
      <c r="P374" s="2">
        <v>46219.942835648151</v>
      </c>
      <c r="Q374" s="2">
        <v>46219.942835648151</v>
      </c>
      <c r="R374" t="str">
        <f t="shared" si="65"/>
        <v>153000376</v>
      </c>
      <c r="S374" s="1">
        <v>48008</v>
      </c>
    </row>
    <row r="375" spans="1:19" x14ac:dyDescent="0.35">
      <c r="A375" t="s">
        <v>30</v>
      </c>
      <c r="B375" t="s">
        <v>31</v>
      </c>
      <c r="C375" t="s">
        <v>1841</v>
      </c>
      <c r="D375" t="str">
        <f t="shared" si="62"/>
        <v>2501717718</v>
      </c>
      <c r="E375" t="s">
        <v>1536</v>
      </c>
      <c r="F375" t="str">
        <f t="shared" si="64"/>
        <v>400413</v>
      </c>
      <c r="G375" t="s">
        <v>1545</v>
      </c>
      <c r="H375" t="s">
        <v>1844</v>
      </c>
      <c r="I375" t="s">
        <v>37</v>
      </c>
      <c r="J375">
        <v>24</v>
      </c>
      <c r="K375">
        <v>400</v>
      </c>
      <c r="L375" t="str">
        <f t="shared" si="63"/>
        <v>521152</v>
      </c>
      <c r="M375" t="s">
        <v>1559</v>
      </c>
      <c r="N375" t="s">
        <v>1681</v>
      </c>
      <c r="O375" s="2">
        <v>46219.942013888889</v>
      </c>
      <c r="P375" s="2">
        <v>46219.942013888889</v>
      </c>
      <c r="Q375" s="2">
        <v>46219.942013888889</v>
      </c>
      <c r="R375" t="str">
        <f t="shared" si="65"/>
        <v>153000376</v>
      </c>
      <c r="S375" s="1">
        <v>48008</v>
      </c>
    </row>
    <row r="376" spans="1:19" x14ac:dyDescent="0.35">
      <c r="A376" t="s">
        <v>30</v>
      </c>
      <c r="B376" t="s">
        <v>31</v>
      </c>
      <c r="C376" t="s">
        <v>1841</v>
      </c>
      <c r="D376" t="str">
        <f t="shared" si="62"/>
        <v>2501717718</v>
      </c>
      <c r="E376" t="s">
        <v>1536</v>
      </c>
      <c r="F376" t="str">
        <f t="shared" si="64"/>
        <v>400413</v>
      </c>
      <c r="G376" t="s">
        <v>1545</v>
      </c>
      <c r="H376" t="s">
        <v>939</v>
      </c>
      <c r="I376" t="s">
        <v>37</v>
      </c>
      <c r="J376">
        <v>24</v>
      </c>
      <c r="K376">
        <v>400</v>
      </c>
      <c r="L376" t="str">
        <f t="shared" si="63"/>
        <v>521152</v>
      </c>
      <c r="M376" t="s">
        <v>1559</v>
      </c>
      <c r="N376" t="s">
        <v>1681</v>
      </c>
      <c r="O376" s="2">
        <v>46219.941284722219</v>
      </c>
      <c r="P376" s="2">
        <v>46219.941284722219</v>
      </c>
      <c r="Q376" s="2">
        <v>46219.941284722219</v>
      </c>
      <c r="R376" t="str">
        <f t="shared" si="65"/>
        <v>153000376</v>
      </c>
      <c r="S376" s="1">
        <v>48008</v>
      </c>
    </row>
    <row r="377" spans="1:19" x14ac:dyDescent="0.35">
      <c r="A377" t="s">
        <v>30</v>
      </c>
      <c r="B377" t="s">
        <v>31</v>
      </c>
      <c r="C377" t="s">
        <v>1841</v>
      </c>
      <c r="D377" t="str">
        <f t="shared" si="62"/>
        <v>2501717718</v>
      </c>
      <c r="E377" t="s">
        <v>1536</v>
      </c>
      <c r="F377" t="str">
        <f t="shared" si="64"/>
        <v>400413</v>
      </c>
      <c r="G377" t="s">
        <v>1545</v>
      </c>
      <c r="H377" t="s">
        <v>791</v>
      </c>
      <c r="I377" t="s">
        <v>37</v>
      </c>
      <c r="J377">
        <v>5</v>
      </c>
      <c r="K377">
        <v>400</v>
      </c>
      <c r="L377" t="str">
        <f t="shared" si="63"/>
        <v>521152</v>
      </c>
      <c r="M377" t="s">
        <v>1559</v>
      </c>
      <c r="N377" t="s">
        <v>1681</v>
      </c>
      <c r="O377" s="2">
        <v>46219.946064814816</v>
      </c>
      <c r="P377" s="2">
        <v>46219.946064814816</v>
      </c>
      <c r="Q377" s="2">
        <v>46219.946064814816</v>
      </c>
      <c r="R377" t="str">
        <f t="shared" si="65"/>
        <v>153000376</v>
      </c>
      <c r="S377" s="1">
        <v>48008</v>
      </c>
    </row>
    <row r="378" spans="1:19" x14ac:dyDescent="0.35">
      <c r="A378" t="s">
        <v>30</v>
      </c>
      <c r="B378" t="s">
        <v>31</v>
      </c>
      <c r="C378" t="s">
        <v>1841</v>
      </c>
      <c r="D378" t="str">
        <f t="shared" si="62"/>
        <v>2501717718</v>
      </c>
      <c r="E378" t="s">
        <v>1536</v>
      </c>
      <c r="F378" t="str">
        <f t="shared" si="64"/>
        <v>400413</v>
      </c>
      <c r="G378" t="s">
        <v>1545</v>
      </c>
      <c r="H378" t="s">
        <v>771</v>
      </c>
      <c r="I378" t="s">
        <v>37</v>
      </c>
      <c r="J378">
        <v>24</v>
      </c>
      <c r="K378">
        <v>400</v>
      </c>
      <c r="L378" t="str">
        <f t="shared" si="63"/>
        <v>521152</v>
      </c>
      <c r="M378" t="s">
        <v>1559</v>
      </c>
      <c r="N378" t="s">
        <v>1681</v>
      </c>
      <c r="O378" s="2">
        <v>46219.939768518518</v>
      </c>
      <c r="P378" s="2">
        <v>46219.939768518518</v>
      </c>
      <c r="Q378" s="2">
        <v>46219.939768518518</v>
      </c>
      <c r="R378" t="str">
        <f t="shared" si="65"/>
        <v>153000376</v>
      </c>
      <c r="S378" s="1">
        <v>48008</v>
      </c>
    </row>
    <row r="379" spans="1:19" x14ac:dyDescent="0.35">
      <c r="A379" t="s">
        <v>30</v>
      </c>
      <c r="B379" t="s">
        <v>31</v>
      </c>
      <c r="C379" t="s">
        <v>1841</v>
      </c>
      <c r="D379" t="str">
        <f t="shared" si="62"/>
        <v>2501717718</v>
      </c>
      <c r="E379" t="s">
        <v>1536</v>
      </c>
      <c r="F379" t="str">
        <f t="shared" si="64"/>
        <v>400413</v>
      </c>
      <c r="G379" t="s">
        <v>1545</v>
      </c>
      <c r="H379" t="s">
        <v>773</v>
      </c>
      <c r="I379" t="s">
        <v>37</v>
      </c>
      <c r="J379">
        <v>24</v>
      </c>
      <c r="K379">
        <v>400</v>
      </c>
      <c r="L379" t="str">
        <f t="shared" si="63"/>
        <v>521152</v>
      </c>
      <c r="M379" t="s">
        <v>1559</v>
      </c>
      <c r="N379" t="s">
        <v>1681</v>
      </c>
      <c r="O379" s="2">
        <v>46219.93922453704</v>
      </c>
      <c r="P379" s="2">
        <v>46219.93922453704</v>
      </c>
      <c r="Q379" s="2">
        <v>46219.93922453704</v>
      </c>
      <c r="R379" t="str">
        <f t="shared" si="65"/>
        <v>153000376</v>
      </c>
      <c r="S379" s="1">
        <v>48008</v>
      </c>
    </row>
    <row r="380" spans="1:19" x14ac:dyDescent="0.35">
      <c r="A380" t="s">
        <v>30</v>
      </c>
      <c r="B380" t="s">
        <v>31</v>
      </c>
      <c r="C380" t="s">
        <v>1841</v>
      </c>
      <c r="D380" t="str">
        <f t="shared" si="62"/>
        <v>2501717718</v>
      </c>
      <c r="E380" t="s">
        <v>1536</v>
      </c>
      <c r="F380" t="str">
        <f t="shared" si="64"/>
        <v>400413</v>
      </c>
      <c r="G380" t="s">
        <v>1545</v>
      </c>
      <c r="H380" t="s">
        <v>775</v>
      </c>
      <c r="I380" t="s">
        <v>37</v>
      </c>
      <c r="J380">
        <v>24</v>
      </c>
      <c r="K380">
        <v>400</v>
      </c>
      <c r="L380" t="str">
        <f t="shared" si="63"/>
        <v>521152</v>
      </c>
      <c r="M380" t="s">
        <v>1559</v>
      </c>
      <c r="N380" t="s">
        <v>1681</v>
      </c>
      <c r="O380" s="2">
        <v>46219.937303240738</v>
      </c>
      <c r="P380" s="2">
        <v>46219.937303240738</v>
      </c>
      <c r="Q380" s="2">
        <v>46219.937303240738</v>
      </c>
      <c r="R380" t="str">
        <f t="shared" si="65"/>
        <v>153000376</v>
      </c>
      <c r="S380" s="1">
        <v>48008</v>
      </c>
    </row>
    <row r="381" spans="1:19" x14ac:dyDescent="0.35">
      <c r="A381" t="s">
        <v>30</v>
      </c>
      <c r="B381" t="s">
        <v>31</v>
      </c>
      <c r="C381" t="s">
        <v>1841</v>
      </c>
      <c r="D381" t="str">
        <f t="shared" si="62"/>
        <v>2501717718</v>
      </c>
      <c r="E381" t="s">
        <v>1536</v>
      </c>
      <c r="F381" t="str">
        <f t="shared" si="64"/>
        <v>400413</v>
      </c>
      <c r="G381" t="s">
        <v>1545</v>
      </c>
      <c r="H381" t="s">
        <v>777</v>
      </c>
      <c r="I381" t="s">
        <v>37</v>
      </c>
      <c r="J381">
        <v>24</v>
      </c>
      <c r="K381">
        <v>400</v>
      </c>
      <c r="L381" t="str">
        <f t="shared" si="63"/>
        <v>521152</v>
      </c>
      <c r="M381" t="s">
        <v>1559</v>
      </c>
      <c r="N381" t="s">
        <v>1681</v>
      </c>
      <c r="O381" s="2">
        <v>46219.936377314814</v>
      </c>
      <c r="P381" s="2">
        <v>46219.936377314814</v>
      </c>
      <c r="Q381" s="2">
        <v>46219.936377314814</v>
      </c>
      <c r="R381" t="str">
        <f t="shared" si="65"/>
        <v>153000376</v>
      </c>
      <c r="S381" s="1">
        <v>48008</v>
      </c>
    </row>
    <row r="382" spans="1:19" x14ac:dyDescent="0.35">
      <c r="A382" t="s">
        <v>30</v>
      </c>
      <c r="B382" t="s">
        <v>31</v>
      </c>
      <c r="C382" t="s">
        <v>1841</v>
      </c>
      <c r="D382" t="str">
        <f t="shared" si="62"/>
        <v>2501717718</v>
      </c>
      <c r="E382" t="s">
        <v>1536</v>
      </c>
      <c r="F382" t="str">
        <f t="shared" si="64"/>
        <v>400413</v>
      </c>
      <c r="G382" t="s">
        <v>1545</v>
      </c>
      <c r="H382" t="s">
        <v>767</v>
      </c>
      <c r="I382" t="s">
        <v>37</v>
      </c>
      <c r="J382">
        <v>24</v>
      </c>
      <c r="K382">
        <v>400</v>
      </c>
      <c r="L382" t="str">
        <f t="shared" si="63"/>
        <v>521152</v>
      </c>
      <c r="M382" t="s">
        <v>1559</v>
      </c>
      <c r="N382" t="s">
        <v>1681</v>
      </c>
      <c r="O382" s="2">
        <v>46219.935624999998</v>
      </c>
      <c r="P382" s="2">
        <v>46219.935624999998</v>
      </c>
      <c r="Q382" s="2">
        <v>46219.935624999998</v>
      </c>
      <c r="R382" t="str">
        <f t="shared" si="65"/>
        <v>153000376</v>
      </c>
      <c r="S382" s="1">
        <v>48008</v>
      </c>
    </row>
    <row r="383" spans="1:19" x14ac:dyDescent="0.35">
      <c r="A383" t="s">
        <v>30</v>
      </c>
      <c r="B383" t="s">
        <v>31</v>
      </c>
      <c r="C383" t="s">
        <v>1841</v>
      </c>
      <c r="D383" t="str">
        <f t="shared" si="62"/>
        <v>2501717718</v>
      </c>
      <c r="E383" t="s">
        <v>1536</v>
      </c>
      <c r="F383" t="str">
        <f t="shared" si="64"/>
        <v>400413</v>
      </c>
      <c r="G383" t="s">
        <v>1545</v>
      </c>
      <c r="H383" t="s">
        <v>765</v>
      </c>
      <c r="I383" t="s">
        <v>37</v>
      </c>
      <c r="J383">
        <v>24</v>
      </c>
      <c r="K383">
        <v>400</v>
      </c>
      <c r="L383" t="str">
        <f t="shared" si="63"/>
        <v>521152</v>
      </c>
      <c r="M383" t="s">
        <v>1559</v>
      </c>
      <c r="N383" t="s">
        <v>1681</v>
      </c>
      <c r="O383" s="2">
        <v>46219.93482638889</v>
      </c>
      <c r="P383" s="2">
        <v>46219.93482638889</v>
      </c>
      <c r="Q383" s="2">
        <v>46219.93482638889</v>
      </c>
      <c r="R383" t="str">
        <f t="shared" si="65"/>
        <v>153000376</v>
      </c>
      <c r="S383" s="1">
        <v>48008</v>
      </c>
    </row>
    <row r="384" spans="1:19" x14ac:dyDescent="0.35">
      <c r="A384" t="s">
        <v>30</v>
      </c>
      <c r="B384" t="s">
        <v>31</v>
      </c>
      <c r="C384" t="s">
        <v>1841</v>
      </c>
      <c r="D384" t="str">
        <f t="shared" si="62"/>
        <v>2501717718</v>
      </c>
      <c r="E384" t="s">
        <v>1536</v>
      </c>
      <c r="F384" t="str">
        <f t="shared" si="64"/>
        <v>400413</v>
      </c>
      <c r="G384" t="s">
        <v>1545</v>
      </c>
      <c r="H384" t="s">
        <v>763</v>
      </c>
      <c r="I384" t="s">
        <v>37</v>
      </c>
      <c r="J384">
        <v>24</v>
      </c>
      <c r="K384">
        <v>400</v>
      </c>
      <c r="L384" t="str">
        <f t="shared" si="63"/>
        <v>521152</v>
      </c>
      <c r="M384" t="s">
        <v>1559</v>
      </c>
      <c r="N384" t="s">
        <v>1681</v>
      </c>
      <c r="O384" s="2">
        <v>46219.93377314815</v>
      </c>
      <c r="P384" s="2">
        <v>46219.93378472222</v>
      </c>
      <c r="Q384" s="2">
        <v>46219.93378472222</v>
      </c>
      <c r="R384" t="str">
        <f t="shared" si="65"/>
        <v>153000376</v>
      </c>
      <c r="S384" s="1">
        <v>48008</v>
      </c>
    </row>
    <row r="385" spans="1:19" x14ac:dyDescent="0.35">
      <c r="A385" t="s">
        <v>30</v>
      </c>
      <c r="B385" t="s">
        <v>31</v>
      </c>
      <c r="C385" t="s">
        <v>1841</v>
      </c>
      <c r="D385" t="str">
        <f t="shared" si="62"/>
        <v>2501717718</v>
      </c>
      <c r="E385" t="s">
        <v>1536</v>
      </c>
      <c r="F385" t="str">
        <f t="shared" si="64"/>
        <v>400413</v>
      </c>
      <c r="G385" t="s">
        <v>1545</v>
      </c>
      <c r="H385" t="s">
        <v>761</v>
      </c>
      <c r="I385" t="s">
        <v>37</v>
      </c>
      <c r="J385">
        <v>24</v>
      </c>
      <c r="K385">
        <v>400</v>
      </c>
      <c r="L385" t="str">
        <f t="shared" si="63"/>
        <v>521152</v>
      </c>
      <c r="M385" t="s">
        <v>1559</v>
      </c>
      <c r="N385" t="s">
        <v>1681</v>
      </c>
      <c r="O385" s="2">
        <v>46219.933171296296</v>
      </c>
      <c r="P385" s="2">
        <v>46219.933171296296</v>
      </c>
      <c r="Q385" s="2">
        <v>46219.933171296296</v>
      </c>
      <c r="R385" t="str">
        <f t="shared" si="65"/>
        <v>153000376</v>
      </c>
      <c r="S385" s="1">
        <v>48008</v>
      </c>
    </row>
    <row r="386" spans="1:19" x14ac:dyDescent="0.35">
      <c r="A386" t="s">
        <v>30</v>
      </c>
      <c r="B386" t="s">
        <v>31</v>
      </c>
      <c r="C386" t="s">
        <v>1841</v>
      </c>
      <c r="D386" t="str">
        <f t="shared" si="62"/>
        <v>2501717718</v>
      </c>
      <c r="E386" t="s">
        <v>1536</v>
      </c>
      <c r="F386" t="str">
        <f t="shared" si="64"/>
        <v>400413</v>
      </c>
      <c r="G386" t="s">
        <v>1545</v>
      </c>
      <c r="H386" t="s">
        <v>759</v>
      </c>
      <c r="I386" t="s">
        <v>37</v>
      </c>
      <c r="J386">
        <v>24</v>
      </c>
      <c r="K386">
        <v>400</v>
      </c>
      <c r="L386" t="str">
        <f t="shared" si="63"/>
        <v>521152</v>
      </c>
      <c r="M386" t="s">
        <v>1559</v>
      </c>
      <c r="N386" t="s">
        <v>1681</v>
      </c>
      <c r="O386" s="2">
        <v>46219.932789351849</v>
      </c>
      <c r="P386" s="2">
        <v>46219.932789351849</v>
      </c>
      <c r="Q386" s="2">
        <v>46219.932789351849</v>
      </c>
      <c r="R386" t="str">
        <f t="shared" si="65"/>
        <v>153000376</v>
      </c>
      <c r="S386" s="1">
        <v>48008</v>
      </c>
    </row>
    <row r="387" spans="1:19" x14ac:dyDescent="0.35">
      <c r="A387" t="s">
        <v>30</v>
      </c>
      <c r="B387" t="s">
        <v>31</v>
      </c>
      <c r="C387" t="s">
        <v>1841</v>
      </c>
      <c r="D387" t="str">
        <f t="shared" si="62"/>
        <v>2501717718</v>
      </c>
      <c r="E387" t="s">
        <v>1536</v>
      </c>
      <c r="F387" t="str">
        <f t="shared" si="64"/>
        <v>400413</v>
      </c>
      <c r="G387" t="s">
        <v>1545</v>
      </c>
      <c r="H387" t="s">
        <v>757</v>
      </c>
      <c r="I387" t="s">
        <v>37</v>
      </c>
      <c r="J387">
        <v>18</v>
      </c>
      <c r="K387">
        <v>400</v>
      </c>
      <c r="L387" t="str">
        <f t="shared" si="63"/>
        <v>521152</v>
      </c>
      <c r="M387" t="s">
        <v>1559</v>
      </c>
      <c r="N387" t="s">
        <v>1681</v>
      </c>
      <c r="O387" s="2">
        <v>46219.93240740741</v>
      </c>
      <c r="P387" s="2">
        <v>46219.93240740741</v>
      </c>
      <c r="Q387" s="2">
        <v>46219.93240740741</v>
      </c>
      <c r="R387" t="str">
        <f t="shared" si="65"/>
        <v>153000376</v>
      </c>
      <c r="S387" s="1">
        <v>48008</v>
      </c>
    </row>
    <row r="388" spans="1:19" x14ac:dyDescent="0.35">
      <c r="A388" t="s">
        <v>30</v>
      </c>
      <c r="B388" t="s">
        <v>31</v>
      </c>
      <c r="C388" t="s">
        <v>1825</v>
      </c>
      <c r="D388" t="str">
        <f t="shared" ref="D388:D407" si="66">"2501717719"</f>
        <v>2501717719</v>
      </c>
      <c r="E388" t="s">
        <v>1536</v>
      </c>
      <c r="F388" t="str">
        <f>"400474"</f>
        <v>400474</v>
      </c>
      <c r="G388" t="s">
        <v>1689</v>
      </c>
      <c r="H388" t="s">
        <v>1547</v>
      </c>
      <c r="I388" t="s">
        <v>37</v>
      </c>
      <c r="J388">
        <v>34</v>
      </c>
      <c r="K388">
        <v>80</v>
      </c>
      <c r="L388" t="str">
        <f t="shared" si="63"/>
        <v>521152</v>
      </c>
      <c r="M388" t="s">
        <v>1559</v>
      </c>
      <c r="N388" t="s">
        <v>1681</v>
      </c>
      <c r="O388" s="2">
        <v>46219.977546296293</v>
      </c>
      <c r="P388" s="2">
        <v>46219.977546296293</v>
      </c>
      <c r="Q388" s="2">
        <v>46219.977546296293</v>
      </c>
      <c r="R388" t="str">
        <f>"153000218"</f>
        <v>153000218</v>
      </c>
      <c r="S388" s="1">
        <v>47936</v>
      </c>
    </row>
    <row r="389" spans="1:19" x14ac:dyDescent="0.35">
      <c r="A389" t="s">
        <v>30</v>
      </c>
      <c r="B389" t="s">
        <v>31</v>
      </c>
      <c r="C389" t="s">
        <v>1825</v>
      </c>
      <c r="D389" t="str">
        <f t="shared" si="66"/>
        <v>2501717719</v>
      </c>
      <c r="E389" t="s">
        <v>1536</v>
      </c>
      <c r="F389" t="str">
        <f>"400474"</f>
        <v>400474</v>
      </c>
      <c r="G389" t="s">
        <v>1689</v>
      </c>
      <c r="H389" t="s">
        <v>785</v>
      </c>
      <c r="I389" t="s">
        <v>37</v>
      </c>
      <c r="J389">
        <v>46</v>
      </c>
      <c r="K389">
        <v>80</v>
      </c>
      <c r="L389" t="str">
        <f t="shared" si="63"/>
        <v>521152</v>
      </c>
      <c r="M389" t="s">
        <v>1559</v>
      </c>
      <c r="N389" t="s">
        <v>1681</v>
      </c>
      <c r="O389" s="2">
        <v>46219.976018518515</v>
      </c>
      <c r="P389" s="2">
        <v>46219.976018518515</v>
      </c>
      <c r="Q389" s="2">
        <v>46219.976018518515</v>
      </c>
      <c r="R389" t="str">
        <f>"153000218"</f>
        <v>153000218</v>
      </c>
      <c r="S389" s="1">
        <v>47936</v>
      </c>
    </row>
    <row r="390" spans="1:19" x14ac:dyDescent="0.35">
      <c r="A390" t="s">
        <v>30</v>
      </c>
      <c r="B390" t="s">
        <v>31</v>
      </c>
      <c r="C390" t="s">
        <v>1825</v>
      </c>
      <c r="D390" t="str">
        <f t="shared" si="66"/>
        <v>2501717719</v>
      </c>
      <c r="E390" t="s">
        <v>1536</v>
      </c>
      <c r="F390" t="str">
        <f t="shared" ref="F390:F407" si="67">"400426"</f>
        <v>400426</v>
      </c>
      <c r="G390" t="s">
        <v>34</v>
      </c>
      <c r="H390" t="s">
        <v>1236</v>
      </c>
      <c r="I390" t="s">
        <v>37</v>
      </c>
      <c r="J390">
        <v>13</v>
      </c>
      <c r="K390">
        <v>277</v>
      </c>
      <c r="L390" t="str">
        <f t="shared" si="63"/>
        <v>521152</v>
      </c>
      <c r="M390" t="s">
        <v>1559</v>
      </c>
      <c r="N390" t="s">
        <v>1681</v>
      </c>
      <c r="O390" s="2">
        <v>46219.980717592596</v>
      </c>
      <c r="P390" s="2">
        <v>46219.980717592596</v>
      </c>
      <c r="Q390" s="2">
        <v>46219.980717592596</v>
      </c>
      <c r="R390" t="str">
        <f t="shared" ref="R390:R401" si="68">"153000233"</f>
        <v>153000233</v>
      </c>
      <c r="S390" s="1">
        <v>47945</v>
      </c>
    </row>
    <row r="391" spans="1:19" x14ac:dyDescent="0.35">
      <c r="A391" t="s">
        <v>30</v>
      </c>
      <c r="B391" t="s">
        <v>31</v>
      </c>
      <c r="C391" t="s">
        <v>1825</v>
      </c>
      <c r="D391" t="str">
        <f t="shared" si="66"/>
        <v>2501717719</v>
      </c>
      <c r="E391" t="s">
        <v>1536</v>
      </c>
      <c r="F391" t="str">
        <f t="shared" si="67"/>
        <v>400426</v>
      </c>
      <c r="G391" t="s">
        <v>34</v>
      </c>
      <c r="H391" t="s">
        <v>799</v>
      </c>
      <c r="I391" t="s">
        <v>37</v>
      </c>
      <c r="J391">
        <v>24</v>
      </c>
      <c r="K391">
        <v>277</v>
      </c>
      <c r="L391" t="str">
        <f t="shared" si="63"/>
        <v>521152</v>
      </c>
      <c r="M391" t="s">
        <v>1559</v>
      </c>
      <c r="N391" t="s">
        <v>1681</v>
      </c>
      <c r="O391" s="2">
        <v>46219.974965277775</v>
      </c>
      <c r="P391" s="2">
        <v>46219.974976851852</v>
      </c>
      <c r="Q391" s="2">
        <v>46219.974976851852</v>
      </c>
      <c r="R391" t="str">
        <f t="shared" si="68"/>
        <v>153000233</v>
      </c>
      <c r="S391" s="1">
        <v>47945</v>
      </c>
    </row>
    <row r="392" spans="1:19" x14ac:dyDescent="0.35">
      <c r="A392" t="s">
        <v>30</v>
      </c>
      <c r="B392" t="s">
        <v>31</v>
      </c>
      <c r="C392" t="s">
        <v>1825</v>
      </c>
      <c r="D392" t="str">
        <f t="shared" si="66"/>
        <v>2501717719</v>
      </c>
      <c r="E392" t="s">
        <v>1536</v>
      </c>
      <c r="F392" t="str">
        <f t="shared" si="67"/>
        <v>400426</v>
      </c>
      <c r="G392" t="s">
        <v>34</v>
      </c>
      <c r="H392" t="s">
        <v>795</v>
      </c>
      <c r="I392" t="s">
        <v>37</v>
      </c>
      <c r="J392">
        <v>24</v>
      </c>
      <c r="K392">
        <v>277</v>
      </c>
      <c r="L392" t="str">
        <f t="shared" si="63"/>
        <v>521152</v>
      </c>
      <c r="M392" t="s">
        <v>1559</v>
      </c>
      <c r="N392" t="s">
        <v>1681</v>
      </c>
      <c r="O392" s="2">
        <v>46219.974328703705</v>
      </c>
      <c r="P392" s="2">
        <v>46219.974328703705</v>
      </c>
      <c r="Q392" s="2">
        <v>46219.974328703705</v>
      </c>
      <c r="R392" t="str">
        <f t="shared" si="68"/>
        <v>153000233</v>
      </c>
      <c r="S392" s="1">
        <v>47945</v>
      </c>
    </row>
    <row r="393" spans="1:19" x14ac:dyDescent="0.35">
      <c r="A393" t="s">
        <v>30</v>
      </c>
      <c r="B393" t="s">
        <v>31</v>
      </c>
      <c r="C393" t="s">
        <v>1825</v>
      </c>
      <c r="D393" t="str">
        <f t="shared" si="66"/>
        <v>2501717719</v>
      </c>
      <c r="E393" t="s">
        <v>1536</v>
      </c>
      <c r="F393" t="str">
        <f t="shared" si="67"/>
        <v>400426</v>
      </c>
      <c r="G393" t="s">
        <v>34</v>
      </c>
      <c r="H393" t="s">
        <v>1234</v>
      </c>
      <c r="I393" t="s">
        <v>37</v>
      </c>
      <c r="J393">
        <v>24</v>
      </c>
      <c r="K393">
        <v>277</v>
      </c>
      <c r="L393" t="str">
        <f t="shared" si="63"/>
        <v>521152</v>
      </c>
      <c r="M393" t="s">
        <v>1559</v>
      </c>
      <c r="N393" t="s">
        <v>1681</v>
      </c>
      <c r="O393" s="2">
        <v>46219.973599537036</v>
      </c>
      <c r="P393" s="2">
        <v>46219.973599537036</v>
      </c>
      <c r="Q393" s="2">
        <v>46219.973599537036</v>
      </c>
      <c r="R393" t="str">
        <f t="shared" si="68"/>
        <v>153000233</v>
      </c>
      <c r="S393" s="1">
        <v>47945</v>
      </c>
    </row>
    <row r="394" spans="1:19" x14ac:dyDescent="0.35">
      <c r="A394" t="s">
        <v>30</v>
      </c>
      <c r="B394" t="s">
        <v>31</v>
      </c>
      <c r="C394" t="s">
        <v>1825</v>
      </c>
      <c r="D394" t="str">
        <f t="shared" si="66"/>
        <v>2501717719</v>
      </c>
      <c r="E394" t="s">
        <v>1536</v>
      </c>
      <c r="F394" t="str">
        <f t="shared" si="67"/>
        <v>400426</v>
      </c>
      <c r="G394" t="s">
        <v>34</v>
      </c>
      <c r="H394" t="s">
        <v>1232</v>
      </c>
      <c r="I394" t="s">
        <v>37</v>
      </c>
      <c r="J394">
        <v>24</v>
      </c>
      <c r="K394">
        <v>277</v>
      </c>
      <c r="L394" t="str">
        <f t="shared" si="63"/>
        <v>521152</v>
      </c>
      <c r="M394" t="s">
        <v>1559</v>
      </c>
      <c r="N394" t="s">
        <v>1681</v>
      </c>
      <c r="O394" s="2">
        <v>46219.972824074073</v>
      </c>
      <c r="P394" s="2">
        <v>46219.972824074073</v>
      </c>
      <c r="Q394" s="2">
        <v>46219.972824074073</v>
      </c>
      <c r="R394" t="str">
        <f t="shared" si="68"/>
        <v>153000233</v>
      </c>
      <c r="S394" s="1">
        <v>47945</v>
      </c>
    </row>
    <row r="395" spans="1:19" x14ac:dyDescent="0.35">
      <c r="A395" t="s">
        <v>30</v>
      </c>
      <c r="B395" t="s">
        <v>31</v>
      </c>
      <c r="C395" t="s">
        <v>1825</v>
      </c>
      <c r="D395" t="str">
        <f t="shared" si="66"/>
        <v>2501717719</v>
      </c>
      <c r="E395" t="s">
        <v>1536</v>
      </c>
      <c r="F395" t="str">
        <f t="shared" si="67"/>
        <v>400426</v>
      </c>
      <c r="G395" t="s">
        <v>34</v>
      </c>
      <c r="H395" t="s">
        <v>1845</v>
      </c>
      <c r="I395" t="s">
        <v>37</v>
      </c>
      <c r="J395">
        <v>24</v>
      </c>
      <c r="K395">
        <v>277</v>
      </c>
      <c r="L395" t="str">
        <f t="shared" si="63"/>
        <v>521152</v>
      </c>
      <c r="M395" t="s">
        <v>1559</v>
      </c>
      <c r="N395" t="s">
        <v>1681</v>
      </c>
      <c r="O395" s="2">
        <v>46219.971967592595</v>
      </c>
      <c r="P395" s="2">
        <v>46219.971967592595</v>
      </c>
      <c r="Q395" s="2">
        <v>46219.971967592595</v>
      </c>
      <c r="R395" t="str">
        <f t="shared" si="68"/>
        <v>153000233</v>
      </c>
      <c r="S395" s="1">
        <v>47945</v>
      </c>
    </row>
    <row r="396" spans="1:19" x14ac:dyDescent="0.35">
      <c r="A396" t="s">
        <v>30</v>
      </c>
      <c r="B396" t="s">
        <v>31</v>
      </c>
      <c r="C396" t="s">
        <v>1825</v>
      </c>
      <c r="D396" t="str">
        <f t="shared" si="66"/>
        <v>2501717719</v>
      </c>
      <c r="E396" t="s">
        <v>1536</v>
      </c>
      <c r="F396" t="str">
        <f t="shared" si="67"/>
        <v>400426</v>
      </c>
      <c r="G396" t="s">
        <v>34</v>
      </c>
      <c r="H396" t="s">
        <v>797</v>
      </c>
      <c r="I396" t="s">
        <v>37</v>
      </c>
      <c r="J396">
        <v>24</v>
      </c>
      <c r="K396">
        <v>277</v>
      </c>
      <c r="L396" t="str">
        <f t="shared" si="63"/>
        <v>521152</v>
      </c>
      <c r="M396" t="s">
        <v>1559</v>
      </c>
      <c r="N396" t="s">
        <v>1681</v>
      </c>
      <c r="O396" s="2">
        <v>46219.971342592595</v>
      </c>
      <c r="P396" s="2">
        <v>46219.971342592595</v>
      </c>
      <c r="Q396" s="2">
        <v>46219.971342592595</v>
      </c>
      <c r="R396" t="str">
        <f t="shared" si="68"/>
        <v>153000233</v>
      </c>
      <c r="S396" s="1">
        <v>47945</v>
      </c>
    </row>
    <row r="397" spans="1:19" x14ac:dyDescent="0.35">
      <c r="A397" t="s">
        <v>30</v>
      </c>
      <c r="B397" t="s">
        <v>31</v>
      </c>
      <c r="C397" t="s">
        <v>1825</v>
      </c>
      <c r="D397" t="str">
        <f t="shared" si="66"/>
        <v>2501717719</v>
      </c>
      <c r="E397" t="s">
        <v>1536</v>
      </c>
      <c r="F397" t="str">
        <f t="shared" si="67"/>
        <v>400426</v>
      </c>
      <c r="G397" t="s">
        <v>34</v>
      </c>
      <c r="H397" t="s">
        <v>793</v>
      </c>
      <c r="I397" t="s">
        <v>37</v>
      </c>
      <c r="J397">
        <v>24</v>
      </c>
      <c r="K397">
        <v>277</v>
      </c>
      <c r="L397" t="str">
        <f t="shared" si="63"/>
        <v>521152</v>
      </c>
      <c r="M397" t="s">
        <v>1559</v>
      </c>
      <c r="N397" t="s">
        <v>1681</v>
      </c>
      <c r="O397" s="2">
        <v>46219.970868055556</v>
      </c>
      <c r="P397" s="2">
        <v>46219.970868055556</v>
      </c>
      <c r="Q397" s="2">
        <v>46219.970868055556</v>
      </c>
      <c r="R397" t="str">
        <f t="shared" si="68"/>
        <v>153000233</v>
      </c>
      <c r="S397" s="1">
        <v>47945</v>
      </c>
    </row>
    <row r="398" spans="1:19" x14ac:dyDescent="0.35">
      <c r="A398" t="s">
        <v>30</v>
      </c>
      <c r="B398" t="s">
        <v>31</v>
      </c>
      <c r="C398" t="s">
        <v>1825</v>
      </c>
      <c r="D398" t="str">
        <f t="shared" si="66"/>
        <v>2501717719</v>
      </c>
      <c r="E398" t="s">
        <v>1536</v>
      </c>
      <c r="F398" t="str">
        <f t="shared" si="67"/>
        <v>400426</v>
      </c>
      <c r="G398" t="s">
        <v>34</v>
      </c>
      <c r="H398" t="s">
        <v>787</v>
      </c>
      <c r="I398" t="s">
        <v>37</v>
      </c>
      <c r="J398">
        <v>24</v>
      </c>
      <c r="K398">
        <v>277</v>
      </c>
      <c r="L398" t="str">
        <f t="shared" si="63"/>
        <v>521152</v>
      </c>
      <c r="M398" t="s">
        <v>1559</v>
      </c>
      <c r="N398" t="s">
        <v>1681</v>
      </c>
      <c r="O398" s="2">
        <v>46219.970347222225</v>
      </c>
      <c r="P398" s="2">
        <v>46219.970347222225</v>
      </c>
      <c r="Q398" s="2">
        <v>46219.970347222225</v>
      </c>
      <c r="R398" t="str">
        <f t="shared" si="68"/>
        <v>153000233</v>
      </c>
      <c r="S398" s="1">
        <v>47945</v>
      </c>
    </row>
    <row r="399" spans="1:19" x14ac:dyDescent="0.35">
      <c r="A399" t="s">
        <v>30</v>
      </c>
      <c r="B399" t="s">
        <v>31</v>
      </c>
      <c r="C399" t="s">
        <v>1825</v>
      </c>
      <c r="D399" t="str">
        <f t="shared" si="66"/>
        <v>2501717719</v>
      </c>
      <c r="E399" t="s">
        <v>1536</v>
      </c>
      <c r="F399" t="str">
        <f t="shared" si="67"/>
        <v>400426</v>
      </c>
      <c r="G399" t="s">
        <v>34</v>
      </c>
      <c r="H399" t="s">
        <v>789</v>
      </c>
      <c r="I399" t="s">
        <v>37</v>
      </c>
      <c r="J399">
        <v>24</v>
      </c>
      <c r="K399">
        <v>277</v>
      </c>
      <c r="L399" t="str">
        <f t="shared" si="63"/>
        <v>521152</v>
      </c>
      <c r="M399" t="s">
        <v>1559</v>
      </c>
      <c r="N399" t="s">
        <v>1681</v>
      </c>
      <c r="O399" s="2">
        <v>46219.969849537039</v>
      </c>
      <c r="P399" s="2">
        <v>46219.969849537039</v>
      </c>
      <c r="Q399" s="2">
        <v>46219.969849537039</v>
      </c>
      <c r="R399" t="str">
        <f t="shared" si="68"/>
        <v>153000233</v>
      </c>
      <c r="S399" s="1">
        <v>47945</v>
      </c>
    </row>
    <row r="400" spans="1:19" x14ac:dyDescent="0.35">
      <c r="A400" t="s">
        <v>30</v>
      </c>
      <c r="B400" t="s">
        <v>31</v>
      </c>
      <c r="C400" t="s">
        <v>1825</v>
      </c>
      <c r="D400" t="str">
        <f t="shared" si="66"/>
        <v>2501717719</v>
      </c>
      <c r="E400" t="s">
        <v>1536</v>
      </c>
      <c r="F400" t="str">
        <f t="shared" si="67"/>
        <v>400426</v>
      </c>
      <c r="G400" t="s">
        <v>34</v>
      </c>
      <c r="H400" t="s">
        <v>1846</v>
      </c>
      <c r="I400" t="s">
        <v>37</v>
      </c>
      <c r="J400">
        <v>24</v>
      </c>
      <c r="K400">
        <v>277</v>
      </c>
      <c r="L400" t="str">
        <f t="shared" si="63"/>
        <v>521152</v>
      </c>
      <c r="M400" t="s">
        <v>1559</v>
      </c>
      <c r="N400" t="s">
        <v>1681</v>
      </c>
      <c r="O400" s="2">
        <v>46219.969259259262</v>
      </c>
      <c r="P400" s="2">
        <v>46219.969259259262</v>
      </c>
      <c r="Q400" s="2">
        <v>46219.969259259262</v>
      </c>
      <c r="R400" t="str">
        <f t="shared" si="68"/>
        <v>153000233</v>
      </c>
      <c r="S400" s="1">
        <v>47945</v>
      </c>
    </row>
    <row r="401" spans="1:19" x14ac:dyDescent="0.35">
      <c r="A401" t="s">
        <v>30</v>
      </c>
      <c r="B401" t="s">
        <v>31</v>
      </c>
      <c r="C401" t="s">
        <v>1825</v>
      </c>
      <c r="D401" t="str">
        <f t="shared" si="66"/>
        <v>2501717719</v>
      </c>
      <c r="E401" t="s">
        <v>1536</v>
      </c>
      <c r="F401" t="str">
        <f t="shared" si="67"/>
        <v>400426</v>
      </c>
      <c r="G401" t="s">
        <v>34</v>
      </c>
      <c r="H401" t="s">
        <v>803</v>
      </c>
      <c r="I401" t="s">
        <v>37</v>
      </c>
      <c r="J401">
        <v>24</v>
      </c>
      <c r="K401">
        <v>277</v>
      </c>
      <c r="L401" t="str">
        <f t="shared" si="63"/>
        <v>521152</v>
      </c>
      <c r="M401" t="s">
        <v>1559</v>
      </c>
      <c r="N401" t="s">
        <v>1681</v>
      </c>
      <c r="O401" s="2">
        <v>46219.968541666669</v>
      </c>
      <c r="P401" s="2">
        <v>46219.968541666669</v>
      </c>
      <c r="Q401" s="2">
        <v>46219.968541666669</v>
      </c>
      <c r="R401" t="str">
        <f t="shared" si="68"/>
        <v>153000233</v>
      </c>
      <c r="S401" s="1">
        <v>47945</v>
      </c>
    </row>
    <row r="402" spans="1:19" x14ac:dyDescent="0.35">
      <c r="A402" t="s">
        <v>30</v>
      </c>
      <c r="B402" t="s">
        <v>31</v>
      </c>
      <c r="C402" t="s">
        <v>1825</v>
      </c>
      <c r="D402" t="str">
        <f t="shared" si="66"/>
        <v>2501717719</v>
      </c>
      <c r="E402" t="s">
        <v>1536</v>
      </c>
      <c r="F402" t="str">
        <f t="shared" si="67"/>
        <v>400426</v>
      </c>
      <c r="G402" t="s">
        <v>34</v>
      </c>
      <c r="H402" t="s">
        <v>836</v>
      </c>
      <c r="I402" t="s">
        <v>37</v>
      </c>
      <c r="J402">
        <v>24</v>
      </c>
      <c r="K402">
        <v>123</v>
      </c>
      <c r="L402" t="str">
        <f t="shared" si="63"/>
        <v>521152</v>
      </c>
      <c r="M402" t="s">
        <v>1559</v>
      </c>
      <c r="N402" t="s">
        <v>1681</v>
      </c>
      <c r="O402" s="2">
        <v>46219.967569444445</v>
      </c>
      <c r="P402" s="2">
        <v>46219.967569444445</v>
      </c>
      <c r="Q402" s="2">
        <v>46219.967569444445</v>
      </c>
      <c r="R402" t="str">
        <f t="shared" ref="R402:R407" si="69">"153000231"</f>
        <v>153000231</v>
      </c>
      <c r="S402" s="1">
        <v>47944</v>
      </c>
    </row>
    <row r="403" spans="1:19" x14ac:dyDescent="0.35">
      <c r="A403" t="s">
        <v>30</v>
      </c>
      <c r="B403" t="s">
        <v>31</v>
      </c>
      <c r="C403" t="s">
        <v>1825</v>
      </c>
      <c r="D403" t="str">
        <f t="shared" si="66"/>
        <v>2501717719</v>
      </c>
      <c r="E403" t="s">
        <v>1536</v>
      </c>
      <c r="F403" t="str">
        <f t="shared" si="67"/>
        <v>400426</v>
      </c>
      <c r="G403" t="s">
        <v>34</v>
      </c>
      <c r="H403" t="s">
        <v>807</v>
      </c>
      <c r="I403" t="s">
        <v>37</v>
      </c>
      <c r="J403">
        <v>24</v>
      </c>
      <c r="K403">
        <v>123</v>
      </c>
      <c r="L403" t="str">
        <f t="shared" si="63"/>
        <v>521152</v>
      </c>
      <c r="M403" t="s">
        <v>1559</v>
      </c>
      <c r="N403" t="s">
        <v>1681</v>
      </c>
      <c r="O403" s="2">
        <v>46219.967060185183</v>
      </c>
      <c r="P403" s="2">
        <v>46219.967060185183</v>
      </c>
      <c r="Q403" s="2">
        <v>46219.967060185183</v>
      </c>
      <c r="R403" t="str">
        <f t="shared" si="69"/>
        <v>153000231</v>
      </c>
      <c r="S403" s="1">
        <v>47944</v>
      </c>
    </row>
    <row r="404" spans="1:19" x14ac:dyDescent="0.35">
      <c r="A404" t="s">
        <v>30</v>
      </c>
      <c r="B404" t="s">
        <v>31</v>
      </c>
      <c r="C404" t="s">
        <v>1825</v>
      </c>
      <c r="D404" t="str">
        <f t="shared" si="66"/>
        <v>2501717719</v>
      </c>
      <c r="E404" t="s">
        <v>1536</v>
      </c>
      <c r="F404" t="str">
        <f t="shared" si="67"/>
        <v>400426</v>
      </c>
      <c r="G404" t="s">
        <v>34</v>
      </c>
      <c r="H404" t="s">
        <v>1847</v>
      </c>
      <c r="I404" t="s">
        <v>37</v>
      </c>
      <c r="J404">
        <v>24</v>
      </c>
      <c r="K404">
        <v>123</v>
      </c>
      <c r="L404" t="str">
        <f t="shared" si="63"/>
        <v>521152</v>
      </c>
      <c r="M404" t="s">
        <v>1559</v>
      </c>
      <c r="N404" t="s">
        <v>1681</v>
      </c>
      <c r="O404" s="2">
        <v>46219.966643518521</v>
      </c>
      <c r="P404" s="2">
        <v>46219.966643518521</v>
      </c>
      <c r="Q404" s="2">
        <v>46219.966643518521</v>
      </c>
      <c r="R404" t="str">
        <f t="shared" si="69"/>
        <v>153000231</v>
      </c>
      <c r="S404" s="1">
        <v>47944</v>
      </c>
    </row>
    <row r="405" spans="1:19" x14ac:dyDescent="0.35">
      <c r="A405" t="s">
        <v>30</v>
      </c>
      <c r="B405" t="s">
        <v>31</v>
      </c>
      <c r="C405" t="s">
        <v>1825</v>
      </c>
      <c r="D405" t="str">
        <f t="shared" si="66"/>
        <v>2501717719</v>
      </c>
      <c r="E405" t="s">
        <v>1536</v>
      </c>
      <c r="F405" t="str">
        <f t="shared" si="67"/>
        <v>400426</v>
      </c>
      <c r="G405" t="s">
        <v>34</v>
      </c>
      <c r="H405" t="s">
        <v>815</v>
      </c>
      <c r="I405" t="s">
        <v>37</v>
      </c>
      <c r="J405">
        <v>24</v>
      </c>
      <c r="K405">
        <v>123</v>
      </c>
      <c r="L405" t="str">
        <f t="shared" si="63"/>
        <v>521152</v>
      </c>
      <c r="M405" t="s">
        <v>1559</v>
      </c>
      <c r="N405" t="s">
        <v>1681</v>
      </c>
      <c r="O405" s="2">
        <v>46219.966099537036</v>
      </c>
      <c r="P405" s="2">
        <v>46219.966099537036</v>
      </c>
      <c r="Q405" s="2">
        <v>46219.966099537036</v>
      </c>
      <c r="R405" t="str">
        <f t="shared" si="69"/>
        <v>153000231</v>
      </c>
      <c r="S405" s="1">
        <v>47944</v>
      </c>
    </row>
    <row r="406" spans="1:19" x14ac:dyDescent="0.35">
      <c r="A406" t="s">
        <v>30</v>
      </c>
      <c r="B406" t="s">
        <v>31</v>
      </c>
      <c r="C406" t="s">
        <v>1825</v>
      </c>
      <c r="D406" t="str">
        <f t="shared" si="66"/>
        <v>2501717719</v>
      </c>
      <c r="E406" t="s">
        <v>1536</v>
      </c>
      <c r="F406" t="str">
        <f t="shared" si="67"/>
        <v>400426</v>
      </c>
      <c r="G406" t="s">
        <v>34</v>
      </c>
      <c r="H406" t="s">
        <v>1848</v>
      </c>
      <c r="I406" t="s">
        <v>37</v>
      </c>
      <c r="J406">
        <v>3</v>
      </c>
      <c r="K406">
        <v>123</v>
      </c>
      <c r="L406" t="str">
        <f t="shared" si="63"/>
        <v>521152</v>
      </c>
      <c r="M406" t="s">
        <v>1559</v>
      </c>
      <c r="N406" t="s">
        <v>1681</v>
      </c>
      <c r="O406" s="2">
        <v>46219.964641203704</v>
      </c>
      <c r="P406" s="2">
        <v>46219.964641203704</v>
      </c>
      <c r="Q406" s="2">
        <v>46219.964641203704</v>
      </c>
      <c r="R406" t="str">
        <f t="shared" si="69"/>
        <v>153000231</v>
      </c>
      <c r="S406" s="1">
        <v>47944</v>
      </c>
    </row>
    <row r="407" spans="1:19" x14ac:dyDescent="0.35">
      <c r="A407" t="s">
        <v>30</v>
      </c>
      <c r="B407" t="s">
        <v>31</v>
      </c>
      <c r="C407" t="s">
        <v>1825</v>
      </c>
      <c r="D407" t="str">
        <f t="shared" si="66"/>
        <v>2501717719</v>
      </c>
      <c r="E407" t="s">
        <v>1536</v>
      </c>
      <c r="F407" t="str">
        <f t="shared" si="67"/>
        <v>400426</v>
      </c>
      <c r="G407" t="s">
        <v>34</v>
      </c>
      <c r="H407" t="s">
        <v>1826</v>
      </c>
      <c r="I407" t="s">
        <v>37</v>
      </c>
      <c r="J407">
        <v>3</v>
      </c>
      <c r="K407">
        <v>123</v>
      </c>
      <c r="L407" t="str">
        <f t="shared" si="63"/>
        <v>521152</v>
      </c>
      <c r="M407" t="s">
        <v>1559</v>
      </c>
      <c r="N407" t="s">
        <v>1681</v>
      </c>
      <c r="O407" s="2">
        <v>46219.963622685187</v>
      </c>
      <c r="P407" s="2">
        <v>46219.963622685187</v>
      </c>
      <c r="Q407" s="2">
        <v>46219.963622685187</v>
      </c>
      <c r="R407" t="str">
        <f t="shared" si="69"/>
        <v>153000231</v>
      </c>
      <c r="S407" s="1">
        <v>47944</v>
      </c>
    </row>
    <row r="408" spans="1:19" x14ac:dyDescent="0.35">
      <c r="A408" t="s">
        <v>30</v>
      </c>
      <c r="B408" t="s">
        <v>31</v>
      </c>
      <c r="C408" t="s">
        <v>1849</v>
      </c>
      <c r="D408" t="str">
        <f>"2501717750"</f>
        <v>2501717750</v>
      </c>
      <c r="E408" t="s">
        <v>1536</v>
      </c>
      <c r="F408" t="str">
        <f>"401083"</f>
        <v>401083</v>
      </c>
      <c r="G408" t="s">
        <v>1850</v>
      </c>
      <c r="H408" t="s">
        <v>1851</v>
      </c>
      <c r="I408" t="s">
        <v>378</v>
      </c>
      <c r="J408">
        <v>1</v>
      </c>
      <c r="K408">
        <v>1</v>
      </c>
      <c r="L408" t="str">
        <f>"521115"</f>
        <v>521115</v>
      </c>
      <c r="M408" t="s">
        <v>1807</v>
      </c>
      <c r="N408" t="s">
        <v>1852</v>
      </c>
      <c r="O408" s="2">
        <v>46219.258912037039</v>
      </c>
      <c r="P408" s="2">
        <v>46219.258912037039</v>
      </c>
      <c r="Q408" s="2">
        <v>46219.258912037039</v>
      </c>
      <c r="R408" t="str">
        <f>"153000251"</f>
        <v>153000251</v>
      </c>
      <c r="S408" s="1">
        <v>47953</v>
      </c>
    </row>
    <row r="409" spans="1:19" x14ac:dyDescent="0.35">
      <c r="A409" t="s">
        <v>30</v>
      </c>
      <c r="B409" t="s">
        <v>31</v>
      </c>
      <c r="C409" t="s">
        <v>1853</v>
      </c>
      <c r="D409" t="str">
        <f>"2501717749"</f>
        <v>2501717749</v>
      </c>
      <c r="E409" t="s">
        <v>1536</v>
      </c>
      <c r="F409" t="str">
        <f>"401083"</f>
        <v>401083</v>
      </c>
      <c r="G409" t="s">
        <v>1850</v>
      </c>
      <c r="H409" t="s">
        <v>1851</v>
      </c>
      <c r="I409" t="s">
        <v>378</v>
      </c>
      <c r="J409">
        <v>2</v>
      </c>
      <c r="K409">
        <v>2</v>
      </c>
      <c r="L409" t="str">
        <f>"521115"</f>
        <v>521115</v>
      </c>
      <c r="M409" t="s">
        <v>1854</v>
      </c>
      <c r="N409" t="s">
        <v>1852</v>
      </c>
      <c r="O409" s="2">
        <v>46219.259108796294</v>
      </c>
      <c r="P409" s="2">
        <v>46219.259108796294</v>
      </c>
      <c r="Q409" s="2">
        <v>46219.259108796294</v>
      </c>
      <c r="R409" t="str">
        <f>"153000251"</f>
        <v>153000251</v>
      </c>
      <c r="S409" s="1">
        <v>47953</v>
      </c>
    </row>
    <row r="410" spans="1:19" x14ac:dyDescent="0.35">
      <c r="A410" t="s">
        <v>30</v>
      </c>
      <c r="B410" t="s">
        <v>31</v>
      </c>
      <c r="C410" t="s">
        <v>1855</v>
      </c>
      <c r="D410" t="str">
        <f>"2501717732"</f>
        <v>2501717732</v>
      </c>
      <c r="E410" t="s">
        <v>1536</v>
      </c>
      <c r="F410" t="str">
        <f>"400396"</f>
        <v>400396</v>
      </c>
      <c r="G410" t="s">
        <v>1750</v>
      </c>
      <c r="H410" t="s">
        <v>1214</v>
      </c>
      <c r="I410" t="s">
        <v>37</v>
      </c>
      <c r="J410">
        <v>2</v>
      </c>
      <c r="K410">
        <v>32</v>
      </c>
      <c r="L410" t="str">
        <f>"520824"</f>
        <v>520824</v>
      </c>
      <c r="M410" t="s">
        <v>1677</v>
      </c>
      <c r="N410" t="s">
        <v>1856</v>
      </c>
      <c r="O410" s="2">
        <v>46219.428715277776</v>
      </c>
      <c r="P410" s="2">
        <v>46219.428715277776</v>
      </c>
      <c r="Q410" s="2">
        <v>46219.428715277776</v>
      </c>
      <c r="R410" t="str">
        <f>"153000356"</f>
        <v>153000356</v>
      </c>
      <c r="S410" s="1">
        <v>48004</v>
      </c>
    </row>
    <row r="411" spans="1:19" x14ac:dyDescent="0.35">
      <c r="A411" t="s">
        <v>30</v>
      </c>
      <c r="B411" t="s">
        <v>31</v>
      </c>
      <c r="C411" t="s">
        <v>1855</v>
      </c>
      <c r="D411" t="str">
        <f>"2501717732"</f>
        <v>2501717732</v>
      </c>
      <c r="E411" t="s">
        <v>1536</v>
      </c>
      <c r="F411" t="str">
        <f>"400396"</f>
        <v>400396</v>
      </c>
      <c r="G411" t="s">
        <v>1750</v>
      </c>
      <c r="H411" t="s">
        <v>811</v>
      </c>
      <c r="I411" t="s">
        <v>37</v>
      </c>
      <c r="J411">
        <v>8</v>
      </c>
      <c r="K411">
        <v>32</v>
      </c>
      <c r="L411" t="str">
        <f>"520824"</f>
        <v>520824</v>
      </c>
      <c r="M411" t="s">
        <v>1677</v>
      </c>
      <c r="N411" t="s">
        <v>1856</v>
      </c>
      <c r="O411" s="2">
        <v>46219.428587962961</v>
      </c>
      <c r="P411" s="2">
        <v>46219.428587962961</v>
      </c>
      <c r="Q411" s="2">
        <v>46219.428587962961</v>
      </c>
      <c r="R411" t="str">
        <f>"153000356"</f>
        <v>153000356</v>
      </c>
      <c r="S411" s="1">
        <v>48004</v>
      </c>
    </row>
    <row r="412" spans="1:19" x14ac:dyDescent="0.35">
      <c r="A412" t="s">
        <v>30</v>
      </c>
      <c r="B412" t="s">
        <v>31</v>
      </c>
      <c r="C412" t="s">
        <v>1855</v>
      </c>
      <c r="D412" t="str">
        <f>"2501717732"</f>
        <v>2501717732</v>
      </c>
      <c r="E412" t="s">
        <v>1536</v>
      </c>
      <c r="F412" t="str">
        <f>"400396"</f>
        <v>400396</v>
      </c>
      <c r="G412" t="s">
        <v>1750</v>
      </c>
      <c r="H412" t="s">
        <v>813</v>
      </c>
      <c r="I412" t="s">
        <v>37</v>
      </c>
      <c r="J412">
        <v>22</v>
      </c>
      <c r="K412">
        <v>32</v>
      </c>
      <c r="L412" t="str">
        <f>"520824"</f>
        <v>520824</v>
      </c>
      <c r="M412" t="s">
        <v>1677</v>
      </c>
      <c r="N412" t="s">
        <v>1856</v>
      </c>
      <c r="O412" s="2">
        <v>46219.428402777776</v>
      </c>
      <c r="P412" s="2">
        <v>46219.428402777776</v>
      </c>
      <c r="Q412" s="2">
        <v>46219.428402777776</v>
      </c>
      <c r="R412" t="str">
        <f>"153000356"</f>
        <v>153000356</v>
      </c>
      <c r="S412" s="1">
        <v>48004</v>
      </c>
    </row>
    <row r="413" spans="1:19" x14ac:dyDescent="0.35">
      <c r="A413" t="s">
        <v>30</v>
      </c>
      <c r="B413" t="s">
        <v>31</v>
      </c>
      <c r="C413" t="s">
        <v>1857</v>
      </c>
      <c r="D413" t="str">
        <f>"2501717729"</f>
        <v>2501717729</v>
      </c>
      <c r="E413" t="s">
        <v>1536</v>
      </c>
      <c r="F413" t="str">
        <f>"400390"</f>
        <v>400390</v>
      </c>
      <c r="G413" t="s">
        <v>1706</v>
      </c>
      <c r="H413" t="s">
        <v>868</v>
      </c>
      <c r="I413" t="s">
        <v>37</v>
      </c>
      <c r="J413">
        <v>20</v>
      </c>
      <c r="K413">
        <v>20</v>
      </c>
      <c r="L413" t="str">
        <f>"521152"</f>
        <v>521152</v>
      </c>
      <c r="M413" t="s">
        <v>1807</v>
      </c>
      <c r="N413" t="s">
        <v>1681</v>
      </c>
      <c r="O413" s="2">
        <v>46217.975081018521</v>
      </c>
      <c r="P413" s="2">
        <v>46217.975081018521</v>
      </c>
      <c r="Q413" s="2">
        <v>46217.975081018521</v>
      </c>
      <c r="R413" t="str">
        <f>"153000370"</f>
        <v>153000370</v>
      </c>
      <c r="S413" s="1">
        <v>48007</v>
      </c>
    </row>
    <row r="414" spans="1:19" x14ac:dyDescent="0.35">
      <c r="A414" t="s">
        <v>30</v>
      </c>
      <c r="B414" t="s">
        <v>31</v>
      </c>
      <c r="C414" t="s">
        <v>1857</v>
      </c>
      <c r="D414" t="str">
        <f>"2501717729"</f>
        <v>2501717729</v>
      </c>
      <c r="E414" t="s">
        <v>1536</v>
      </c>
      <c r="F414" t="str">
        <f>"400477"</f>
        <v>400477</v>
      </c>
      <c r="G414" t="s">
        <v>1842</v>
      </c>
      <c r="H414" t="s">
        <v>870</v>
      </c>
      <c r="I414" t="s">
        <v>37</v>
      </c>
      <c r="J414">
        <v>23</v>
      </c>
      <c r="K414">
        <v>30</v>
      </c>
      <c r="L414" t="str">
        <f>"521152"</f>
        <v>521152</v>
      </c>
      <c r="M414" t="s">
        <v>1807</v>
      </c>
      <c r="N414" t="s">
        <v>1681</v>
      </c>
      <c r="O414" s="2">
        <v>46217.97452546296</v>
      </c>
      <c r="P414" s="2">
        <v>46217.97452546296</v>
      </c>
      <c r="Q414" s="2">
        <v>46217.97452546296</v>
      </c>
      <c r="R414" t="str">
        <f>"153000219"</f>
        <v>153000219</v>
      </c>
      <c r="S414" s="1">
        <v>47935</v>
      </c>
    </row>
    <row r="415" spans="1:19" x14ac:dyDescent="0.35">
      <c r="A415" t="s">
        <v>30</v>
      </c>
      <c r="B415" t="s">
        <v>31</v>
      </c>
      <c r="C415" t="s">
        <v>1857</v>
      </c>
      <c r="D415" t="str">
        <f>"2501717729"</f>
        <v>2501717729</v>
      </c>
      <c r="E415" t="s">
        <v>1536</v>
      </c>
      <c r="F415" t="str">
        <f>"400477"</f>
        <v>400477</v>
      </c>
      <c r="G415" t="s">
        <v>1842</v>
      </c>
      <c r="H415" t="s">
        <v>1514</v>
      </c>
      <c r="I415" t="s">
        <v>37</v>
      </c>
      <c r="J415">
        <v>7</v>
      </c>
      <c r="K415">
        <v>30</v>
      </c>
      <c r="L415" t="str">
        <f>"521152"</f>
        <v>521152</v>
      </c>
      <c r="M415" t="s">
        <v>1807</v>
      </c>
      <c r="N415" t="s">
        <v>1681</v>
      </c>
      <c r="O415" s="2">
        <v>46217.974224537036</v>
      </c>
      <c r="P415" s="2">
        <v>46217.974224537036</v>
      </c>
      <c r="Q415" s="2">
        <v>46217.974224537036</v>
      </c>
      <c r="R415" t="str">
        <f>"153000219"</f>
        <v>153000219</v>
      </c>
      <c r="S415" s="1">
        <v>47935</v>
      </c>
    </row>
    <row r="416" spans="1:19" x14ac:dyDescent="0.35">
      <c r="A416" t="s">
        <v>30</v>
      </c>
      <c r="B416" t="s">
        <v>31</v>
      </c>
      <c r="C416" t="s">
        <v>1858</v>
      </c>
      <c r="D416" t="str">
        <f>"2501717722"</f>
        <v>2501717722</v>
      </c>
      <c r="E416" t="s">
        <v>1536</v>
      </c>
      <c r="F416" t="str">
        <f>"400477"</f>
        <v>400477</v>
      </c>
      <c r="G416" t="s">
        <v>1842</v>
      </c>
      <c r="H416" t="s">
        <v>1514</v>
      </c>
      <c r="I416" t="s">
        <v>37</v>
      </c>
      <c r="J416">
        <v>45</v>
      </c>
      <c r="K416">
        <v>74</v>
      </c>
      <c r="L416" t="str">
        <f>"521195"</f>
        <v>521195</v>
      </c>
      <c r="M416" t="s">
        <v>1859</v>
      </c>
      <c r="N416" t="s">
        <v>1634</v>
      </c>
      <c r="O416" s="2">
        <v>46217.973692129628</v>
      </c>
      <c r="P416" s="2">
        <v>46217.973692129628</v>
      </c>
      <c r="Q416" s="2">
        <v>46217.973692129628</v>
      </c>
      <c r="R416" t="str">
        <f>"153000219"</f>
        <v>153000219</v>
      </c>
      <c r="S416" s="1">
        <v>47935</v>
      </c>
    </row>
    <row r="417" spans="1:19" x14ac:dyDescent="0.35">
      <c r="A417" t="s">
        <v>30</v>
      </c>
      <c r="B417" t="s">
        <v>31</v>
      </c>
      <c r="C417" t="s">
        <v>1858</v>
      </c>
      <c r="D417" t="str">
        <f>"2501717722"</f>
        <v>2501717722</v>
      </c>
      <c r="E417" t="s">
        <v>1536</v>
      </c>
      <c r="F417" t="str">
        <f>"400477"</f>
        <v>400477</v>
      </c>
      <c r="G417" t="s">
        <v>1842</v>
      </c>
      <c r="H417" t="s">
        <v>1606</v>
      </c>
      <c r="I417" t="s">
        <v>37</v>
      </c>
      <c r="J417">
        <v>29</v>
      </c>
      <c r="K417">
        <v>74</v>
      </c>
      <c r="L417" t="str">
        <f>"521195"</f>
        <v>521195</v>
      </c>
      <c r="M417" t="s">
        <v>1859</v>
      </c>
      <c r="N417" t="s">
        <v>1634</v>
      </c>
      <c r="O417" s="2">
        <v>46217.973298611112</v>
      </c>
      <c r="P417" s="2">
        <v>46217.973298611112</v>
      </c>
      <c r="Q417" s="2">
        <v>46217.973298611112</v>
      </c>
      <c r="R417" t="str">
        <f>"153000219"</f>
        <v>153000219</v>
      </c>
      <c r="S417" s="1">
        <v>47935</v>
      </c>
    </row>
    <row r="418" spans="1:19" x14ac:dyDescent="0.35">
      <c r="A418" t="s">
        <v>30</v>
      </c>
      <c r="B418" t="s">
        <v>31</v>
      </c>
      <c r="C418" t="s">
        <v>1860</v>
      </c>
      <c r="D418" t="str">
        <f>"2501717717"</f>
        <v>2501717717</v>
      </c>
      <c r="E418" t="s">
        <v>1536</v>
      </c>
      <c r="F418" t="str">
        <f>"400405"</f>
        <v>400405</v>
      </c>
      <c r="G418" t="s">
        <v>519</v>
      </c>
      <c r="H418" t="s">
        <v>582</v>
      </c>
      <c r="I418" t="s">
        <v>37</v>
      </c>
      <c r="J418">
        <v>15</v>
      </c>
      <c r="K418">
        <v>15</v>
      </c>
      <c r="L418" t="str">
        <f>"521161"</f>
        <v>521161</v>
      </c>
      <c r="M418" t="s">
        <v>1861</v>
      </c>
      <c r="N418" t="s">
        <v>1556</v>
      </c>
      <c r="O418" s="2">
        <v>46217.975682870368</v>
      </c>
      <c r="P418" s="2">
        <v>46217.975682870368</v>
      </c>
      <c r="Q418" s="2">
        <v>46217.975682870368</v>
      </c>
      <c r="R418" t="str">
        <f>"153000440"</f>
        <v>153000440</v>
      </c>
      <c r="S418" s="1">
        <v>48036</v>
      </c>
    </row>
    <row r="419" spans="1:19" x14ac:dyDescent="0.35">
      <c r="A419" t="s">
        <v>30</v>
      </c>
      <c r="B419" t="s">
        <v>31</v>
      </c>
      <c r="C419" t="s">
        <v>1862</v>
      </c>
      <c r="D419" t="str">
        <f t="shared" ref="D419:D433" si="70">"2501717699"</f>
        <v>2501717699</v>
      </c>
      <c r="E419" t="s">
        <v>1536</v>
      </c>
      <c r="F419" t="str">
        <f>"400920"</f>
        <v>400920</v>
      </c>
      <c r="G419" t="s">
        <v>1829</v>
      </c>
      <c r="H419" t="s">
        <v>1830</v>
      </c>
      <c r="I419" t="s">
        <v>37</v>
      </c>
      <c r="J419">
        <v>2</v>
      </c>
      <c r="K419">
        <v>8</v>
      </c>
      <c r="L419" t="str">
        <f t="shared" ref="L419:L433" si="71">"521182"</f>
        <v>521182</v>
      </c>
      <c r="M419" t="s">
        <v>1863</v>
      </c>
      <c r="N419" t="s">
        <v>1864</v>
      </c>
      <c r="O419" s="2">
        <v>46215.694224537037</v>
      </c>
      <c r="P419" s="2">
        <v>46215.694224537037</v>
      </c>
      <c r="Q419" s="2">
        <v>46215.694224537037</v>
      </c>
      <c r="R419" t="str">
        <f>"100011191"</f>
        <v>100011191</v>
      </c>
      <c r="S419" s="1">
        <v>47841</v>
      </c>
    </row>
    <row r="420" spans="1:19" x14ac:dyDescent="0.35">
      <c r="A420" t="s">
        <v>30</v>
      </c>
      <c r="B420" t="s">
        <v>31</v>
      </c>
      <c r="C420" t="s">
        <v>1862</v>
      </c>
      <c r="D420" t="str">
        <f t="shared" si="70"/>
        <v>2501717699</v>
      </c>
      <c r="E420" t="s">
        <v>1536</v>
      </c>
      <c r="F420" t="str">
        <f>"400920"</f>
        <v>400920</v>
      </c>
      <c r="G420" t="s">
        <v>1829</v>
      </c>
      <c r="H420" t="s">
        <v>1865</v>
      </c>
      <c r="I420" t="s">
        <v>37</v>
      </c>
      <c r="J420">
        <v>6</v>
      </c>
      <c r="K420">
        <v>8</v>
      </c>
      <c r="L420" t="str">
        <f t="shared" si="71"/>
        <v>521182</v>
      </c>
      <c r="M420" t="s">
        <v>1863</v>
      </c>
      <c r="N420" t="s">
        <v>1864</v>
      </c>
      <c r="O420" s="2">
        <v>46215.693298611113</v>
      </c>
      <c r="P420" s="2">
        <v>46215.693298611113</v>
      </c>
      <c r="Q420" s="2">
        <v>46215.693298611113</v>
      </c>
      <c r="R420" t="str">
        <f>"100011191"</f>
        <v>100011191</v>
      </c>
      <c r="S420" s="1">
        <v>47841</v>
      </c>
    </row>
    <row r="421" spans="1:19" x14ac:dyDescent="0.35">
      <c r="A421" t="s">
        <v>30</v>
      </c>
      <c r="B421" t="s">
        <v>31</v>
      </c>
      <c r="C421" t="s">
        <v>1862</v>
      </c>
      <c r="D421" t="str">
        <f t="shared" si="70"/>
        <v>2501717699</v>
      </c>
      <c r="E421" t="s">
        <v>1536</v>
      </c>
      <c r="F421" t="str">
        <f>"400426"</f>
        <v>400426</v>
      </c>
      <c r="G421" t="s">
        <v>34</v>
      </c>
      <c r="H421" t="s">
        <v>1848</v>
      </c>
      <c r="I421" t="s">
        <v>37</v>
      </c>
      <c r="J421">
        <v>15</v>
      </c>
      <c r="K421">
        <v>15</v>
      </c>
      <c r="L421" t="str">
        <f t="shared" si="71"/>
        <v>521182</v>
      </c>
      <c r="M421" t="s">
        <v>1863</v>
      </c>
      <c r="N421" t="s">
        <v>1864</v>
      </c>
      <c r="O421" s="2">
        <v>46215.692013888889</v>
      </c>
      <c r="P421" s="2">
        <v>46215.692013888889</v>
      </c>
      <c r="Q421" s="2">
        <v>46215.692013888889</v>
      </c>
      <c r="R421" t="str">
        <f>"153000231"</f>
        <v>153000231</v>
      </c>
      <c r="S421" s="1">
        <v>47944</v>
      </c>
    </row>
    <row r="422" spans="1:19" x14ac:dyDescent="0.35">
      <c r="A422" t="s">
        <v>30</v>
      </c>
      <c r="B422" t="s">
        <v>31</v>
      </c>
      <c r="C422" t="s">
        <v>1862</v>
      </c>
      <c r="D422" t="str">
        <f t="shared" si="70"/>
        <v>2501717699</v>
      </c>
      <c r="E422" t="s">
        <v>1536</v>
      </c>
      <c r="F422" t="str">
        <f>"400477"</f>
        <v>400477</v>
      </c>
      <c r="G422" t="s">
        <v>1842</v>
      </c>
      <c r="H422" t="s">
        <v>1606</v>
      </c>
      <c r="I422" t="s">
        <v>37</v>
      </c>
      <c r="J422">
        <v>10</v>
      </c>
      <c r="K422">
        <v>10</v>
      </c>
      <c r="L422" t="str">
        <f t="shared" si="71"/>
        <v>521182</v>
      </c>
      <c r="M422" t="s">
        <v>1863</v>
      </c>
      <c r="N422" t="s">
        <v>1864</v>
      </c>
      <c r="O422" s="2">
        <v>46215.689016203702</v>
      </c>
      <c r="P422" s="2">
        <v>46215.689016203702</v>
      </c>
      <c r="Q422" s="2">
        <v>46215.689016203702</v>
      </c>
      <c r="R422" t="str">
        <f>"153000219"</f>
        <v>153000219</v>
      </c>
      <c r="S422" s="1">
        <v>47935</v>
      </c>
    </row>
    <row r="423" spans="1:19" x14ac:dyDescent="0.35">
      <c r="A423" t="s">
        <v>30</v>
      </c>
      <c r="B423" t="s">
        <v>31</v>
      </c>
      <c r="C423" t="s">
        <v>1862</v>
      </c>
      <c r="D423" t="str">
        <f t="shared" si="70"/>
        <v>2501717699</v>
      </c>
      <c r="E423" t="s">
        <v>1536</v>
      </c>
      <c r="F423" t="str">
        <f>"400474"</f>
        <v>400474</v>
      </c>
      <c r="G423" t="s">
        <v>1689</v>
      </c>
      <c r="H423" t="s">
        <v>785</v>
      </c>
      <c r="I423" t="s">
        <v>37</v>
      </c>
      <c r="J423">
        <v>6</v>
      </c>
      <c r="K423">
        <v>10</v>
      </c>
      <c r="L423" t="str">
        <f t="shared" si="71"/>
        <v>521182</v>
      </c>
      <c r="M423" t="s">
        <v>1863</v>
      </c>
      <c r="N423" t="s">
        <v>1864</v>
      </c>
      <c r="O423" s="2">
        <v>46215.686331018522</v>
      </c>
      <c r="P423" s="2">
        <v>46215.686331018522</v>
      </c>
      <c r="Q423" s="2">
        <v>46215.686331018522</v>
      </c>
      <c r="R423" t="str">
        <f>"153000218"</f>
        <v>153000218</v>
      </c>
      <c r="S423" s="1">
        <v>47936</v>
      </c>
    </row>
    <row r="424" spans="1:19" x14ac:dyDescent="0.35">
      <c r="A424" t="s">
        <v>30</v>
      </c>
      <c r="B424" t="s">
        <v>31</v>
      </c>
      <c r="C424" t="s">
        <v>1862</v>
      </c>
      <c r="D424" t="str">
        <f t="shared" si="70"/>
        <v>2501717699</v>
      </c>
      <c r="E424" t="s">
        <v>1536</v>
      </c>
      <c r="F424" t="str">
        <f>"400474"</f>
        <v>400474</v>
      </c>
      <c r="G424" t="s">
        <v>1689</v>
      </c>
      <c r="H424" t="s">
        <v>589</v>
      </c>
      <c r="I424" t="s">
        <v>37</v>
      </c>
      <c r="J424">
        <v>4</v>
      </c>
      <c r="K424">
        <v>10</v>
      </c>
      <c r="L424" t="str">
        <f t="shared" si="71"/>
        <v>521182</v>
      </c>
      <c r="M424" t="s">
        <v>1863</v>
      </c>
      <c r="N424" t="s">
        <v>1864</v>
      </c>
      <c r="O424" s="2">
        <v>46215.685162037036</v>
      </c>
      <c r="P424" s="2">
        <v>46215.685162037036</v>
      </c>
      <c r="Q424" s="2">
        <v>46215.685162037036</v>
      </c>
      <c r="R424" t="str">
        <f>"153000218"</f>
        <v>153000218</v>
      </c>
      <c r="S424" s="1">
        <v>47936</v>
      </c>
    </row>
    <row r="425" spans="1:19" x14ac:dyDescent="0.35">
      <c r="A425" t="s">
        <v>30</v>
      </c>
      <c r="B425" t="s">
        <v>31</v>
      </c>
      <c r="C425" t="s">
        <v>1862</v>
      </c>
      <c r="D425" t="str">
        <f t="shared" si="70"/>
        <v>2501717699</v>
      </c>
      <c r="E425" t="s">
        <v>1536</v>
      </c>
      <c r="F425" t="str">
        <f>"400390"</f>
        <v>400390</v>
      </c>
      <c r="G425" t="s">
        <v>1706</v>
      </c>
      <c r="H425" t="s">
        <v>868</v>
      </c>
      <c r="I425" t="s">
        <v>37</v>
      </c>
      <c r="J425">
        <v>4</v>
      </c>
      <c r="K425">
        <v>4</v>
      </c>
      <c r="L425" t="str">
        <f t="shared" si="71"/>
        <v>521182</v>
      </c>
      <c r="M425" t="s">
        <v>1863</v>
      </c>
      <c r="N425" t="s">
        <v>1864</v>
      </c>
      <c r="O425" s="2">
        <v>46215.683587962965</v>
      </c>
      <c r="P425" s="2">
        <v>46215.683587962965</v>
      </c>
      <c r="Q425" s="2">
        <v>46215.683587962965</v>
      </c>
      <c r="R425" t="str">
        <f>"153000370"</f>
        <v>153000370</v>
      </c>
      <c r="S425" s="1">
        <v>48007</v>
      </c>
    </row>
    <row r="426" spans="1:19" x14ac:dyDescent="0.35">
      <c r="A426" t="s">
        <v>30</v>
      </c>
      <c r="B426" t="s">
        <v>31</v>
      </c>
      <c r="C426" t="s">
        <v>1862</v>
      </c>
      <c r="D426" t="str">
        <f t="shared" si="70"/>
        <v>2501717699</v>
      </c>
      <c r="E426" t="s">
        <v>1536</v>
      </c>
      <c r="F426" t="str">
        <f>"400390"</f>
        <v>400390</v>
      </c>
      <c r="G426" t="s">
        <v>1706</v>
      </c>
      <c r="H426" t="s">
        <v>1228</v>
      </c>
      <c r="I426" t="s">
        <v>37</v>
      </c>
      <c r="J426">
        <v>11</v>
      </c>
      <c r="K426">
        <v>11</v>
      </c>
      <c r="L426" t="str">
        <f t="shared" si="71"/>
        <v>521182</v>
      </c>
      <c r="M426" t="s">
        <v>1863</v>
      </c>
      <c r="N426" t="s">
        <v>1864</v>
      </c>
      <c r="O426" s="2">
        <v>46215.682604166665</v>
      </c>
      <c r="P426" s="2">
        <v>46215.682604166665</v>
      </c>
      <c r="Q426" s="2">
        <v>46215.682604166665</v>
      </c>
      <c r="R426" t="str">
        <f>"153000291"</f>
        <v>153000291</v>
      </c>
      <c r="S426" s="1">
        <v>47973</v>
      </c>
    </row>
    <row r="427" spans="1:19" x14ac:dyDescent="0.35">
      <c r="A427" t="s">
        <v>30</v>
      </c>
      <c r="B427" t="s">
        <v>31</v>
      </c>
      <c r="C427" t="s">
        <v>1862</v>
      </c>
      <c r="D427" t="str">
        <f t="shared" si="70"/>
        <v>2501717699</v>
      </c>
      <c r="E427" t="s">
        <v>1536</v>
      </c>
      <c r="F427" t="str">
        <f>"400936"</f>
        <v>400936</v>
      </c>
      <c r="G427" t="s">
        <v>1866</v>
      </c>
      <c r="H427" t="s">
        <v>1867</v>
      </c>
      <c r="I427" t="s">
        <v>37</v>
      </c>
      <c r="J427">
        <v>10</v>
      </c>
      <c r="K427">
        <v>10</v>
      </c>
      <c r="L427" t="str">
        <f t="shared" si="71"/>
        <v>521182</v>
      </c>
      <c r="M427" t="s">
        <v>1863</v>
      </c>
      <c r="N427" t="s">
        <v>1864</v>
      </c>
      <c r="O427" s="2">
        <v>46215.680254629631</v>
      </c>
      <c r="P427" s="2">
        <v>46215.680254629631</v>
      </c>
      <c r="Q427" s="2">
        <v>46215.680254629631</v>
      </c>
      <c r="R427" t="str">
        <f>"153000341"</f>
        <v>153000341</v>
      </c>
      <c r="S427" s="1">
        <v>47987</v>
      </c>
    </row>
    <row r="428" spans="1:19" x14ac:dyDescent="0.35">
      <c r="A428" t="s">
        <v>30</v>
      </c>
      <c r="B428" t="s">
        <v>31</v>
      </c>
      <c r="C428" t="s">
        <v>1862</v>
      </c>
      <c r="D428" t="str">
        <f t="shared" si="70"/>
        <v>2501717699</v>
      </c>
      <c r="E428" t="s">
        <v>1536</v>
      </c>
      <c r="F428" t="str">
        <f>"400396"</f>
        <v>400396</v>
      </c>
      <c r="G428" t="s">
        <v>1750</v>
      </c>
      <c r="H428" t="s">
        <v>813</v>
      </c>
      <c r="I428" t="s">
        <v>37</v>
      </c>
      <c r="J428">
        <v>30</v>
      </c>
      <c r="K428">
        <v>30</v>
      </c>
      <c r="L428" t="str">
        <f t="shared" si="71"/>
        <v>521182</v>
      </c>
      <c r="M428" t="s">
        <v>1863</v>
      </c>
      <c r="N428" t="s">
        <v>1864</v>
      </c>
      <c r="O428" s="2">
        <v>46215.673715277779</v>
      </c>
      <c r="P428" s="2">
        <v>46215.673715277779</v>
      </c>
      <c r="Q428" s="2">
        <v>46215.673715277779</v>
      </c>
      <c r="R428" t="str">
        <f>"153000356"</f>
        <v>153000356</v>
      </c>
      <c r="S428" s="1">
        <v>48004</v>
      </c>
    </row>
    <row r="429" spans="1:19" x14ac:dyDescent="0.35">
      <c r="A429" t="s">
        <v>30</v>
      </c>
      <c r="B429" t="s">
        <v>31</v>
      </c>
      <c r="C429" t="s">
        <v>1862</v>
      </c>
      <c r="D429" t="str">
        <f t="shared" si="70"/>
        <v>2501717699</v>
      </c>
      <c r="E429" t="s">
        <v>1536</v>
      </c>
      <c r="F429" t="str">
        <f>"400937"</f>
        <v>400937</v>
      </c>
      <c r="G429" t="s">
        <v>1868</v>
      </c>
      <c r="H429" t="s">
        <v>1869</v>
      </c>
      <c r="I429" t="s">
        <v>37</v>
      </c>
      <c r="J429">
        <v>10</v>
      </c>
      <c r="K429">
        <v>10</v>
      </c>
      <c r="L429" t="str">
        <f t="shared" si="71"/>
        <v>521182</v>
      </c>
      <c r="M429" t="s">
        <v>1863</v>
      </c>
      <c r="N429" t="s">
        <v>1864</v>
      </c>
      <c r="O429" s="2">
        <v>46215.669166666667</v>
      </c>
      <c r="P429" s="2">
        <v>46215.669166666667</v>
      </c>
      <c r="Q429" s="2">
        <v>46215.669166666667</v>
      </c>
      <c r="R429" t="str">
        <f>"100008214"</f>
        <v>100008214</v>
      </c>
      <c r="S429" s="1">
        <v>47561</v>
      </c>
    </row>
    <row r="430" spans="1:19" x14ac:dyDescent="0.35">
      <c r="A430" t="s">
        <v>30</v>
      </c>
      <c r="B430" t="s">
        <v>31</v>
      </c>
      <c r="C430" t="s">
        <v>1862</v>
      </c>
      <c r="D430" t="str">
        <f t="shared" si="70"/>
        <v>2501717699</v>
      </c>
      <c r="E430" t="s">
        <v>1536</v>
      </c>
      <c r="F430" t="str">
        <f>"400413"</f>
        <v>400413</v>
      </c>
      <c r="G430" t="s">
        <v>1545</v>
      </c>
      <c r="H430" t="s">
        <v>757</v>
      </c>
      <c r="I430" t="s">
        <v>37</v>
      </c>
      <c r="J430">
        <v>6</v>
      </c>
      <c r="K430">
        <v>30</v>
      </c>
      <c r="L430" t="str">
        <f t="shared" si="71"/>
        <v>521182</v>
      </c>
      <c r="M430" t="s">
        <v>1863</v>
      </c>
      <c r="N430" t="s">
        <v>1864</v>
      </c>
      <c r="O430" s="2">
        <v>46215.651238425926</v>
      </c>
      <c r="P430" s="2">
        <v>46215.651238425926</v>
      </c>
      <c r="Q430" s="2">
        <v>46215.651238425926</v>
      </c>
      <c r="R430" t="str">
        <f>"153000376"</f>
        <v>153000376</v>
      </c>
      <c r="S430" s="1">
        <v>48008</v>
      </c>
    </row>
    <row r="431" spans="1:19" x14ac:dyDescent="0.35">
      <c r="A431" t="s">
        <v>30</v>
      </c>
      <c r="B431" t="s">
        <v>31</v>
      </c>
      <c r="C431" t="s">
        <v>1862</v>
      </c>
      <c r="D431" t="str">
        <f t="shared" si="70"/>
        <v>2501717699</v>
      </c>
      <c r="E431" t="s">
        <v>1536</v>
      </c>
      <c r="F431" t="str">
        <f>"400413"</f>
        <v>400413</v>
      </c>
      <c r="G431" t="s">
        <v>1545</v>
      </c>
      <c r="H431" t="s">
        <v>584</v>
      </c>
      <c r="I431" t="s">
        <v>37</v>
      </c>
      <c r="J431">
        <v>24</v>
      </c>
      <c r="K431">
        <v>30</v>
      </c>
      <c r="L431" t="str">
        <f t="shared" si="71"/>
        <v>521182</v>
      </c>
      <c r="M431" t="s">
        <v>1863</v>
      </c>
      <c r="N431" t="s">
        <v>1864</v>
      </c>
      <c r="O431" s="2">
        <v>46215.648611111108</v>
      </c>
      <c r="P431" s="2">
        <v>46215.648611111108</v>
      </c>
      <c r="Q431" s="2">
        <v>46215.648611111108</v>
      </c>
      <c r="R431" t="str">
        <f>"153000376"</f>
        <v>153000376</v>
      </c>
      <c r="S431" s="1">
        <v>48008</v>
      </c>
    </row>
    <row r="432" spans="1:19" x14ac:dyDescent="0.35">
      <c r="A432" t="s">
        <v>30</v>
      </c>
      <c r="B432" t="s">
        <v>31</v>
      </c>
      <c r="C432" t="s">
        <v>1862</v>
      </c>
      <c r="D432" t="str">
        <f t="shared" si="70"/>
        <v>2501717699</v>
      </c>
      <c r="E432" t="s">
        <v>1536</v>
      </c>
      <c r="F432" t="str">
        <f>"400393"</f>
        <v>400393</v>
      </c>
      <c r="G432" t="s">
        <v>1603</v>
      </c>
      <c r="H432" t="s">
        <v>591</v>
      </c>
      <c r="I432" t="s">
        <v>37</v>
      </c>
      <c r="J432">
        <v>10</v>
      </c>
      <c r="K432">
        <v>10</v>
      </c>
      <c r="L432" t="str">
        <f t="shared" si="71"/>
        <v>521182</v>
      </c>
      <c r="M432" t="s">
        <v>1863</v>
      </c>
      <c r="N432" t="s">
        <v>1864</v>
      </c>
      <c r="O432" s="2">
        <v>46215.647800925923</v>
      </c>
      <c r="P432" s="2">
        <v>46215.647812499999</v>
      </c>
      <c r="Q432" s="2">
        <v>46215.647812499999</v>
      </c>
      <c r="R432" t="str">
        <f>"153000215"</f>
        <v>153000215</v>
      </c>
      <c r="S432" s="1">
        <v>47934</v>
      </c>
    </row>
    <row r="433" spans="1:19" x14ac:dyDescent="0.35">
      <c r="A433" t="s">
        <v>30</v>
      </c>
      <c r="B433" t="s">
        <v>31</v>
      </c>
      <c r="C433" t="s">
        <v>1862</v>
      </c>
      <c r="D433" t="str">
        <f t="shared" si="70"/>
        <v>2501717699</v>
      </c>
      <c r="E433" t="s">
        <v>1536</v>
      </c>
      <c r="F433" t="str">
        <f>"400405"</f>
        <v>400405</v>
      </c>
      <c r="G433" t="s">
        <v>519</v>
      </c>
      <c r="H433" t="s">
        <v>582</v>
      </c>
      <c r="I433" t="s">
        <v>37</v>
      </c>
      <c r="J433">
        <v>20</v>
      </c>
      <c r="K433">
        <v>20</v>
      </c>
      <c r="L433" t="str">
        <f t="shared" si="71"/>
        <v>521182</v>
      </c>
      <c r="M433" t="s">
        <v>1863</v>
      </c>
      <c r="N433" t="s">
        <v>1864</v>
      </c>
      <c r="O433" s="2">
        <v>46215.665752314817</v>
      </c>
      <c r="P433" s="2">
        <v>46215.665752314817</v>
      </c>
      <c r="Q433" s="2">
        <v>46215.665752314817</v>
      </c>
      <c r="R433" t="str">
        <f>"153000440"</f>
        <v>153000440</v>
      </c>
      <c r="S433" s="1">
        <v>48036</v>
      </c>
    </row>
    <row r="434" spans="1:19" x14ac:dyDescent="0.35">
      <c r="A434" t="s">
        <v>30</v>
      </c>
      <c r="B434" t="s">
        <v>31</v>
      </c>
      <c r="C434" t="s">
        <v>1870</v>
      </c>
      <c r="D434" t="str">
        <f>"2501717695"</f>
        <v>2501717695</v>
      </c>
      <c r="E434" t="s">
        <v>1536</v>
      </c>
      <c r="F434" t="str">
        <f>"400405"</f>
        <v>400405</v>
      </c>
      <c r="G434" t="s">
        <v>519</v>
      </c>
      <c r="H434" t="s">
        <v>582</v>
      </c>
      <c r="I434" t="s">
        <v>37</v>
      </c>
      <c r="J434">
        <v>4</v>
      </c>
      <c r="K434">
        <v>52</v>
      </c>
      <c r="L434" t="str">
        <f>"521161"</f>
        <v>521161</v>
      </c>
      <c r="M434" t="s">
        <v>1871</v>
      </c>
      <c r="N434" t="s">
        <v>1556</v>
      </c>
      <c r="O434" s="2">
        <v>46215.647465277776</v>
      </c>
      <c r="P434" s="2">
        <v>46215.647465277776</v>
      </c>
      <c r="Q434" s="2">
        <v>46215.647465277776</v>
      </c>
      <c r="R434" t="str">
        <f>"153000440"</f>
        <v>153000440</v>
      </c>
      <c r="S434" s="1">
        <v>48036</v>
      </c>
    </row>
    <row r="435" spans="1:19" x14ac:dyDescent="0.35">
      <c r="A435" t="s">
        <v>30</v>
      </c>
      <c r="B435" t="s">
        <v>31</v>
      </c>
      <c r="C435" t="s">
        <v>1870</v>
      </c>
      <c r="D435" t="str">
        <f>"2501717695"</f>
        <v>2501717695</v>
      </c>
      <c r="E435" t="s">
        <v>1536</v>
      </c>
      <c r="F435" t="str">
        <f>"400405"</f>
        <v>400405</v>
      </c>
      <c r="G435" t="s">
        <v>519</v>
      </c>
      <c r="H435" t="s">
        <v>625</v>
      </c>
      <c r="I435" t="s">
        <v>37</v>
      </c>
      <c r="J435">
        <v>48</v>
      </c>
      <c r="K435">
        <v>52</v>
      </c>
      <c r="L435" t="str">
        <f>"521161"</f>
        <v>521161</v>
      </c>
      <c r="M435" t="s">
        <v>1871</v>
      </c>
      <c r="N435" t="s">
        <v>1556</v>
      </c>
      <c r="O435" s="2">
        <v>46215.647141203706</v>
      </c>
      <c r="P435" s="2">
        <v>46215.647141203706</v>
      </c>
      <c r="Q435" s="2">
        <v>46215.647141203706</v>
      </c>
      <c r="R435" t="str">
        <f>"153000440"</f>
        <v>153000440</v>
      </c>
      <c r="S435" s="1">
        <v>48036</v>
      </c>
    </row>
    <row r="436" spans="1:19" x14ac:dyDescent="0.35">
      <c r="A436" t="s">
        <v>30</v>
      </c>
      <c r="B436" t="s">
        <v>31</v>
      </c>
      <c r="C436" t="s">
        <v>1872</v>
      </c>
      <c r="D436" t="str">
        <f>"2501717690"</f>
        <v>2501717690</v>
      </c>
      <c r="E436" t="s">
        <v>1536</v>
      </c>
      <c r="F436" t="str">
        <f>"400405"</f>
        <v>400405</v>
      </c>
      <c r="G436" t="s">
        <v>519</v>
      </c>
      <c r="H436" t="s">
        <v>625</v>
      </c>
      <c r="I436" t="s">
        <v>37</v>
      </c>
      <c r="J436">
        <v>4</v>
      </c>
      <c r="K436">
        <v>4</v>
      </c>
      <c r="L436" t="str">
        <f>"521161"</f>
        <v>521161</v>
      </c>
      <c r="M436" t="s">
        <v>1873</v>
      </c>
      <c r="N436" t="s">
        <v>1556</v>
      </c>
      <c r="O436" s="2">
        <v>46215.643206018518</v>
      </c>
      <c r="P436" s="2">
        <v>46215.643206018518</v>
      </c>
      <c r="Q436" s="2">
        <v>46215.643206018518</v>
      </c>
      <c r="R436" t="str">
        <f>"153000440"</f>
        <v>153000440</v>
      </c>
      <c r="S436" s="1">
        <v>48036</v>
      </c>
    </row>
    <row r="437" spans="1:19" x14ac:dyDescent="0.35">
      <c r="A437" t="s">
        <v>30</v>
      </c>
      <c r="B437" t="s">
        <v>31</v>
      </c>
      <c r="C437" t="s">
        <v>1872</v>
      </c>
      <c r="D437" t="str">
        <f>"2501717690"</f>
        <v>2501717690</v>
      </c>
      <c r="E437" t="s">
        <v>1536</v>
      </c>
      <c r="F437" t="str">
        <f>"400405"</f>
        <v>400405</v>
      </c>
      <c r="G437" t="s">
        <v>519</v>
      </c>
      <c r="H437" t="s">
        <v>621</v>
      </c>
      <c r="I437" t="s">
        <v>37</v>
      </c>
      <c r="J437">
        <v>22</v>
      </c>
      <c r="K437">
        <v>22</v>
      </c>
      <c r="L437" t="str">
        <f>"521161"</f>
        <v>521161</v>
      </c>
      <c r="M437" t="s">
        <v>1873</v>
      </c>
      <c r="N437" t="s">
        <v>1556</v>
      </c>
      <c r="O437" s="2">
        <v>46215.640590277777</v>
      </c>
      <c r="P437" s="2">
        <v>46215.640590277777</v>
      </c>
      <c r="Q437" s="2">
        <v>46215.640590277777</v>
      </c>
      <c r="R437" t="str">
        <f>"153000359"</f>
        <v>153000359</v>
      </c>
      <c r="S437" s="1">
        <v>48005</v>
      </c>
    </row>
    <row r="438" spans="1:19" x14ac:dyDescent="0.35">
      <c r="A438" t="s">
        <v>30</v>
      </c>
      <c r="B438" t="s">
        <v>31</v>
      </c>
      <c r="C438" t="s">
        <v>1874</v>
      </c>
      <c r="D438" t="str">
        <f>"2501717662"</f>
        <v>2501717662</v>
      </c>
      <c r="E438" t="s">
        <v>1536</v>
      </c>
      <c r="F438" t="str">
        <f>"400920"</f>
        <v>400920</v>
      </c>
      <c r="G438" t="s">
        <v>1829</v>
      </c>
      <c r="H438" t="s">
        <v>1865</v>
      </c>
      <c r="I438" t="s">
        <v>37</v>
      </c>
      <c r="J438">
        <v>18</v>
      </c>
      <c r="K438">
        <v>35</v>
      </c>
      <c r="L438" t="str">
        <f>"521187"</f>
        <v>521187</v>
      </c>
      <c r="M438" t="s">
        <v>1559</v>
      </c>
      <c r="N438" t="s">
        <v>1875</v>
      </c>
      <c r="O438" s="2">
        <v>46211.886655092596</v>
      </c>
      <c r="P438" s="2">
        <v>46211.886655092596</v>
      </c>
      <c r="Q438" s="2">
        <v>46211.886655092596</v>
      </c>
      <c r="R438" t="str">
        <f>"100011191"</f>
        <v>100011191</v>
      </c>
      <c r="S438" s="1">
        <v>47841</v>
      </c>
    </row>
    <row r="439" spans="1:19" x14ac:dyDescent="0.35">
      <c r="A439" t="s">
        <v>30</v>
      </c>
      <c r="B439" t="s">
        <v>31</v>
      </c>
      <c r="C439" t="s">
        <v>1874</v>
      </c>
      <c r="D439" t="str">
        <f>"2501717662"</f>
        <v>2501717662</v>
      </c>
      <c r="E439" t="s">
        <v>1536</v>
      </c>
      <c r="F439" t="str">
        <f>"400920"</f>
        <v>400920</v>
      </c>
      <c r="G439" t="s">
        <v>1829</v>
      </c>
      <c r="H439" t="s">
        <v>458</v>
      </c>
      <c r="I439" t="s">
        <v>37</v>
      </c>
      <c r="J439">
        <v>17</v>
      </c>
      <c r="K439">
        <v>35</v>
      </c>
      <c r="L439" t="str">
        <f>"521187"</f>
        <v>521187</v>
      </c>
      <c r="M439" t="s">
        <v>1559</v>
      </c>
      <c r="N439" t="s">
        <v>1875</v>
      </c>
      <c r="O439" s="2">
        <v>46211.882476851853</v>
      </c>
      <c r="P439" s="2">
        <v>46211.882476851853</v>
      </c>
      <c r="Q439" s="2">
        <v>46211.882476851853</v>
      </c>
      <c r="R439" t="str">
        <f>"100011191"</f>
        <v>100011191</v>
      </c>
      <c r="S439" s="1">
        <v>47841</v>
      </c>
    </row>
    <row r="440" spans="1:19" x14ac:dyDescent="0.35">
      <c r="A440" t="s">
        <v>30</v>
      </c>
      <c r="B440" t="s">
        <v>31</v>
      </c>
      <c r="C440" t="s">
        <v>1876</v>
      </c>
      <c r="D440" t="str">
        <f>"2501717636"</f>
        <v>2501717636</v>
      </c>
      <c r="E440" t="s">
        <v>1536</v>
      </c>
      <c r="F440" t="str">
        <f>"400390"</f>
        <v>400390</v>
      </c>
      <c r="G440" t="s">
        <v>1706</v>
      </c>
      <c r="H440" t="s">
        <v>1228</v>
      </c>
      <c r="I440" t="s">
        <v>37</v>
      </c>
      <c r="J440">
        <v>41</v>
      </c>
      <c r="K440">
        <v>52</v>
      </c>
      <c r="L440" t="str">
        <f>"521161"</f>
        <v>521161</v>
      </c>
      <c r="M440" t="s">
        <v>1877</v>
      </c>
      <c r="N440" t="s">
        <v>1556</v>
      </c>
      <c r="O440" s="2">
        <v>46210.965439814812</v>
      </c>
      <c r="P440" s="2">
        <v>46210.965439814812</v>
      </c>
      <c r="Q440" s="2">
        <v>46210.965439814812</v>
      </c>
      <c r="R440" t="str">
        <f>"153000291"</f>
        <v>153000291</v>
      </c>
      <c r="S440" s="1">
        <v>47973</v>
      </c>
    </row>
    <row r="441" spans="1:19" x14ac:dyDescent="0.35">
      <c r="A441" t="s">
        <v>30</v>
      </c>
      <c r="B441" t="s">
        <v>31</v>
      </c>
      <c r="C441" t="s">
        <v>1876</v>
      </c>
      <c r="D441" t="str">
        <f>"2501717636"</f>
        <v>2501717636</v>
      </c>
      <c r="E441" t="s">
        <v>1536</v>
      </c>
      <c r="F441" t="str">
        <f>"400390"</f>
        <v>400390</v>
      </c>
      <c r="G441" t="s">
        <v>1706</v>
      </c>
      <c r="H441" t="s">
        <v>699</v>
      </c>
      <c r="I441" t="s">
        <v>37</v>
      </c>
      <c r="J441">
        <v>11</v>
      </c>
      <c r="K441">
        <v>52</v>
      </c>
      <c r="L441" t="str">
        <f>"521161"</f>
        <v>521161</v>
      </c>
      <c r="M441" t="s">
        <v>1877</v>
      </c>
      <c r="N441" t="s">
        <v>1556</v>
      </c>
      <c r="O441" s="2">
        <v>46210.961944444447</v>
      </c>
      <c r="P441" s="2">
        <v>46210.961944444447</v>
      </c>
      <c r="Q441" s="2">
        <v>46210.961944444447</v>
      </c>
      <c r="R441" t="str">
        <f>"153000291"</f>
        <v>153000291</v>
      </c>
      <c r="S441" s="1">
        <v>47973</v>
      </c>
    </row>
    <row r="442" spans="1:19" x14ac:dyDescent="0.35">
      <c r="A442" t="s">
        <v>30</v>
      </c>
      <c r="B442" t="s">
        <v>31</v>
      </c>
      <c r="C442" t="s">
        <v>1878</v>
      </c>
      <c r="D442" t="str">
        <f>"2501717635"</f>
        <v>2501717635</v>
      </c>
      <c r="E442" t="s">
        <v>1536</v>
      </c>
      <c r="F442" t="str">
        <f>"400389"</f>
        <v>400389</v>
      </c>
      <c r="G442" t="s">
        <v>1726</v>
      </c>
      <c r="H442" t="s">
        <v>368</v>
      </c>
      <c r="I442" t="s">
        <v>41</v>
      </c>
      <c r="J442">
        <v>4</v>
      </c>
      <c r="K442">
        <v>5</v>
      </c>
      <c r="L442" t="str">
        <f>"521083"</f>
        <v>521083</v>
      </c>
      <c r="M442" t="s">
        <v>1879</v>
      </c>
      <c r="N442" t="s">
        <v>1745</v>
      </c>
      <c r="O442" s="2">
        <v>46210.959675925929</v>
      </c>
      <c r="P442" s="2">
        <v>46210.959675925929</v>
      </c>
      <c r="Q442" s="2">
        <v>46210.959675925929</v>
      </c>
      <c r="R442" t="str">
        <f>"153000317"</f>
        <v>153000317</v>
      </c>
      <c r="S442" s="1">
        <v>47980</v>
      </c>
    </row>
    <row r="443" spans="1:19" x14ac:dyDescent="0.35">
      <c r="A443" t="s">
        <v>30</v>
      </c>
      <c r="B443" t="s">
        <v>31</v>
      </c>
      <c r="C443" t="s">
        <v>1878</v>
      </c>
      <c r="D443" t="str">
        <f>"2501717635"</f>
        <v>2501717635</v>
      </c>
      <c r="E443" t="s">
        <v>1536</v>
      </c>
      <c r="F443" t="str">
        <f>"400389"</f>
        <v>400389</v>
      </c>
      <c r="G443" t="s">
        <v>1726</v>
      </c>
      <c r="H443" t="s">
        <v>805</v>
      </c>
      <c r="I443" t="s">
        <v>41</v>
      </c>
      <c r="J443">
        <v>1</v>
      </c>
      <c r="K443">
        <v>5</v>
      </c>
      <c r="L443" t="str">
        <f>"521083"</f>
        <v>521083</v>
      </c>
      <c r="M443" t="s">
        <v>1879</v>
      </c>
      <c r="N443" t="s">
        <v>1745</v>
      </c>
      <c r="O443" s="2">
        <v>46210.958553240744</v>
      </c>
      <c r="P443" s="2">
        <v>46210.958553240744</v>
      </c>
      <c r="Q443" s="2">
        <v>46210.958553240744</v>
      </c>
      <c r="R443" t="str">
        <f>"153000317"</f>
        <v>153000317</v>
      </c>
      <c r="S443" s="1">
        <v>47980</v>
      </c>
    </row>
    <row r="444" spans="1:19" x14ac:dyDescent="0.35">
      <c r="A444" t="s">
        <v>30</v>
      </c>
      <c r="B444" t="s">
        <v>31</v>
      </c>
      <c r="C444" t="s">
        <v>1880</v>
      </c>
      <c r="D444" t="str">
        <f>"2501717633"</f>
        <v>2501717633</v>
      </c>
      <c r="E444" t="s">
        <v>1536</v>
      </c>
      <c r="F444" t="str">
        <f>"400923"</f>
        <v>400923</v>
      </c>
      <c r="G444" t="s">
        <v>1881</v>
      </c>
      <c r="H444" t="s">
        <v>1882</v>
      </c>
      <c r="I444" t="s">
        <v>37</v>
      </c>
      <c r="J444">
        <v>10</v>
      </c>
      <c r="K444">
        <v>10</v>
      </c>
      <c r="L444" t="str">
        <f>"521181"</f>
        <v>521181</v>
      </c>
      <c r="M444" t="s">
        <v>1677</v>
      </c>
      <c r="N444" t="s">
        <v>1883</v>
      </c>
      <c r="O444" s="2">
        <v>46210.435613425929</v>
      </c>
      <c r="P444" s="2">
        <v>46210.435613425929</v>
      </c>
      <c r="Q444" s="2">
        <v>46210.435613425929</v>
      </c>
      <c r="R444" t="str">
        <f>"153000343"</f>
        <v>153000343</v>
      </c>
      <c r="S444" s="1">
        <v>48000</v>
      </c>
    </row>
    <row r="445" spans="1:19" x14ac:dyDescent="0.35">
      <c r="A445" t="s">
        <v>30</v>
      </c>
      <c r="B445" t="s">
        <v>31</v>
      </c>
      <c r="C445" t="s">
        <v>1884</v>
      </c>
      <c r="D445" t="str">
        <f>"2501717626"</f>
        <v>2501717626</v>
      </c>
      <c r="E445" t="s">
        <v>1536</v>
      </c>
      <c r="F445" t="str">
        <f>"400411"</f>
        <v>400411</v>
      </c>
      <c r="G445" t="s">
        <v>1537</v>
      </c>
      <c r="H445" t="s">
        <v>1364</v>
      </c>
      <c r="I445" t="s">
        <v>41</v>
      </c>
      <c r="J445">
        <v>3</v>
      </c>
      <c r="K445">
        <v>4</v>
      </c>
      <c r="L445" t="str">
        <f>"520721"</f>
        <v>520721</v>
      </c>
      <c r="M445" t="s">
        <v>1885</v>
      </c>
      <c r="N445" t="s">
        <v>1540</v>
      </c>
      <c r="O445" s="2">
        <v>46209.929050925923</v>
      </c>
      <c r="P445" s="2">
        <v>46209.929050925923</v>
      </c>
      <c r="Q445" s="2">
        <v>46209.929050925923</v>
      </c>
      <c r="R445" t="str">
        <f>"153000352"</f>
        <v>153000352</v>
      </c>
      <c r="S445" s="1">
        <v>48002</v>
      </c>
    </row>
    <row r="446" spans="1:19" x14ac:dyDescent="0.35">
      <c r="A446" t="s">
        <v>30</v>
      </c>
      <c r="B446" t="s">
        <v>31</v>
      </c>
      <c r="C446" t="s">
        <v>1884</v>
      </c>
      <c r="D446" t="str">
        <f>"2501717626"</f>
        <v>2501717626</v>
      </c>
      <c r="E446" t="s">
        <v>1536</v>
      </c>
      <c r="F446" t="str">
        <f>"400411"</f>
        <v>400411</v>
      </c>
      <c r="G446" t="s">
        <v>1537</v>
      </c>
      <c r="H446" t="s">
        <v>1057</v>
      </c>
      <c r="I446" t="s">
        <v>41</v>
      </c>
      <c r="J446">
        <v>1</v>
      </c>
      <c r="K446">
        <v>4</v>
      </c>
      <c r="L446" t="str">
        <f>"520721"</f>
        <v>520721</v>
      </c>
      <c r="M446" t="s">
        <v>1885</v>
      </c>
      <c r="N446" t="s">
        <v>1540</v>
      </c>
      <c r="O446" s="2">
        <v>46209.927916666667</v>
      </c>
      <c r="P446" s="2">
        <v>46209.927916666667</v>
      </c>
      <c r="Q446" s="2">
        <v>46209.927916666667</v>
      </c>
      <c r="R446" t="str">
        <f>"153000352"</f>
        <v>153000352</v>
      </c>
      <c r="S446" s="1">
        <v>48002</v>
      </c>
    </row>
    <row r="447" spans="1:19" x14ac:dyDescent="0.35">
      <c r="A447" t="s">
        <v>30</v>
      </c>
      <c r="B447" t="s">
        <v>31</v>
      </c>
      <c r="C447" t="s">
        <v>1886</v>
      </c>
      <c r="D447" t="str">
        <f t="shared" ref="D447:D457" si="72">"2501717625"</f>
        <v>2501717625</v>
      </c>
      <c r="E447" t="s">
        <v>1536</v>
      </c>
      <c r="F447" t="str">
        <f>"400426"</f>
        <v>400426</v>
      </c>
      <c r="G447" t="s">
        <v>34</v>
      </c>
      <c r="H447" t="s">
        <v>1848</v>
      </c>
      <c r="I447" t="s">
        <v>37</v>
      </c>
      <c r="J447">
        <v>6</v>
      </c>
      <c r="K447">
        <v>100</v>
      </c>
      <c r="L447" t="str">
        <f t="shared" ref="L447:L491" si="73">"521197"</f>
        <v>521197</v>
      </c>
      <c r="M447" t="s">
        <v>1559</v>
      </c>
      <c r="N447" t="s">
        <v>1887</v>
      </c>
      <c r="O447" s="2">
        <v>46209.952685185184</v>
      </c>
      <c r="P447" s="2">
        <v>46209.952685185184</v>
      </c>
      <c r="Q447" s="2">
        <v>46209.952685185184</v>
      </c>
      <c r="R447" t="str">
        <f>"153000231"</f>
        <v>153000231</v>
      </c>
      <c r="S447" s="1">
        <v>47944</v>
      </c>
    </row>
    <row r="448" spans="1:19" x14ac:dyDescent="0.35">
      <c r="A448" t="s">
        <v>30</v>
      </c>
      <c r="B448" t="s">
        <v>31</v>
      </c>
      <c r="C448" t="s">
        <v>1886</v>
      </c>
      <c r="D448" t="str">
        <f t="shared" si="72"/>
        <v>2501717625</v>
      </c>
      <c r="E448" t="s">
        <v>1536</v>
      </c>
      <c r="F448" t="str">
        <f>"400426"</f>
        <v>400426</v>
      </c>
      <c r="G448" t="s">
        <v>34</v>
      </c>
      <c r="H448" t="s">
        <v>400</v>
      </c>
      <c r="I448" t="s">
        <v>37</v>
      </c>
      <c r="J448">
        <v>24</v>
      </c>
      <c r="K448">
        <v>100</v>
      </c>
      <c r="L448" t="str">
        <f t="shared" si="73"/>
        <v>521197</v>
      </c>
      <c r="M448" t="s">
        <v>1559</v>
      </c>
      <c r="N448" t="s">
        <v>1887</v>
      </c>
      <c r="O448" s="2">
        <v>46209.949907407405</v>
      </c>
      <c r="P448" s="2">
        <v>46209.949907407405</v>
      </c>
      <c r="Q448" s="2">
        <v>46209.949907407405</v>
      </c>
      <c r="R448" t="str">
        <f>"153000231"</f>
        <v>153000231</v>
      </c>
      <c r="S448" s="1">
        <v>47944</v>
      </c>
    </row>
    <row r="449" spans="1:19" x14ac:dyDescent="0.35">
      <c r="A449" t="s">
        <v>30</v>
      </c>
      <c r="B449" t="s">
        <v>31</v>
      </c>
      <c r="C449" t="s">
        <v>1886</v>
      </c>
      <c r="D449" t="str">
        <f t="shared" si="72"/>
        <v>2501717625</v>
      </c>
      <c r="E449" t="s">
        <v>1536</v>
      </c>
      <c r="F449" t="str">
        <f>"400426"</f>
        <v>400426</v>
      </c>
      <c r="G449" t="s">
        <v>34</v>
      </c>
      <c r="H449" t="s">
        <v>398</v>
      </c>
      <c r="I449" t="s">
        <v>37</v>
      </c>
      <c r="J449">
        <v>24</v>
      </c>
      <c r="K449">
        <v>100</v>
      </c>
      <c r="L449" t="str">
        <f t="shared" si="73"/>
        <v>521197</v>
      </c>
      <c r="M449" t="s">
        <v>1559</v>
      </c>
      <c r="N449" t="s">
        <v>1887</v>
      </c>
      <c r="O449" s="2">
        <v>46209.948993055557</v>
      </c>
      <c r="P449" s="2">
        <v>46209.948993055557</v>
      </c>
      <c r="Q449" s="2">
        <v>46209.948993055557</v>
      </c>
      <c r="R449" t="str">
        <f>"153000231"</f>
        <v>153000231</v>
      </c>
      <c r="S449" s="1">
        <v>47944</v>
      </c>
    </row>
    <row r="450" spans="1:19" x14ac:dyDescent="0.35">
      <c r="A450" t="s">
        <v>30</v>
      </c>
      <c r="B450" t="s">
        <v>31</v>
      </c>
      <c r="C450" t="s">
        <v>1886</v>
      </c>
      <c r="D450" t="str">
        <f t="shared" si="72"/>
        <v>2501717625</v>
      </c>
      <c r="E450" t="s">
        <v>1536</v>
      </c>
      <c r="F450" t="str">
        <f>"400426"</f>
        <v>400426</v>
      </c>
      <c r="G450" t="s">
        <v>34</v>
      </c>
      <c r="H450" t="s">
        <v>396</v>
      </c>
      <c r="I450" t="s">
        <v>37</v>
      </c>
      <c r="J450">
        <v>24</v>
      </c>
      <c r="K450">
        <v>100</v>
      </c>
      <c r="L450" t="str">
        <f t="shared" si="73"/>
        <v>521197</v>
      </c>
      <c r="M450" t="s">
        <v>1559</v>
      </c>
      <c r="N450" t="s">
        <v>1887</v>
      </c>
      <c r="O450" s="2">
        <v>46209.948101851849</v>
      </c>
      <c r="P450" s="2">
        <v>46209.948101851849</v>
      </c>
      <c r="Q450" s="2">
        <v>46209.948101851849</v>
      </c>
      <c r="R450" t="str">
        <f>"153000231"</f>
        <v>153000231</v>
      </c>
      <c r="S450" s="1">
        <v>47944</v>
      </c>
    </row>
    <row r="451" spans="1:19" x14ac:dyDescent="0.35">
      <c r="A451" t="s">
        <v>30</v>
      </c>
      <c r="B451" t="s">
        <v>31</v>
      </c>
      <c r="C451" t="s">
        <v>1886</v>
      </c>
      <c r="D451" t="str">
        <f t="shared" si="72"/>
        <v>2501717625</v>
      </c>
      <c r="E451" t="s">
        <v>1536</v>
      </c>
      <c r="F451" t="str">
        <f>"400426"</f>
        <v>400426</v>
      </c>
      <c r="G451" t="s">
        <v>34</v>
      </c>
      <c r="H451" t="s">
        <v>386</v>
      </c>
      <c r="I451" t="s">
        <v>37</v>
      </c>
      <c r="J451">
        <v>22</v>
      </c>
      <c r="K451">
        <v>100</v>
      </c>
      <c r="L451" t="str">
        <f t="shared" si="73"/>
        <v>521197</v>
      </c>
      <c r="M451" t="s">
        <v>1559</v>
      </c>
      <c r="N451" t="s">
        <v>1887</v>
      </c>
      <c r="O451" s="2">
        <v>46209.947164351855</v>
      </c>
      <c r="P451" s="2">
        <v>46209.947164351855</v>
      </c>
      <c r="Q451" s="2">
        <v>46209.947164351855</v>
      </c>
      <c r="R451" t="str">
        <f>"153000231"</f>
        <v>153000231</v>
      </c>
      <c r="S451" s="1">
        <v>47944</v>
      </c>
    </row>
    <row r="452" spans="1:19" x14ac:dyDescent="0.35">
      <c r="A452" t="s">
        <v>30</v>
      </c>
      <c r="B452" t="s">
        <v>31</v>
      </c>
      <c r="C452" t="s">
        <v>1886</v>
      </c>
      <c r="D452" t="str">
        <f t="shared" si="72"/>
        <v>2501717625</v>
      </c>
      <c r="E452" t="s">
        <v>1536</v>
      </c>
      <c r="F452" t="str">
        <f>"400390"</f>
        <v>400390</v>
      </c>
      <c r="G452" t="s">
        <v>1706</v>
      </c>
      <c r="H452" t="s">
        <v>699</v>
      </c>
      <c r="I452" t="s">
        <v>37</v>
      </c>
      <c r="J452">
        <v>20</v>
      </c>
      <c r="K452">
        <v>20</v>
      </c>
      <c r="L452" t="str">
        <f t="shared" si="73"/>
        <v>521197</v>
      </c>
      <c r="M452" t="s">
        <v>1559</v>
      </c>
      <c r="N452" t="s">
        <v>1887</v>
      </c>
      <c r="O452" s="2">
        <v>46209.950914351852</v>
      </c>
      <c r="P452" s="2">
        <v>46209.950914351852</v>
      </c>
      <c r="Q452" s="2">
        <v>46209.950914351852</v>
      </c>
      <c r="R452" t="str">
        <f>"153000291"</f>
        <v>153000291</v>
      </c>
      <c r="S452" s="1">
        <v>47973</v>
      </c>
    </row>
    <row r="453" spans="1:19" x14ac:dyDescent="0.35">
      <c r="A453" t="s">
        <v>30</v>
      </c>
      <c r="B453" t="s">
        <v>31</v>
      </c>
      <c r="C453" t="s">
        <v>1886</v>
      </c>
      <c r="D453" t="str">
        <f t="shared" si="72"/>
        <v>2501717625</v>
      </c>
      <c r="E453" t="s">
        <v>1536</v>
      </c>
      <c r="F453" t="str">
        <f>"400420"</f>
        <v>400420</v>
      </c>
      <c r="G453" t="s">
        <v>1661</v>
      </c>
      <c r="H453" t="s">
        <v>809</v>
      </c>
      <c r="I453" t="s">
        <v>37</v>
      </c>
      <c r="J453">
        <v>38</v>
      </c>
      <c r="K453">
        <v>50</v>
      </c>
      <c r="L453" t="str">
        <f t="shared" si="73"/>
        <v>521197</v>
      </c>
      <c r="M453" t="s">
        <v>1559</v>
      </c>
      <c r="N453" t="s">
        <v>1887</v>
      </c>
      <c r="O453" s="2">
        <v>46209.941388888888</v>
      </c>
      <c r="P453" s="2">
        <v>46209.941388888888</v>
      </c>
      <c r="Q453" s="2">
        <v>46209.941388888888</v>
      </c>
      <c r="R453" t="str">
        <f>"153000320"</f>
        <v>153000320</v>
      </c>
      <c r="S453" s="1">
        <v>47981</v>
      </c>
    </row>
    <row r="454" spans="1:19" x14ac:dyDescent="0.35">
      <c r="A454" t="s">
        <v>30</v>
      </c>
      <c r="B454" t="s">
        <v>31</v>
      </c>
      <c r="C454" t="s">
        <v>1886</v>
      </c>
      <c r="D454" t="str">
        <f t="shared" si="72"/>
        <v>2501717625</v>
      </c>
      <c r="E454" t="s">
        <v>1536</v>
      </c>
      <c r="F454" t="str">
        <f>"400420"</f>
        <v>400420</v>
      </c>
      <c r="G454" t="s">
        <v>1661</v>
      </c>
      <c r="H454" t="s">
        <v>189</v>
      </c>
      <c r="I454" t="s">
        <v>37</v>
      </c>
      <c r="J454">
        <v>12</v>
      </c>
      <c r="K454">
        <v>50</v>
      </c>
      <c r="L454" t="str">
        <f t="shared" si="73"/>
        <v>521197</v>
      </c>
      <c r="M454" t="s">
        <v>1559</v>
      </c>
      <c r="N454" t="s">
        <v>1887</v>
      </c>
      <c r="O454" s="2">
        <v>46209.939965277779</v>
      </c>
      <c r="P454" s="2">
        <v>46209.939965277779</v>
      </c>
      <c r="Q454" s="2">
        <v>46209.939965277779</v>
      </c>
      <c r="R454" t="str">
        <f>"153000320"</f>
        <v>153000320</v>
      </c>
      <c r="S454" s="1">
        <v>47981</v>
      </c>
    </row>
    <row r="455" spans="1:19" x14ac:dyDescent="0.35">
      <c r="A455" t="s">
        <v>30</v>
      </c>
      <c r="B455" t="s">
        <v>31</v>
      </c>
      <c r="C455" t="s">
        <v>1886</v>
      </c>
      <c r="D455" t="str">
        <f t="shared" si="72"/>
        <v>2501717625</v>
      </c>
      <c r="E455" t="s">
        <v>1536</v>
      </c>
      <c r="F455" t="str">
        <f>"400409"</f>
        <v>400409</v>
      </c>
      <c r="G455" t="s">
        <v>1888</v>
      </c>
      <c r="H455" t="s">
        <v>1889</v>
      </c>
      <c r="I455" t="s">
        <v>37</v>
      </c>
      <c r="J455">
        <v>52</v>
      </c>
      <c r="K455">
        <v>94</v>
      </c>
      <c r="L455" t="str">
        <f t="shared" si="73"/>
        <v>521197</v>
      </c>
      <c r="M455" t="s">
        <v>1559</v>
      </c>
      <c r="N455" t="s">
        <v>1887</v>
      </c>
      <c r="O455" s="2">
        <v>46209.938993055555</v>
      </c>
      <c r="P455" s="2">
        <v>46209.938993055555</v>
      </c>
      <c r="Q455" s="2">
        <v>46209.938993055555</v>
      </c>
      <c r="R455" t="str">
        <f>"10001107"</f>
        <v>10001107</v>
      </c>
      <c r="S455" s="1">
        <v>47832</v>
      </c>
    </row>
    <row r="456" spans="1:19" x14ac:dyDescent="0.35">
      <c r="A456" t="s">
        <v>30</v>
      </c>
      <c r="B456" t="s">
        <v>31</v>
      </c>
      <c r="C456" t="s">
        <v>1886</v>
      </c>
      <c r="D456" t="str">
        <f t="shared" si="72"/>
        <v>2501717625</v>
      </c>
      <c r="E456" t="s">
        <v>1536</v>
      </c>
      <c r="F456" t="str">
        <f>"400409"</f>
        <v>400409</v>
      </c>
      <c r="G456" t="s">
        <v>1888</v>
      </c>
      <c r="H456" t="s">
        <v>1247</v>
      </c>
      <c r="I456" t="s">
        <v>37</v>
      </c>
      <c r="J456">
        <v>42</v>
      </c>
      <c r="K456">
        <v>94</v>
      </c>
      <c r="L456" t="str">
        <f t="shared" si="73"/>
        <v>521197</v>
      </c>
      <c r="M456" t="s">
        <v>1559</v>
      </c>
      <c r="N456" t="s">
        <v>1887</v>
      </c>
      <c r="O456" s="2">
        <v>46209.937025462961</v>
      </c>
      <c r="P456" s="2">
        <v>46209.937025462961</v>
      </c>
      <c r="Q456" s="2">
        <v>46209.937025462961</v>
      </c>
      <c r="R456" t="str">
        <f>"10001107"</f>
        <v>10001107</v>
      </c>
      <c r="S456" s="1">
        <v>47832</v>
      </c>
    </row>
    <row r="457" spans="1:19" x14ac:dyDescent="0.35">
      <c r="A457" t="s">
        <v>30</v>
      </c>
      <c r="B457" t="s">
        <v>31</v>
      </c>
      <c r="C457" t="s">
        <v>1886</v>
      </c>
      <c r="D457" t="str">
        <f t="shared" si="72"/>
        <v>2501717625</v>
      </c>
      <c r="E457" t="s">
        <v>1536</v>
      </c>
      <c r="F457" t="str">
        <f>"400409"</f>
        <v>400409</v>
      </c>
      <c r="G457" t="s">
        <v>1888</v>
      </c>
      <c r="H457" t="s">
        <v>382</v>
      </c>
      <c r="I457" t="s">
        <v>37</v>
      </c>
      <c r="J457">
        <v>10</v>
      </c>
      <c r="K457">
        <v>10</v>
      </c>
      <c r="L457" t="str">
        <f t="shared" si="73"/>
        <v>521197</v>
      </c>
      <c r="M457" t="s">
        <v>1559</v>
      </c>
      <c r="N457" t="s">
        <v>1887</v>
      </c>
      <c r="O457" s="2">
        <v>46209.936944444446</v>
      </c>
      <c r="P457" s="2">
        <v>46209.936944444446</v>
      </c>
      <c r="Q457" s="2">
        <v>46209.936944444446</v>
      </c>
      <c r="R457" t="str">
        <f>"100005328"</f>
        <v>100005328</v>
      </c>
      <c r="S457" s="1">
        <v>47253</v>
      </c>
    </row>
    <row r="458" spans="1:19" x14ac:dyDescent="0.35">
      <c r="A458" t="s">
        <v>30</v>
      </c>
      <c r="B458" t="s">
        <v>31</v>
      </c>
      <c r="C458" t="s">
        <v>1890</v>
      </c>
      <c r="D458" t="str">
        <f t="shared" ref="D458:D491" si="74">"2501717624"</f>
        <v>2501717624</v>
      </c>
      <c r="E458" t="s">
        <v>1536</v>
      </c>
      <c r="F458" t="str">
        <f t="shared" ref="F458:F463" si="75">"400459"</f>
        <v>400459</v>
      </c>
      <c r="G458" t="s">
        <v>1054</v>
      </c>
      <c r="H458" t="s">
        <v>191</v>
      </c>
      <c r="I458" t="s">
        <v>41</v>
      </c>
      <c r="J458">
        <v>4</v>
      </c>
      <c r="K458">
        <v>20</v>
      </c>
      <c r="L458" t="str">
        <f t="shared" si="73"/>
        <v>521197</v>
      </c>
      <c r="M458" t="s">
        <v>1559</v>
      </c>
      <c r="N458" t="s">
        <v>1887</v>
      </c>
      <c r="O458" s="2">
        <v>46209.96025462963</v>
      </c>
      <c r="P458" s="2">
        <v>46209.96025462963</v>
      </c>
      <c r="Q458" s="2">
        <v>46209.96025462963</v>
      </c>
      <c r="R458" t="str">
        <f t="shared" ref="R458:R463" si="76">"153000094"</f>
        <v>153000094</v>
      </c>
      <c r="S458" s="1">
        <v>47887</v>
      </c>
    </row>
    <row r="459" spans="1:19" x14ac:dyDescent="0.35">
      <c r="A459" t="s">
        <v>30</v>
      </c>
      <c r="B459" t="s">
        <v>31</v>
      </c>
      <c r="C459" t="s">
        <v>1890</v>
      </c>
      <c r="D459" t="str">
        <f t="shared" si="74"/>
        <v>2501717624</v>
      </c>
      <c r="E459" t="s">
        <v>1536</v>
      </c>
      <c r="F459" t="str">
        <f t="shared" si="75"/>
        <v>400459</v>
      </c>
      <c r="G459" t="s">
        <v>1054</v>
      </c>
      <c r="H459" t="s">
        <v>1055</v>
      </c>
      <c r="I459" t="s">
        <v>41</v>
      </c>
      <c r="J459">
        <v>4</v>
      </c>
      <c r="K459">
        <v>20</v>
      </c>
      <c r="L459" t="str">
        <f t="shared" si="73"/>
        <v>521197</v>
      </c>
      <c r="M459" t="s">
        <v>1559</v>
      </c>
      <c r="N459" t="s">
        <v>1887</v>
      </c>
      <c r="O459" s="2">
        <v>46209.958923611113</v>
      </c>
      <c r="P459" s="2">
        <v>46209.958923611113</v>
      </c>
      <c r="Q459" s="2">
        <v>46209.958923611113</v>
      </c>
      <c r="R459" t="str">
        <f t="shared" si="76"/>
        <v>153000094</v>
      </c>
      <c r="S459" s="1">
        <v>47887</v>
      </c>
    </row>
    <row r="460" spans="1:19" x14ac:dyDescent="0.35">
      <c r="A460" t="s">
        <v>30</v>
      </c>
      <c r="B460" t="s">
        <v>31</v>
      </c>
      <c r="C460" t="s">
        <v>1890</v>
      </c>
      <c r="D460" t="str">
        <f t="shared" si="74"/>
        <v>2501717624</v>
      </c>
      <c r="E460" t="s">
        <v>1536</v>
      </c>
      <c r="F460" t="str">
        <f t="shared" si="75"/>
        <v>400459</v>
      </c>
      <c r="G460" t="s">
        <v>1054</v>
      </c>
      <c r="H460" t="s">
        <v>1052</v>
      </c>
      <c r="I460" t="s">
        <v>41</v>
      </c>
      <c r="J460">
        <v>4</v>
      </c>
      <c r="K460">
        <v>20</v>
      </c>
      <c r="L460" t="str">
        <f t="shared" si="73"/>
        <v>521197</v>
      </c>
      <c r="M460" t="s">
        <v>1559</v>
      </c>
      <c r="N460" t="s">
        <v>1887</v>
      </c>
      <c r="O460" s="2">
        <v>46209.958599537036</v>
      </c>
      <c r="P460" s="2">
        <v>46209.958599537036</v>
      </c>
      <c r="Q460" s="2">
        <v>46209.958599537036</v>
      </c>
      <c r="R460" t="str">
        <f t="shared" si="76"/>
        <v>153000094</v>
      </c>
      <c r="S460" s="1">
        <v>47887</v>
      </c>
    </row>
    <row r="461" spans="1:19" x14ac:dyDescent="0.35">
      <c r="A461" t="s">
        <v>30</v>
      </c>
      <c r="B461" t="s">
        <v>31</v>
      </c>
      <c r="C461" t="s">
        <v>1890</v>
      </c>
      <c r="D461" t="str">
        <f t="shared" si="74"/>
        <v>2501717624</v>
      </c>
      <c r="E461" t="s">
        <v>1536</v>
      </c>
      <c r="F461" t="str">
        <f t="shared" si="75"/>
        <v>400459</v>
      </c>
      <c r="G461" t="s">
        <v>1054</v>
      </c>
      <c r="H461" t="s">
        <v>434</v>
      </c>
      <c r="I461" t="s">
        <v>41</v>
      </c>
      <c r="J461">
        <v>3</v>
      </c>
      <c r="K461">
        <v>20</v>
      </c>
      <c r="L461" t="str">
        <f t="shared" si="73"/>
        <v>521197</v>
      </c>
      <c r="M461" t="s">
        <v>1559</v>
      </c>
      <c r="N461" t="s">
        <v>1887</v>
      </c>
      <c r="O461" s="2">
        <v>46209.958148148151</v>
      </c>
      <c r="P461" s="2">
        <v>46209.958148148151</v>
      </c>
      <c r="Q461" s="2">
        <v>46209.958148148151</v>
      </c>
      <c r="R461" t="str">
        <f t="shared" si="76"/>
        <v>153000094</v>
      </c>
      <c r="S461" s="1">
        <v>47887</v>
      </c>
    </row>
    <row r="462" spans="1:19" x14ac:dyDescent="0.35">
      <c r="A462" t="s">
        <v>30</v>
      </c>
      <c r="B462" t="s">
        <v>31</v>
      </c>
      <c r="C462" t="s">
        <v>1890</v>
      </c>
      <c r="D462" t="str">
        <f t="shared" si="74"/>
        <v>2501717624</v>
      </c>
      <c r="E462" t="s">
        <v>1536</v>
      </c>
      <c r="F462" t="str">
        <f t="shared" si="75"/>
        <v>400459</v>
      </c>
      <c r="G462" t="s">
        <v>1054</v>
      </c>
      <c r="H462" t="s">
        <v>263</v>
      </c>
      <c r="I462" t="s">
        <v>41</v>
      </c>
      <c r="J462">
        <v>4</v>
      </c>
      <c r="K462">
        <v>20</v>
      </c>
      <c r="L462" t="str">
        <f t="shared" si="73"/>
        <v>521197</v>
      </c>
      <c r="M462" t="s">
        <v>1559</v>
      </c>
      <c r="N462" t="s">
        <v>1887</v>
      </c>
      <c r="O462" s="2">
        <v>46209.957465277781</v>
      </c>
      <c r="P462" s="2">
        <v>46209.957465277781</v>
      </c>
      <c r="Q462" s="2">
        <v>46209.957465277781</v>
      </c>
      <c r="R462" t="str">
        <f t="shared" si="76"/>
        <v>153000094</v>
      </c>
      <c r="S462" s="1">
        <v>47887</v>
      </c>
    </row>
    <row r="463" spans="1:19" x14ac:dyDescent="0.35">
      <c r="A463" t="s">
        <v>30</v>
      </c>
      <c r="B463" t="s">
        <v>31</v>
      </c>
      <c r="C463" t="s">
        <v>1890</v>
      </c>
      <c r="D463" t="str">
        <f t="shared" si="74"/>
        <v>2501717624</v>
      </c>
      <c r="E463" t="s">
        <v>1536</v>
      </c>
      <c r="F463" t="str">
        <f t="shared" si="75"/>
        <v>400459</v>
      </c>
      <c r="G463" t="s">
        <v>1054</v>
      </c>
      <c r="H463" t="s">
        <v>265</v>
      </c>
      <c r="I463" t="s">
        <v>41</v>
      </c>
      <c r="J463">
        <v>1</v>
      </c>
      <c r="K463">
        <v>20</v>
      </c>
      <c r="L463" t="str">
        <f t="shared" si="73"/>
        <v>521197</v>
      </c>
      <c r="M463" t="s">
        <v>1559</v>
      </c>
      <c r="N463" t="s">
        <v>1887</v>
      </c>
      <c r="O463" s="2">
        <v>46209.956782407404</v>
      </c>
      <c r="P463" s="2">
        <v>46209.956782407404</v>
      </c>
      <c r="Q463" s="2">
        <v>46209.956782407404</v>
      </c>
      <c r="R463" t="str">
        <f t="shared" si="76"/>
        <v>153000094</v>
      </c>
      <c r="S463" s="1">
        <v>47887</v>
      </c>
    </row>
    <row r="464" spans="1:19" x14ac:dyDescent="0.35">
      <c r="A464" t="s">
        <v>30</v>
      </c>
      <c r="B464" t="s">
        <v>31</v>
      </c>
      <c r="C464" t="s">
        <v>1890</v>
      </c>
      <c r="D464" t="str">
        <f t="shared" si="74"/>
        <v>2501717624</v>
      </c>
      <c r="E464" t="s">
        <v>1536</v>
      </c>
      <c r="F464" t="str">
        <f t="shared" ref="F464:F472" si="77">"400445"</f>
        <v>400445</v>
      </c>
      <c r="G464" t="s">
        <v>424</v>
      </c>
      <c r="H464" t="s">
        <v>1891</v>
      </c>
      <c r="I464" t="s">
        <v>41</v>
      </c>
      <c r="J464">
        <v>3</v>
      </c>
      <c r="K464">
        <v>16</v>
      </c>
      <c r="L464" t="str">
        <f t="shared" si="73"/>
        <v>521197</v>
      </c>
      <c r="M464" t="s">
        <v>1559</v>
      </c>
      <c r="N464" t="s">
        <v>1887</v>
      </c>
      <c r="O464" s="2">
        <v>46209.955706018518</v>
      </c>
      <c r="P464" s="2">
        <v>46209.955706018518</v>
      </c>
      <c r="Q464" s="2">
        <v>46209.955706018518</v>
      </c>
      <c r="R464" t="str">
        <f>"153000242"</f>
        <v>153000242</v>
      </c>
      <c r="S464" s="1">
        <v>47949</v>
      </c>
    </row>
    <row r="465" spans="1:19" x14ac:dyDescent="0.35">
      <c r="A465" t="s">
        <v>30</v>
      </c>
      <c r="B465" t="s">
        <v>31</v>
      </c>
      <c r="C465" t="s">
        <v>1890</v>
      </c>
      <c r="D465" t="str">
        <f t="shared" si="74"/>
        <v>2501717624</v>
      </c>
      <c r="E465" t="s">
        <v>1536</v>
      </c>
      <c r="F465" t="str">
        <f t="shared" si="77"/>
        <v>400445</v>
      </c>
      <c r="G465" t="s">
        <v>424</v>
      </c>
      <c r="H465" t="s">
        <v>261</v>
      </c>
      <c r="I465" t="s">
        <v>41</v>
      </c>
      <c r="J465">
        <v>4</v>
      </c>
      <c r="K465">
        <v>16</v>
      </c>
      <c r="L465" t="str">
        <f t="shared" si="73"/>
        <v>521197</v>
      </c>
      <c r="M465" t="s">
        <v>1559</v>
      </c>
      <c r="N465" t="s">
        <v>1887</v>
      </c>
      <c r="O465" s="2">
        <v>46209.953819444447</v>
      </c>
      <c r="P465" s="2">
        <v>46209.953819444447</v>
      </c>
      <c r="Q465" s="2">
        <v>46209.953819444447</v>
      </c>
      <c r="R465" t="str">
        <f>"153000242"</f>
        <v>153000242</v>
      </c>
      <c r="S465" s="1">
        <v>47949</v>
      </c>
    </row>
    <row r="466" spans="1:19" x14ac:dyDescent="0.35">
      <c r="A466" t="s">
        <v>30</v>
      </c>
      <c r="B466" t="s">
        <v>31</v>
      </c>
      <c r="C466" t="s">
        <v>1890</v>
      </c>
      <c r="D466" t="str">
        <f t="shared" si="74"/>
        <v>2501717624</v>
      </c>
      <c r="E466" t="s">
        <v>1536</v>
      </c>
      <c r="F466" t="str">
        <f t="shared" si="77"/>
        <v>400445</v>
      </c>
      <c r="G466" t="s">
        <v>424</v>
      </c>
      <c r="H466" t="s">
        <v>259</v>
      </c>
      <c r="I466" t="s">
        <v>41</v>
      </c>
      <c r="J466">
        <v>4</v>
      </c>
      <c r="K466">
        <v>16</v>
      </c>
      <c r="L466" t="str">
        <f t="shared" si="73"/>
        <v>521197</v>
      </c>
      <c r="M466" t="s">
        <v>1559</v>
      </c>
      <c r="N466" t="s">
        <v>1887</v>
      </c>
      <c r="O466" s="2">
        <v>46209.953368055554</v>
      </c>
      <c r="P466" s="2">
        <v>46209.953368055554</v>
      </c>
      <c r="Q466" s="2">
        <v>46209.953368055554</v>
      </c>
      <c r="R466" t="str">
        <f>"153000242"</f>
        <v>153000242</v>
      </c>
      <c r="S466" s="1">
        <v>47949</v>
      </c>
    </row>
    <row r="467" spans="1:19" x14ac:dyDescent="0.35">
      <c r="A467" t="s">
        <v>30</v>
      </c>
      <c r="B467" t="s">
        <v>31</v>
      </c>
      <c r="C467" t="s">
        <v>1890</v>
      </c>
      <c r="D467" t="str">
        <f t="shared" si="74"/>
        <v>2501717624</v>
      </c>
      <c r="E467" t="s">
        <v>1536</v>
      </c>
      <c r="F467" t="str">
        <f t="shared" si="77"/>
        <v>400445</v>
      </c>
      <c r="G467" t="s">
        <v>424</v>
      </c>
      <c r="H467" t="s">
        <v>257</v>
      </c>
      <c r="I467" t="s">
        <v>41</v>
      </c>
      <c r="J467">
        <v>4</v>
      </c>
      <c r="K467">
        <v>16</v>
      </c>
      <c r="L467" t="str">
        <f t="shared" si="73"/>
        <v>521197</v>
      </c>
      <c r="M467" t="s">
        <v>1559</v>
      </c>
      <c r="N467" t="s">
        <v>1887</v>
      </c>
      <c r="O467" s="2">
        <v>46209.953043981484</v>
      </c>
      <c r="P467" s="2">
        <v>46209.953043981484</v>
      </c>
      <c r="Q467" s="2">
        <v>46209.953043981484</v>
      </c>
      <c r="R467" t="str">
        <f>"153000242"</f>
        <v>153000242</v>
      </c>
      <c r="S467" s="1">
        <v>47949</v>
      </c>
    </row>
    <row r="468" spans="1:19" x14ac:dyDescent="0.35">
      <c r="A468" t="s">
        <v>30</v>
      </c>
      <c r="B468" t="s">
        <v>31</v>
      </c>
      <c r="C468" t="s">
        <v>1890</v>
      </c>
      <c r="D468" t="str">
        <f t="shared" si="74"/>
        <v>2501717624</v>
      </c>
      <c r="E468" t="s">
        <v>1536</v>
      </c>
      <c r="F468" t="str">
        <f t="shared" si="77"/>
        <v>400445</v>
      </c>
      <c r="G468" t="s">
        <v>424</v>
      </c>
      <c r="H468" t="s">
        <v>185</v>
      </c>
      <c r="I468" t="s">
        <v>41</v>
      </c>
      <c r="J468">
        <v>1</v>
      </c>
      <c r="K468">
        <v>16</v>
      </c>
      <c r="L468" t="str">
        <f t="shared" si="73"/>
        <v>521197</v>
      </c>
      <c r="M468" t="s">
        <v>1559</v>
      </c>
      <c r="N468" t="s">
        <v>1887</v>
      </c>
      <c r="O468" s="2">
        <v>46209.952638888892</v>
      </c>
      <c r="P468" s="2">
        <v>46209.952638888892</v>
      </c>
      <c r="Q468" s="2">
        <v>46209.952638888892</v>
      </c>
      <c r="R468" t="str">
        <f>"153000242"</f>
        <v>153000242</v>
      </c>
      <c r="S468" s="1">
        <v>47949</v>
      </c>
    </row>
    <row r="469" spans="1:19" x14ac:dyDescent="0.35">
      <c r="A469" t="s">
        <v>30</v>
      </c>
      <c r="B469" t="s">
        <v>31</v>
      </c>
      <c r="C469" t="s">
        <v>1890</v>
      </c>
      <c r="D469" t="str">
        <f t="shared" si="74"/>
        <v>2501717624</v>
      </c>
      <c r="E469" t="s">
        <v>1536</v>
      </c>
      <c r="F469" t="str">
        <f t="shared" si="77"/>
        <v>400445</v>
      </c>
      <c r="G469" t="s">
        <v>424</v>
      </c>
      <c r="H469" t="s">
        <v>227</v>
      </c>
      <c r="I469" t="s">
        <v>41</v>
      </c>
      <c r="J469">
        <v>4</v>
      </c>
      <c r="K469">
        <v>14</v>
      </c>
      <c r="L469" t="str">
        <f t="shared" si="73"/>
        <v>521197</v>
      </c>
      <c r="M469" t="s">
        <v>1559</v>
      </c>
      <c r="N469" t="s">
        <v>1887</v>
      </c>
      <c r="O469" s="2">
        <v>46209.951874999999</v>
      </c>
      <c r="P469" s="2">
        <v>46209.951874999999</v>
      </c>
      <c r="Q469" s="2">
        <v>46209.951874999999</v>
      </c>
      <c r="R469" t="str">
        <f>"100010511"</f>
        <v>100010511</v>
      </c>
      <c r="S469" s="1">
        <v>47781</v>
      </c>
    </row>
    <row r="470" spans="1:19" x14ac:dyDescent="0.35">
      <c r="A470" t="s">
        <v>30</v>
      </c>
      <c r="B470" t="s">
        <v>31</v>
      </c>
      <c r="C470" t="s">
        <v>1890</v>
      </c>
      <c r="D470" t="str">
        <f t="shared" si="74"/>
        <v>2501717624</v>
      </c>
      <c r="E470" t="s">
        <v>1536</v>
      </c>
      <c r="F470" t="str">
        <f t="shared" si="77"/>
        <v>400445</v>
      </c>
      <c r="G470" t="s">
        <v>424</v>
      </c>
      <c r="H470" t="s">
        <v>213</v>
      </c>
      <c r="I470" t="s">
        <v>41</v>
      </c>
      <c r="J470">
        <v>4</v>
      </c>
      <c r="K470">
        <v>14</v>
      </c>
      <c r="L470" t="str">
        <f t="shared" si="73"/>
        <v>521197</v>
      </c>
      <c r="M470" t="s">
        <v>1559</v>
      </c>
      <c r="N470" t="s">
        <v>1887</v>
      </c>
      <c r="O470" s="2">
        <v>46209.951516203706</v>
      </c>
      <c r="P470" s="2">
        <v>46209.951516203706</v>
      </c>
      <c r="Q470" s="2">
        <v>46209.951516203706</v>
      </c>
      <c r="R470" t="str">
        <f>"100010511"</f>
        <v>100010511</v>
      </c>
      <c r="S470" s="1">
        <v>47781</v>
      </c>
    </row>
    <row r="471" spans="1:19" x14ac:dyDescent="0.35">
      <c r="A471" t="s">
        <v>30</v>
      </c>
      <c r="B471" t="s">
        <v>31</v>
      </c>
      <c r="C471" t="s">
        <v>1890</v>
      </c>
      <c r="D471" t="str">
        <f t="shared" si="74"/>
        <v>2501717624</v>
      </c>
      <c r="E471" t="s">
        <v>1536</v>
      </c>
      <c r="F471" t="str">
        <f t="shared" si="77"/>
        <v>400445</v>
      </c>
      <c r="G471" t="s">
        <v>424</v>
      </c>
      <c r="H471" t="s">
        <v>211</v>
      </c>
      <c r="I471" t="s">
        <v>41</v>
      </c>
      <c r="J471">
        <v>4</v>
      </c>
      <c r="K471">
        <v>14</v>
      </c>
      <c r="L471" t="str">
        <f t="shared" si="73"/>
        <v>521197</v>
      </c>
      <c r="M471" t="s">
        <v>1559</v>
      </c>
      <c r="N471" t="s">
        <v>1887</v>
      </c>
      <c r="O471" s="2">
        <v>46209.951180555552</v>
      </c>
      <c r="P471" s="2">
        <v>46209.951180555552</v>
      </c>
      <c r="Q471" s="2">
        <v>46209.951180555552</v>
      </c>
      <c r="R471" t="str">
        <f>"100010511"</f>
        <v>100010511</v>
      </c>
      <c r="S471" s="1">
        <v>47781</v>
      </c>
    </row>
    <row r="472" spans="1:19" x14ac:dyDescent="0.35">
      <c r="A472" t="s">
        <v>30</v>
      </c>
      <c r="B472" t="s">
        <v>31</v>
      </c>
      <c r="C472" t="s">
        <v>1890</v>
      </c>
      <c r="D472" t="str">
        <f t="shared" si="74"/>
        <v>2501717624</v>
      </c>
      <c r="E472" t="s">
        <v>1536</v>
      </c>
      <c r="F472" t="str">
        <f t="shared" si="77"/>
        <v>400445</v>
      </c>
      <c r="G472" t="s">
        <v>424</v>
      </c>
      <c r="H472" t="s">
        <v>255</v>
      </c>
      <c r="I472" t="s">
        <v>41</v>
      </c>
      <c r="J472">
        <v>2</v>
      </c>
      <c r="K472">
        <v>14</v>
      </c>
      <c r="L472" t="str">
        <f t="shared" si="73"/>
        <v>521197</v>
      </c>
      <c r="M472" t="s">
        <v>1559</v>
      </c>
      <c r="N472" t="s">
        <v>1887</v>
      </c>
      <c r="O472" s="2">
        <v>46209.950648148151</v>
      </c>
      <c r="P472" s="2">
        <v>46209.950648148151</v>
      </c>
      <c r="Q472" s="2">
        <v>46209.950648148151</v>
      </c>
      <c r="R472" t="str">
        <f>"100010511"</f>
        <v>100010511</v>
      </c>
      <c r="S472" s="1">
        <v>47781</v>
      </c>
    </row>
    <row r="473" spans="1:19" x14ac:dyDescent="0.35">
      <c r="A473" t="s">
        <v>30</v>
      </c>
      <c r="B473" t="s">
        <v>31</v>
      </c>
      <c r="C473" t="s">
        <v>1890</v>
      </c>
      <c r="D473" t="str">
        <f t="shared" si="74"/>
        <v>2501717624</v>
      </c>
      <c r="E473" t="s">
        <v>1536</v>
      </c>
      <c r="F473" t="str">
        <f t="shared" ref="F473:F480" si="78">"400541"</f>
        <v>400541</v>
      </c>
      <c r="G473" t="s">
        <v>127</v>
      </c>
      <c r="H473" t="s">
        <v>223</v>
      </c>
      <c r="I473" t="s">
        <v>41</v>
      </c>
      <c r="J473">
        <v>4</v>
      </c>
      <c r="K473">
        <v>30</v>
      </c>
      <c r="L473" t="str">
        <f t="shared" si="73"/>
        <v>521197</v>
      </c>
      <c r="M473" t="s">
        <v>1559</v>
      </c>
      <c r="N473" t="s">
        <v>1887</v>
      </c>
      <c r="O473" s="2">
        <v>46209.949930555558</v>
      </c>
      <c r="P473" s="2">
        <v>46209.949930555558</v>
      </c>
      <c r="Q473" s="2">
        <v>46209.949930555558</v>
      </c>
      <c r="R473" t="str">
        <f t="shared" ref="R473:R480" si="79">"153000229"</f>
        <v>153000229</v>
      </c>
      <c r="S473" s="1">
        <v>47943</v>
      </c>
    </row>
    <row r="474" spans="1:19" x14ac:dyDescent="0.35">
      <c r="A474" t="s">
        <v>30</v>
      </c>
      <c r="B474" t="s">
        <v>31</v>
      </c>
      <c r="C474" t="s">
        <v>1890</v>
      </c>
      <c r="D474" t="str">
        <f t="shared" si="74"/>
        <v>2501717624</v>
      </c>
      <c r="E474" t="s">
        <v>1536</v>
      </c>
      <c r="F474" t="str">
        <f t="shared" si="78"/>
        <v>400541</v>
      </c>
      <c r="G474" t="s">
        <v>127</v>
      </c>
      <c r="H474" t="s">
        <v>221</v>
      </c>
      <c r="I474" t="s">
        <v>41</v>
      </c>
      <c r="J474">
        <v>4</v>
      </c>
      <c r="K474">
        <v>30</v>
      </c>
      <c r="L474" t="str">
        <f t="shared" si="73"/>
        <v>521197</v>
      </c>
      <c r="M474" t="s">
        <v>1559</v>
      </c>
      <c r="N474" t="s">
        <v>1887</v>
      </c>
      <c r="O474" s="2">
        <v>46209.949652777781</v>
      </c>
      <c r="P474" s="2">
        <v>46209.949652777781</v>
      </c>
      <c r="Q474" s="2">
        <v>46209.949652777781</v>
      </c>
      <c r="R474" t="str">
        <f t="shared" si="79"/>
        <v>153000229</v>
      </c>
      <c r="S474" s="1">
        <v>47943</v>
      </c>
    </row>
    <row r="475" spans="1:19" x14ac:dyDescent="0.35">
      <c r="A475" t="s">
        <v>30</v>
      </c>
      <c r="B475" t="s">
        <v>31</v>
      </c>
      <c r="C475" t="s">
        <v>1890</v>
      </c>
      <c r="D475" t="str">
        <f t="shared" si="74"/>
        <v>2501717624</v>
      </c>
      <c r="E475" t="s">
        <v>1536</v>
      </c>
      <c r="F475" t="str">
        <f t="shared" si="78"/>
        <v>400541</v>
      </c>
      <c r="G475" t="s">
        <v>127</v>
      </c>
      <c r="H475" t="s">
        <v>217</v>
      </c>
      <c r="I475" t="s">
        <v>41</v>
      </c>
      <c r="J475">
        <v>4</v>
      </c>
      <c r="K475">
        <v>30</v>
      </c>
      <c r="L475" t="str">
        <f t="shared" si="73"/>
        <v>521197</v>
      </c>
      <c r="M475" t="s">
        <v>1559</v>
      </c>
      <c r="N475" t="s">
        <v>1887</v>
      </c>
      <c r="O475" s="2">
        <v>46209.949328703704</v>
      </c>
      <c r="P475" s="2">
        <v>46209.949328703704</v>
      </c>
      <c r="Q475" s="2">
        <v>46209.949328703704</v>
      </c>
      <c r="R475" t="str">
        <f t="shared" si="79"/>
        <v>153000229</v>
      </c>
      <c r="S475" s="1">
        <v>47943</v>
      </c>
    </row>
    <row r="476" spans="1:19" x14ac:dyDescent="0.35">
      <c r="A476" t="s">
        <v>30</v>
      </c>
      <c r="B476" t="s">
        <v>31</v>
      </c>
      <c r="C476" t="s">
        <v>1890</v>
      </c>
      <c r="D476" t="str">
        <f t="shared" si="74"/>
        <v>2501717624</v>
      </c>
      <c r="E476" t="s">
        <v>1536</v>
      </c>
      <c r="F476" t="str">
        <f t="shared" si="78"/>
        <v>400541</v>
      </c>
      <c r="G476" t="s">
        <v>127</v>
      </c>
      <c r="H476" t="s">
        <v>215</v>
      </c>
      <c r="I476" t="s">
        <v>41</v>
      </c>
      <c r="J476">
        <v>4</v>
      </c>
      <c r="K476">
        <v>30</v>
      </c>
      <c r="L476" t="str">
        <f t="shared" si="73"/>
        <v>521197</v>
      </c>
      <c r="M476" t="s">
        <v>1559</v>
      </c>
      <c r="N476" t="s">
        <v>1887</v>
      </c>
      <c r="O476" s="2">
        <v>46209.948993055557</v>
      </c>
      <c r="P476" s="2">
        <v>46209.948993055557</v>
      </c>
      <c r="Q476" s="2">
        <v>46209.948993055557</v>
      </c>
      <c r="R476" t="str">
        <f t="shared" si="79"/>
        <v>153000229</v>
      </c>
      <c r="S476" s="1">
        <v>47943</v>
      </c>
    </row>
    <row r="477" spans="1:19" x14ac:dyDescent="0.35">
      <c r="A477" t="s">
        <v>30</v>
      </c>
      <c r="B477" t="s">
        <v>31</v>
      </c>
      <c r="C477" t="s">
        <v>1890</v>
      </c>
      <c r="D477" t="str">
        <f t="shared" si="74"/>
        <v>2501717624</v>
      </c>
      <c r="E477" t="s">
        <v>1536</v>
      </c>
      <c r="F477" t="str">
        <f t="shared" si="78"/>
        <v>400541</v>
      </c>
      <c r="G477" t="s">
        <v>127</v>
      </c>
      <c r="H477" t="s">
        <v>207</v>
      </c>
      <c r="I477" t="s">
        <v>41</v>
      </c>
      <c r="J477">
        <v>4</v>
      </c>
      <c r="K477">
        <v>30</v>
      </c>
      <c r="L477" t="str">
        <f t="shared" si="73"/>
        <v>521197</v>
      </c>
      <c r="M477" t="s">
        <v>1559</v>
      </c>
      <c r="N477" t="s">
        <v>1887</v>
      </c>
      <c r="O477" s="2">
        <v>46209.948680555557</v>
      </c>
      <c r="P477" s="2">
        <v>46209.948680555557</v>
      </c>
      <c r="Q477" s="2">
        <v>46209.948680555557</v>
      </c>
      <c r="R477" t="str">
        <f t="shared" si="79"/>
        <v>153000229</v>
      </c>
      <c r="S477" s="1">
        <v>47943</v>
      </c>
    </row>
    <row r="478" spans="1:19" x14ac:dyDescent="0.35">
      <c r="A478" t="s">
        <v>30</v>
      </c>
      <c r="B478" t="s">
        <v>31</v>
      </c>
      <c r="C478" t="s">
        <v>1890</v>
      </c>
      <c r="D478" t="str">
        <f t="shared" si="74"/>
        <v>2501717624</v>
      </c>
      <c r="E478" t="s">
        <v>1536</v>
      </c>
      <c r="F478" t="str">
        <f t="shared" si="78"/>
        <v>400541</v>
      </c>
      <c r="G478" t="s">
        <v>127</v>
      </c>
      <c r="H478" t="s">
        <v>201</v>
      </c>
      <c r="I478" t="s">
        <v>41</v>
      </c>
      <c r="J478">
        <v>4</v>
      </c>
      <c r="K478">
        <v>30</v>
      </c>
      <c r="L478" t="str">
        <f t="shared" si="73"/>
        <v>521197</v>
      </c>
      <c r="M478" t="s">
        <v>1559</v>
      </c>
      <c r="N478" t="s">
        <v>1887</v>
      </c>
      <c r="O478" s="2">
        <v>46209.948333333334</v>
      </c>
      <c r="P478" s="2">
        <v>46209.948333333334</v>
      </c>
      <c r="Q478" s="2">
        <v>46209.948333333334</v>
      </c>
      <c r="R478" t="str">
        <f t="shared" si="79"/>
        <v>153000229</v>
      </c>
      <c r="S478" s="1">
        <v>47943</v>
      </c>
    </row>
    <row r="479" spans="1:19" x14ac:dyDescent="0.35">
      <c r="A479" t="s">
        <v>30</v>
      </c>
      <c r="B479" t="s">
        <v>31</v>
      </c>
      <c r="C479" t="s">
        <v>1890</v>
      </c>
      <c r="D479" t="str">
        <f t="shared" si="74"/>
        <v>2501717624</v>
      </c>
      <c r="E479" t="s">
        <v>1536</v>
      </c>
      <c r="F479" t="str">
        <f t="shared" si="78"/>
        <v>400541</v>
      </c>
      <c r="G479" t="s">
        <v>127</v>
      </c>
      <c r="H479" t="s">
        <v>199</v>
      </c>
      <c r="I479" t="s">
        <v>41</v>
      </c>
      <c r="J479">
        <v>4</v>
      </c>
      <c r="K479">
        <v>30</v>
      </c>
      <c r="L479" t="str">
        <f t="shared" si="73"/>
        <v>521197</v>
      </c>
      <c r="M479" t="s">
        <v>1559</v>
      </c>
      <c r="N479" t="s">
        <v>1887</v>
      </c>
      <c r="O479" s="2">
        <v>46209.948009259257</v>
      </c>
      <c r="P479" s="2">
        <v>46209.948009259257</v>
      </c>
      <c r="Q479" s="2">
        <v>46209.948009259257</v>
      </c>
      <c r="R479" t="str">
        <f t="shared" si="79"/>
        <v>153000229</v>
      </c>
      <c r="S479" s="1">
        <v>47943</v>
      </c>
    </row>
    <row r="480" spans="1:19" x14ac:dyDescent="0.35">
      <c r="A480" t="s">
        <v>30</v>
      </c>
      <c r="B480" t="s">
        <v>31</v>
      </c>
      <c r="C480" t="s">
        <v>1890</v>
      </c>
      <c r="D480" t="str">
        <f t="shared" si="74"/>
        <v>2501717624</v>
      </c>
      <c r="E480" t="s">
        <v>1536</v>
      </c>
      <c r="F480" t="str">
        <f t="shared" si="78"/>
        <v>400541</v>
      </c>
      <c r="G480" t="s">
        <v>127</v>
      </c>
      <c r="H480" t="s">
        <v>197</v>
      </c>
      <c r="I480" t="s">
        <v>41</v>
      </c>
      <c r="J480">
        <v>2</v>
      </c>
      <c r="K480">
        <v>30</v>
      </c>
      <c r="L480" t="str">
        <f t="shared" si="73"/>
        <v>521197</v>
      </c>
      <c r="M480" t="s">
        <v>1559</v>
      </c>
      <c r="N480" t="s">
        <v>1887</v>
      </c>
      <c r="O480" s="2">
        <v>46209.947731481479</v>
      </c>
      <c r="P480" s="2">
        <v>46209.947731481479</v>
      </c>
      <c r="Q480" s="2">
        <v>46209.947731481479</v>
      </c>
      <c r="R480" t="str">
        <f t="shared" si="79"/>
        <v>153000229</v>
      </c>
      <c r="S480" s="1">
        <v>47943</v>
      </c>
    </row>
    <row r="481" spans="1:19" x14ac:dyDescent="0.35">
      <c r="A481" t="s">
        <v>30</v>
      </c>
      <c r="B481" t="s">
        <v>31</v>
      </c>
      <c r="C481" t="s">
        <v>1890</v>
      </c>
      <c r="D481" t="str">
        <f t="shared" si="74"/>
        <v>2501717624</v>
      </c>
      <c r="E481" t="s">
        <v>1536</v>
      </c>
      <c r="F481" t="str">
        <f t="shared" ref="F481:F491" si="80">"400514"</f>
        <v>400514</v>
      </c>
      <c r="G481" t="s">
        <v>429</v>
      </c>
      <c r="H481" t="s">
        <v>1117</v>
      </c>
      <c r="I481" t="s">
        <v>41</v>
      </c>
      <c r="J481">
        <v>2</v>
      </c>
      <c r="K481">
        <v>40</v>
      </c>
      <c r="L481" t="str">
        <f t="shared" si="73"/>
        <v>521197</v>
      </c>
      <c r="M481" t="s">
        <v>1559</v>
      </c>
      <c r="N481" t="s">
        <v>1887</v>
      </c>
      <c r="O481" s="2">
        <v>46209.962245370371</v>
      </c>
      <c r="P481" s="2">
        <v>46209.962245370371</v>
      </c>
      <c r="Q481" s="2">
        <v>46209.962245370371</v>
      </c>
      <c r="R481" t="str">
        <f t="shared" ref="R481:R491" si="81">"100010755"</f>
        <v>100010755</v>
      </c>
      <c r="S481" s="1">
        <v>47803</v>
      </c>
    </row>
    <row r="482" spans="1:19" x14ac:dyDescent="0.35">
      <c r="A482" t="s">
        <v>30</v>
      </c>
      <c r="B482" t="s">
        <v>31</v>
      </c>
      <c r="C482" t="s">
        <v>1890</v>
      </c>
      <c r="D482" t="str">
        <f t="shared" si="74"/>
        <v>2501717624</v>
      </c>
      <c r="E482" t="s">
        <v>1536</v>
      </c>
      <c r="F482" t="str">
        <f t="shared" si="80"/>
        <v>400514</v>
      </c>
      <c r="G482" t="s">
        <v>429</v>
      </c>
      <c r="H482" t="s">
        <v>194</v>
      </c>
      <c r="I482" t="s">
        <v>41</v>
      </c>
      <c r="J482">
        <v>4</v>
      </c>
      <c r="K482">
        <v>40</v>
      </c>
      <c r="L482" t="str">
        <f t="shared" si="73"/>
        <v>521197</v>
      </c>
      <c r="M482" t="s">
        <v>1559</v>
      </c>
      <c r="N482" t="s">
        <v>1887</v>
      </c>
      <c r="O482" s="2">
        <v>46209.945659722223</v>
      </c>
      <c r="P482" s="2">
        <v>46209.945659722223</v>
      </c>
      <c r="Q482" s="2">
        <v>46209.945659722223</v>
      </c>
      <c r="R482" t="str">
        <f t="shared" si="81"/>
        <v>100010755</v>
      </c>
      <c r="S482" s="1">
        <v>47803</v>
      </c>
    </row>
    <row r="483" spans="1:19" x14ac:dyDescent="0.35">
      <c r="A483" t="s">
        <v>30</v>
      </c>
      <c r="B483" t="s">
        <v>31</v>
      </c>
      <c r="C483" t="s">
        <v>1890</v>
      </c>
      <c r="D483" t="str">
        <f t="shared" si="74"/>
        <v>2501717624</v>
      </c>
      <c r="E483" t="s">
        <v>1536</v>
      </c>
      <c r="F483" t="str">
        <f t="shared" si="80"/>
        <v>400514</v>
      </c>
      <c r="G483" t="s">
        <v>429</v>
      </c>
      <c r="H483" t="s">
        <v>142</v>
      </c>
      <c r="I483" t="s">
        <v>41</v>
      </c>
      <c r="J483">
        <v>4</v>
      </c>
      <c r="K483">
        <v>40</v>
      </c>
      <c r="L483" t="str">
        <f t="shared" si="73"/>
        <v>521197</v>
      </c>
      <c r="M483" t="s">
        <v>1559</v>
      </c>
      <c r="N483" t="s">
        <v>1887</v>
      </c>
      <c r="O483" s="2">
        <v>46209.945173611108</v>
      </c>
      <c r="P483" s="2">
        <v>46209.945173611108</v>
      </c>
      <c r="Q483" s="2">
        <v>46209.945173611108</v>
      </c>
      <c r="R483" t="str">
        <f t="shared" si="81"/>
        <v>100010755</v>
      </c>
      <c r="S483" s="1">
        <v>47803</v>
      </c>
    </row>
    <row r="484" spans="1:19" x14ac:dyDescent="0.35">
      <c r="A484" t="s">
        <v>30</v>
      </c>
      <c r="B484" t="s">
        <v>31</v>
      </c>
      <c r="C484" t="s">
        <v>1890</v>
      </c>
      <c r="D484" t="str">
        <f t="shared" si="74"/>
        <v>2501717624</v>
      </c>
      <c r="E484" t="s">
        <v>1536</v>
      </c>
      <c r="F484" t="str">
        <f t="shared" si="80"/>
        <v>400514</v>
      </c>
      <c r="G484" t="s">
        <v>429</v>
      </c>
      <c r="H484" t="s">
        <v>144</v>
      </c>
      <c r="I484" t="s">
        <v>41</v>
      </c>
      <c r="J484">
        <v>4</v>
      </c>
      <c r="K484">
        <v>40</v>
      </c>
      <c r="L484" t="str">
        <f t="shared" si="73"/>
        <v>521197</v>
      </c>
      <c r="M484" t="s">
        <v>1559</v>
      </c>
      <c r="N484" t="s">
        <v>1887</v>
      </c>
      <c r="O484" s="2">
        <v>46209.944884259261</v>
      </c>
      <c r="P484" s="2">
        <v>46209.944884259261</v>
      </c>
      <c r="Q484" s="2">
        <v>46209.944884259261</v>
      </c>
      <c r="R484" t="str">
        <f t="shared" si="81"/>
        <v>100010755</v>
      </c>
      <c r="S484" s="1">
        <v>47803</v>
      </c>
    </row>
    <row r="485" spans="1:19" x14ac:dyDescent="0.35">
      <c r="A485" t="s">
        <v>30</v>
      </c>
      <c r="B485" t="s">
        <v>31</v>
      </c>
      <c r="C485" t="s">
        <v>1890</v>
      </c>
      <c r="D485" t="str">
        <f t="shared" si="74"/>
        <v>2501717624</v>
      </c>
      <c r="E485" t="s">
        <v>1536</v>
      </c>
      <c r="F485" t="str">
        <f t="shared" si="80"/>
        <v>400514</v>
      </c>
      <c r="G485" t="s">
        <v>429</v>
      </c>
      <c r="H485" t="s">
        <v>140</v>
      </c>
      <c r="I485" t="s">
        <v>41</v>
      </c>
      <c r="J485">
        <v>4</v>
      </c>
      <c r="K485">
        <v>40</v>
      </c>
      <c r="L485" t="str">
        <f t="shared" si="73"/>
        <v>521197</v>
      </c>
      <c r="M485" t="s">
        <v>1559</v>
      </c>
      <c r="N485" t="s">
        <v>1887</v>
      </c>
      <c r="O485" s="2">
        <v>46209.944236111114</v>
      </c>
      <c r="P485" s="2">
        <v>46209.944236111114</v>
      </c>
      <c r="Q485" s="2">
        <v>46209.944236111114</v>
      </c>
      <c r="R485" t="str">
        <f t="shared" si="81"/>
        <v>100010755</v>
      </c>
      <c r="S485" s="1">
        <v>47803</v>
      </c>
    </row>
    <row r="486" spans="1:19" x14ac:dyDescent="0.35">
      <c r="A486" t="s">
        <v>30</v>
      </c>
      <c r="B486" t="s">
        <v>31</v>
      </c>
      <c r="C486" t="s">
        <v>1890</v>
      </c>
      <c r="D486" t="str">
        <f t="shared" si="74"/>
        <v>2501717624</v>
      </c>
      <c r="E486" t="s">
        <v>1536</v>
      </c>
      <c r="F486" t="str">
        <f t="shared" si="80"/>
        <v>400514</v>
      </c>
      <c r="G486" t="s">
        <v>429</v>
      </c>
      <c r="H486" t="s">
        <v>136</v>
      </c>
      <c r="I486" t="s">
        <v>41</v>
      </c>
      <c r="J486">
        <v>4</v>
      </c>
      <c r="K486">
        <v>40</v>
      </c>
      <c r="L486" t="str">
        <f t="shared" si="73"/>
        <v>521197</v>
      </c>
      <c r="M486" t="s">
        <v>1559</v>
      </c>
      <c r="N486" t="s">
        <v>1887</v>
      </c>
      <c r="O486" s="2">
        <v>46209.94390046296</v>
      </c>
      <c r="P486" s="2">
        <v>46209.94390046296</v>
      </c>
      <c r="Q486" s="2">
        <v>46209.94390046296</v>
      </c>
      <c r="R486" t="str">
        <f t="shared" si="81"/>
        <v>100010755</v>
      </c>
      <c r="S486" s="1">
        <v>47803</v>
      </c>
    </row>
    <row r="487" spans="1:19" x14ac:dyDescent="0.35">
      <c r="A487" t="s">
        <v>30</v>
      </c>
      <c r="B487" t="s">
        <v>31</v>
      </c>
      <c r="C487" t="s">
        <v>1890</v>
      </c>
      <c r="D487" t="str">
        <f t="shared" si="74"/>
        <v>2501717624</v>
      </c>
      <c r="E487" t="s">
        <v>1536</v>
      </c>
      <c r="F487" t="str">
        <f t="shared" si="80"/>
        <v>400514</v>
      </c>
      <c r="G487" t="s">
        <v>429</v>
      </c>
      <c r="H487" t="s">
        <v>138</v>
      </c>
      <c r="I487" t="s">
        <v>41</v>
      </c>
      <c r="J487">
        <v>4</v>
      </c>
      <c r="K487">
        <v>40</v>
      </c>
      <c r="L487" t="str">
        <f t="shared" si="73"/>
        <v>521197</v>
      </c>
      <c r="M487" t="s">
        <v>1559</v>
      </c>
      <c r="N487" t="s">
        <v>1887</v>
      </c>
      <c r="O487" s="2">
        <v>46209.943599537037</v>
      </c>
      <c r="P487" s="2">
        <v>46209.943599537037</v>
      </c>
      <c r="Q487" s="2">
        <v>46209.943599537037</v>
      </c>
      <c r="R487" t="str">
        <f t="shared" si="81"/>
        <v>100010755</v>
      </c>
      <c r="S487" s="1">
        <v>47803</v>
      </c>
    </row>
    <row r="488" spans="1:19" x14ac:dyDescent="0.35">
      <c r="A488" t="s">
        <v>30</v>
      </c>
      <c r="B488" t="s">
        <v>31</v>
      </c>
      <c r="C488" t="s">
        <v>1890</v>
      </c>
      <c r="D488" t="str">
        <f t="shared" si="74"/>
        <v>2501717624</v>
      </c>
      <c r="E488" t="s">
        <v>1536</v>
      </c>
      <c r="F488" t="str">
        <f t="shared" si="80"/>
        <v>400514</v>
      </c>
      <c r="G488" t="s">
        <v>429</v>
      </c>
      <c r="H488" t="s">
        <v>134</v>
      </c>
      <c r="I488" t="s">
        <v>41</v>
      </c>
      <c r="J488">
        <v>4</v>
      </c>
      <c r="K488">
        <v>40</v>
      </c>
      <c r="L488" t="str">
        <f t="shared" si="73"/>
        <v>521197</v>
      </c>
      <c r="M488" t="s">
        <v>1559</v>
      </c>
      <c r="N488" t="s">
        <v>1887</v>
      </c>
      <c r="O488" s="2">
        <v>46209.94326388889</v>
      </c>
      <c r="P488" s="2">
        <v>46209.94326388889</v>
      </c>
      <c r="Q488" s="2">
        <v>46209.94326388889</v>
      </c>
      <c r="R488" t="str">
        <f t="shared" si="81"/>
        <v>100010755</v>
      </c>
      <c r="S488" s="1">
        <v>47803</v>
      </c>
    </row>
    <row r="489" spans="1:19" x14ac:dyDescent="0.35">
      <c r="A489" t="s">
        <v>30</v>
      </c>
      <c r="B489" t="s">
        <v>31</v>
      </c>
      <c r="C489" t="s">
        <v>1890</v>
      </c>
      <c r="D489" t="str">
        <f t="shared" si="74"/>
        <v>2501717624</v>
      </c>
      <c r="E489" t="s">
        <v>1536</v>
      </c>
      <c r="F489" t="str">
        <f t="shared" si="80"/>
        <v>400514</v>
      </c>
      <c r="G489" t="s">
        <v>429</v>
      </c>
      <c r="H489" t="s">
        <v>130</v>
      </c>
      <c r="I489" t="s">
        <v>41</v>
      </c>
      <c r="J489">
        <v>4</v>
      </c>
      <c r="K489">
        <v>40</v>
      </c>
      <c r="L489" t="str">
        <f t="shared" si="73"/>
        <v>521197</v>
      </c>
      <c r="M489" t="s">
        <v>1559</v>
      </c>
      <c r="N489" t="s">
        <v>1887</v>
      </c>
      <c r="O489" s="2">
        <v>46209.942881944444</v>
      </c>
      <c r="P489" s="2">
        <v>46209.942881944444</v>
      </c>
      <c r="Q489" s="2">
        <v>46209.942881944444</v>
      </c>
      <c r="R489" t="str">
        <f t="shared" si="81"/>
        <v>100010755</v>
      </c>
      <c r="S489" s="1">
        <v>47803</v>
      </c>
    </row>
    <row r="490" spans="1:19" x14ac:dyDescent="0.35">
      <c r="A490" t="s">
        <v>30</v>
      </c>
      <c r="B490" t="s">
        <v>31</v>
      </c>
      <c r="C490" t="s">
        <v>1890</v>
      </c>
      <c r="D490" t="str">
        <f t="shared" si="74"/>
        <v>2501717624</v>
      </c>
      <c r="E490" t="s">
        <v>1536</v>
      </c>
      <c r="F490" t="str">
        <f t="shared" si="80"/>
        <v>400514</v>
      </c>
      <c r="G490" t="s">
        <v>429</v>
      </c>
      <c r="H490" t="s">
        <v>132</v>
      </c>
      <c r="I490" t="s">
        <v>41</v>
      </c>
      <c r="J490">
        <v>4</v>
      </c>
      <c r="K490">
        <v>40</v>
      </c>
      <c r="L490" t="str">
        <f t="shared" si="73"/>
        <v>521197</v>
      </c>
      <c r="M490" t="s">
        <v>1559</v>
      </c>
      <c r="N490" t="s">
        <v>1887</v>
      </c>
      <c r="O490" s="2">
        <v>46209.942650462966</v>
      </c>
      <c r="P490" s="2">
        <v>46209.942650462966</v>
      </c>
      <c r="Q490" s="2">
        <v>46209.942650462966</v>
      </c>
      <c r="R490" t="str">
        <f t="shared" si="81"/>
        <v>100010755</v>
      </c>
      <c r="S490" s="1">
        <v>47803</v>
      </c>
    </row>
    <row r="491" spans="1:19" x14ac:dyDescent="0.35">
      <c r="A491" t="s">
        <v>30</v>
      </c>
      <c r="B491" t="s">
        <v>31</v>
      </c>
      <c r="C491" t="s">
        <v>1890</v>
      </c>
      <c r="D491" t="str">
        <f t="shared" si="74"/>
        <v>2501717624</v>
      </c>
      <c r="E491" t="s">
        <v>1536</v>
      </c>
      <c r="F491" t="str">
        <f t="shared" si="80"/>
        <v>400514</v>
      </c>
      <c r="G491" t="s">
        <v>429</v>
      </c>
      <c r="H491" t="s">
        <v>1167</v>
      </c>
      <c r="I491" t="s">
        <v>41</v>
      </c>
      <c r="J491">
        <v>2</v>
      </c>
      <c r="K491">
        <v>40</v>
      </c>
      <c r="L491" t="str">
        <f t="shared" si="73"/>
        <v>521197</v>
      </c>
      <c r="M491" t="s">
        <v>1559</v>
      </c>
      <c r="N491" t="s">
        <v>1887</v>
      </c>
      <c r="O491" s="2">
        <v>46209.94222222222</v>
      </c>
      <c r="P491" s="2">
        <v>46209.94222222222</v>
      </c>
      <c r="Q491" s="2">
        <v>46209.94222222222</v>
      </c>
      <c r="R491" t="str">
        <f t="shared" si="81"/>
        <v>100010755</v>
      </c>
      <c r="S491" s="1">
        <v>47803</v>
      </c>
    </row>
    <row r="492" spans="1:19" x14ac:dyDescent="0.35">
      <c r="A492" t="s">
        <v>30</v>
      </c>
      <c r="B492" t="s">
        <v>31</v>
      </c>
      <c r="C492" t="s">
        <v>1892</v>
      </c>
      <c r="D492" t="str">
        <f>"2501717622"</f>
        <v>2501717622</v>
      </c>
      <c r="E492" t="s">
        <v>1536</v>
      </c>
      <c r="F492" t="str">
        <f>"400389"</f>
        <v>400389</v>
      </c>
      <c r="G492" t="s">
        <v>1726</v>
      </c>
      <c r="H492" t="s">
        <v>805</v>
      </c>
      <c r="I492" t="s">
        <v>41</v>
      </c>
      <c r="J492">
        <v>2</v>
      </c>
      <c r="K492">
        <v>2</v>
      </c>
      <c r="L492" t="str">
        <f>"521083"</f>
        <v>521083</v>
      </c>
      <c r="M492" t="s">
        <v>1893</v>
      </c>
      <c r="N492" t="s">
        <v>1745</v>
      </c>
      <c r="O492" s="2">
        <v>46209.93340277778</v>
      </c>
      <c r="P492" s="2">
        <v>46209.93340277778</v>
      </c>
      <c r="Q492" s="2">
        <v>46209.93340277778</v>
      </c>
      <c r="R492" t="str">
        <f>"153000317"</f>
        <v>153000317</v>
      </c>
      <c r="S492" s="1">
        <v>47980</v>
      </c>
    </row>
    <row r="493" spans="1:19" x14ac:dyDescent="0.35">
      <c r="A493" t="s">
        <v>30</v>
      </c>
      <c r="B493" t="s">
        <v>31</v>
      </c>
      <c r="C493" t="s">
        <v>1894</v>
      </c>
      <c r="D493" t="str">
        <f>"2501717612"</f>
        <v>2501717612</v>
      </c>
      <c r="E493" t="s">
        <v>1536</v>
      </c>
      <c r="F493" t="str">
        <f>"400402"</f>
        <v>400402</v>
      </c>
      <c r="G493" t="s">
        <v>1665</v>
      </c>
      <c r="H493" t="s">
        <v>613</v>
      </c>
      <c r="I493" t="s">
        <v>37</v>
      </c>
      <c r="J493">
        <v>49</v>
      </c>
      <c r="K493">
        <v>104</v>
      </c>
      <c r="L493" t="str">
        <f>"520721"</f>
        <v>520721</v>
      </c>
      <c r="M493" t="s">
        <v>1559</v>
      </c>
      <c r="N493" t="s">
        <v>1540</v>
      </c>
      <c r="O493" s="2">
        <v>46209.93204861111</v>
      </c>
      <c r="P493" s="2">
        <v>46209.93204861111</v>
      </c>
      <c r="Q493" s="2">
        <v>46209.93204861111</v>
      </c>
      <c r="R493" t="str">
        <f>"153000363"</f>
        <v>153000363</v>
      </c>
      <c r="S493" s="1">
        <v>48006</v>
      </c>
    </row>
    <row r="494" spans="1:19" x14ac:dyDescent="0.35">
      <c r="A494" t="s">
        <v>30</v>
      </c>
      <c r="B494" t="s">
        <v>31</v>
      </c>
      <c r="C494" t="s">
        <v>1894</v>
      </c>
      <c r="D494" t="str">
        <f>"2501717612"</f>
        <v>2501717612</v>
      </c>
      <c r="E494" t="s">
        <v>1536</v>
      </c>
      <c r="F494" t="str">
        <f>"400402"</f>
        <v>400402</v>
      </c>
      <c r="G494" t="s">
        <v>1665</v>
      </c>
      <c r="H494" t="s">
        <v>219</v>
      </c>
      <c r="I494" t="s">
        <v>37</v>
      </c>
      <c r="J494">
        <v>52</v>
      </c>
      <c r="K494">
        <v>104</v>
      </c>
      <c r="L494" t="str">
        <f>"520721"</f>
        <v>520721</v>
      </c>
      <c r="M494" t="s">
        <v>1559</v>
      </c>
      <c r="N494" t="s">
        <v>1540</v>
      </c>
      <c r="O494" s="2">
        <v>46209.93136574074</v>
      </c>
      <c r="P494" s="2">
        <v>46209.93136574074</v>
      </c>
      <c r="Q494" s="2">
        <v>46209.93136574074</v>
      </c>
      <c r="R494" t="str">
        <f>"153000363"</f>
        <v>153000363</v>
      </c>
      <c r="S494" s="1">
        <v>48006</v>
      </c>
    </row>
    <row r="495" spans="1:19" x14ac:dyDescent="0.35">
      <c r="A495" t="s">
        <v>30</v>
      </c>
      <c r="B495" t="s">
        <v>31</v>
      </c>
      <c r="C495" t="s">
        <v>1894</v>
      </c>
      <c r="D495" t="str">
        <f>"2501717612"</f>
        <v>2501717612</v>
      </c>
      <c r="E495" t="s">
        <v>1536</v>
      </c>
      <c r="F495" t="str">
        <f>"400402"</f>
        <v>400402</v>
      </c>
      <c r="G495" t="s">
        <v>1665</v>
      </c>
      <c r="H495" t="s">
        <v>613</v>
      </c>
      <c r="I495" t="s">
        <v>37</v>
      </c>
      <c r="J495">
        <v>3</v>
      </c>
      <c r="K495">
        <v>104</v>
      </c>
      <c r="L495" t="str">
        <f>"520721"</f>
        <v>520721</v>
      </c>
      <c r="M495" t="s">
        <v>1559</v>
      </c>
      <c r="N495" t="s">
        <v>1540</v>
      </c>
      <c r="O495" s="2">
        <v>46209.932118055556</v>
      </c>
      <c r="P495" s="2">
        <v>46209.932118055556</v>
      </c>
      <c r="Q495" s="2">
        <v>46209.932118055556</v>
      </c>
      <c r="R495" t="str">
        <f>"153000363"</f>
        <v>153000363</v>
      </c>
      <c r="S495" s="1">
        <v>48006</v>
      </c>
    </row>
    <row r="496" spans="1:19" x14ac:dyDescent="0.35">
      <c r="A496" t="s">
        <v>30</v>
      </c>
      <c r="B496" t="s">
        <v>31</v>
      </c>
      <c r="C496" t="s">
        <v>1895</v>
      </c>
      <c r="D496" t="str">
        <f t="shared" ref="D496:D504" si="82">"2501717603"</f>
        <v>2501717603</v>
      </c>
      <c r="E496" t="s">
        <v>1536</v>
      </c>
      <c r="F496" t="str">
        <f>"400912"</f>
        <v>400912</v>
      </c>
      <c r="G496" t="s">
        <v>174</v>
      </c>
      <c r="H496" t="s">
        <v>1734</v>
      </c>
      <c r="I496" t="s">
        <v>41</v>
      </c>
      <c r="J496">
        <v>2</v>
      </c>
      <c r="K496">
        <v>7</v>
      </c>
      <c r="L496" t="str">
        <f t="shared" ref="L496:L504" si="83">"521231"</f>
        <v>521231</v>
      </c>
      <c r="M496" t="s">
        <v>1835</v>
      </c>
      <c r="N496" t="s">
        <v>1896</v>
      </c>
      <c r="O496" s="2">
        <v>46209.453784722224</v>
      </c>
      <c r="P496" s="2">
        <v>46209.453784722224</v>
      </c>
      <c r="Q496" s="2">
        <v>46209.453784722224</v>
      </c>
      <c r="R496" t="str">
        <f>"400004175"</f>
        <v>400004175</v>
      </c>
      <c r="S496" s="1">
        <v>47899</v>
      </c>
    </row>
    <row r="497" spans="1:19" x14ac:dyDescent="0.35">
      <c r="A497" t="s">
        <v>30</v>
      </c>
      <c r="B497" t="s">
        <v>31</v>
      </c>
      <c r="C497" t="s">
        <v>1895</v>
      </c>
      <c r="D497" t="str">
        <f t="shared" si="82"/>
        <v>2501717603</v>
      </c>
      <c r="E497" t="s">
        <v>1536</v>
      </c>
      <c r="F497" t="str">
        <f>"400912"</f>
        <v>400912</v>
      </c>
      <c r="G497" t="s">
        <v>174</v>
      </c>
      <c r="H497" t="s">
        <v>461</v>
      </c>
      <c r="I497" t="s">
        <v>41</v>
      </c>
      <c r="J497">
        <v>4</v>
      </c>
      <c r="K497">
        <v>7</v>
      </c>
      <c r="L497" t="str">
        <f t="shared" si="83"/>
        <v>521231</v>
      </c>
      <c r="M497" t="s">
        <v>1835</v>
      </c>
      <c r="N497" t="s">
        <v>1896</v>
      </c>
      <c r="O497" s="2">
        <v>46209.449259259258</v>
      </c>
      <c r="P497" s="2">
        <v>46209.449259259258</v>
      </c>
      <c r="Q497" s="2">
        <v>46209.449259259258</v>
      </c>
      <c r="R497" t="str">
        <f>"400004175"</f>
        <v>400004175</v>
      </c>
      <c r="S497" s="1">
        <v>47899</v>
      </c>
    </row>
    <row r="498" spans="1:19" x14ac:dyDescent="0.35">
      <c r="A498" t="s">
        <v>30</v>
      </c>
      <c r="B498" t="s">
        <v>31</v>
      </c>
      <c r="C498" t="s">
        <v>1895</v>
      </c>
      <c r="D498" t="str">
        <f t="shared" si="82"/>
        <v>2501717603</v>
      </c>
      <c r="E498" t="s">
        <v>1536</v>
      </c>
      <c r="F498" t="str">
        <f>"400912"</f>
        <v>400912</v>
      </c>
      <c r="G498" t="s">
        <v>174</v>
      </c>
      <c r="H498" t="s">
        <v>370</v>
      </c>
      <c r="I498" t="s">
        <v>41</v>
      </c>
      <c r="J498">
        <v>4</v>
      </c>
      <c r="K498">
        <v>8</v>
      </c>
      <c r="L498" t="str">
        <f t="shared" si="83"/>
        <v>521231</v>
      </c>
      <c r="M498" t="s">
        <v>1835</v>
      </c>
      <c r="N498" t="s">
        <v>1896</v>
      </c>
      <c r="O498" s="2">
        <v>46209.448020833333</v>
      </c>
      <c r="P498" s="2">
        <v>46209.448020833333</v>
      </c>
      <c r="Q498" s="2">
        <v>46209.448020833333</v>
      </c>
      <c r="R498" t="str">
        <f>"400004176"</f>
        <v>400004176</v>
      </c>
      <c r="S498" s="1">
        <v>47899</v>
      </c>
    </row>
    <row r="499" spans="1:19" x14ac:dyDescent="0.35">
      <c r="A499" t="s">
        <v>30</v>
      </c>
      <c r="B499" t="s">
        <v>31</v>
      </c>
      <c r="C499" t="s">
        <v>1895</v>
      </c>
      <c r="D499" t="str">
        <f t="shared" si="82"/>
        <v>2501717603</v>
      </c>
      <c r="E499" t="s">
        <v>1536</v>
      </c>
      <c r="F499" t="str">
        <f>"400912"</f>
        <v>400912</v>
      </c>
      <c r="G499" t="s">
        <v>174</v>
      </c>
      <c r="H499" t="s">
        <v>364</v>
      </c>
      <c r="I499" t="s">
        <v>41</v>
      </c>
      <c r="J499">
        <v>4</v>
      </c>
      <c r="K499">
        <v>8</v>
      </c>
      <c r="L499" t="str">
        <f t="shared" si="83"/>
        <v>521231</v>
      </c>
      <c r="M499" t="s">
        <v>1835</v>
      </c>
      <c r="N499" t="s">
        <v>1896</v>
      </c>
      <c r="O499" s="2">
        <v>46209.446261574078</v>
      </c>
      <c r="P499" s="2">
        <v>46209.446261574078</v>
      </c>
      <c r="Q499" s="2">
        <v>46209.446261574078</v>
      </c>
      <c r="R499" t="str">
        <f>"400004176"</f>
        <v>400004176</v>
      </c>
      <c r="S499" s="1">
        <v>47899</v>
      </c>
    </row>
    <row r="500" spans="1:19" x14ac:dyDescent="0.35">
      <c r="A500" t="s">
        <v>30</v>
      </c>
      <c r="B500" t="s">
        <v>31</v>
      </c>
      <c r="C500" t="s">
        <v>1895</v>
      </c>
      <c r="D500" t="str">
        <f t="shared" si="82"/>
        <v>2501717603</v>
      </c>
      <c r="E500" t="s">
        <v>1536</v>
      </c>
      <c r="F500" t="str">
        <f>"400912"</f>
        <v>400912</v>
      </c>
      <c r="G500" t="s">
        <v>174</v>
      </c>
      <c r="H500" t="s">
        <v>229</v>
      </c>
      <c r="I500" t="s">
        <v>41</v>
      </c>
      <c r="J500">
        <v>1</v>
      </c>
      <c r="K500">
        <v>7</v>
      </c>
      <c r="L500" t="str">
        <f t="shared" si="83"/>
        <v>521231</v>
      </c>
      <c r="M500" t="s">
        <v>1835</v>
      </c>
      <c r="N500" t="s">
        <v>1896</v>
      </c>
      <c r="O500" s="2">
        <v>46209.443969907406</v>
      </c>
      <c r="P500" s="2">
        <v>46209.443969907406</v>
      </c>
      <c r="Q500" s="2">
        <v>46209.443969907406</v>
      </c>
      <c r="R500" t="str">
        <f>"400004175"</f>
        <v>400004175</v>
      </c>
      <c r="S500" s="1">
        <v>47899</v>
      </c>
    </row>
    <row r="501" spans="1:19" x14ac:dyDescent="0.35">
      <c r="A501" t="s">
        <v>30</v>
      </c>
      <c r="B501" t="s">
        <v>31</v>
      </c>
      <c r="C501" t="s">
        <v>1895</v>
      </c>
      <c r="D501" t="str">
        <f t="shared" si="82"/>
        <v>2501717603</v>
      </c>
      <c r="E501" t="s">
        <v>1536</v>
      </c>
      <c r="F501" t="str">
        <f>"400903"</f>
        <v>400903</v>
      </c>
      <c r="G501" t="s">
        <v>1712</v>
      </c>
      <c r="H501" t="s">
        <v>1163</v>
      </c>
      <c r="I501" t="s">
        <v>41</v>
      </c>
      <c r="J501">
        <v>1</v>
      </c>
      <c r="K501">
        <v>1</v>
      </c>
      <c r="L501" t="str">
        <f t="shared" si="83"/>
        <v>521231</v>
      </c>
      <c r="M501" t="s">
        <v>1835</v>
      </c>
      <c r="N501" t="s">
        <v>1896</v>
      </c>
      <c r="O501" s="2">
        <v>46209.472418981481</v>
      </c>
      <c r="P501" s="2">
        <v>46209.472418981481</v>
      </c>
      <c r="Q501" s="2">
        <v>46209.472418981481</v>
      </c>
      <c r="R501" t="str">
        <f>"600000994"</f>
        <v>600000994</v>
      </c>
      <c r="S501" s="1">
        <v>47834</v>
      </c>
    </row>
    <row r="502" spans="1:19" x14ac:dyDescent="0.35">
      <c r="A502" t="s">
        <v>30</v>
      </c>
      <c r="B502" t="s">
        <v>31</v>
      </c>
      <c r="C502" t="s">
        <v>1895</v>
      </c>
      <c r="D502" t="str">
        <f t="shared" si="82"/>
        <v>2501717603</v>
      </c>
      <c r="E502" t="s">
        <v>1536</v>
      </c>
      <c r="F502" t="str">
        <f>"400903"</f>
        <v>400903</v>
      </c>
      <c r="G502" t="s">
        <v>1712</v>
      </c>
      <c r="H502" t="s">
        <v>231</v>
      </c>
      <c r="I502" t="s">
        <v>41</v>
      </c>
      <c r="J502">
        <v>4</v>
      </c>
      <c r="K502">
        <v>9</v>
      </c>
      <c r="L502" t="str">
        <f t="shared" si="83"/>
        <v>521231</v>
      </c>
      <c r="M502" t="s">
        <v>1835</v>
      </c>
      <c r="N502" t="s">
        <v>1896</v>
      </c>
      <c r="O502" s="2">
        <v>46209.44195601852</v>
      </c>
      <c r="P502" s="2">
        <v>46209.44195601852</v>
      </c>
      <c r="Q502" s="2">
        <v>46209.44195601852</v>
      </c>
      <c r="R502" t="str">
        <f>"600000992"</f>
        <v>600000992</v>
      </c>
      <c r="S502" s="1">
        <v>47833</v>
      </c>
    </row>
    <row r="503" spans="1:19" x14ac:dyDescent="0.35">
      <c r="A503" t="s">
        <v>30</v>
      </c>
      <c r="B503" t="s">
        <v>31</v>
      </c>
      <c r="C503" t="s">
        <v>1895</v>
      </c>
      <c r="D503" t="str">
        <f t="shared" si="82"/>
        <v>2501717603</v>
      </c>
      <c r="E503" t="s">
        <v>1536</v>
      </c>
      <c r="F503" t="str">
        <f>"400903"</f>
        <v>400903</v>
      </c>
      <c r="G503" t="s">
        <v>1712</v>
      </c>
      <c r="H503" t="s">
        <v>187</v>
      </c>
      <c r="I503" t="s">
        <v>41</v>
      </c>
      <c r="J503">
        <v>4</v>
      </c>
      <c r="K503">
        <v>9</v>
      </c>
      <c r="L503" t="str">
        <f t="shared" si="83"/>
        <v>521231</v>
      </c>
      <c r="M503" t="s">
        <v>1835</v>
      </c>
      <c r="N503" t="s">
        <v>1896</v>
      </c>
      <c r="O503" s="2">
        <v>46209.441087962965</v>
      </c>
      <c r="P503" s="2">
        <v>46209.441087962965</v>
      </c>
      <c r="Q503" s="2">
        <v>46209.441087962965</v>
      </c>
      <c r="R503" t="str">
        <f>"600000992"</f>
        <v>600000992</v>
      </c>
      <c r="S503" s="1">
        <v>47833</v>
      </c>
    </row>
    <row r="504" spans="1:19" x14ac:dyDescent="0.35">
      <c r="A504" t="s">
        <v>30</v>
      </c>
      <c r="B504" t="s">
        <v>31</v>
      </c>
      <c r="C504" t="s">
        <v>1895</v>
      </c>
      <c r="D504" t="str">
        <f t="shared" si="82"/>
        <v>2501717603</v>
      </c>
      <c r="E504" t="s">
        <v>1536</v>
      </c>
      <c r="F504" t="str">
        <f>"400903"</f>
        <v>400903</v>
      </c>
      <c r="G504" t="s">
        <v>1712</v>
      </c>
      <c r="H504" t="s">
        <v>177</v>
      </c>
      <c r="I504" t="s">
        <v>41</v>
      </c>
      <c r="J504">
        <v>1</v>
      </c>
      <c r="K504">
        <v>9</v>
      </c>
      <c r="L504" t="str">
        <f t="shared" si="83"/>
        <v>521231</v>
      </c>
      <c r="M504" t="s">
        <v>1835</v>
      </c>
      <c r="N504" t="s">
        <v>1896</v>
      </c>
      <c r="O504" s="2">
        <v>46209.439502314817</v>
      </c>
      <c r="P504" s="2">
        <v>46209.439502314817</v>
      </c>
      <c r="Q504" s="2">
        <v>46209.439502314817</v>
      </c>
      <c r="R504" t="str">
        <f>"600000992"</f>
        <v>600000992</v>
      </c>
      <c r="S504" s="1">
        <v>47833</v>
      </c>
    </row>
    <row r="505" spans="1:19" x14ac:dyDescent="0.35">
      <c r="A505" t="s">
        <v>30</v>
      </c>
      <c r="B505" t="s">
        <v>31</v>
      </c>
      <c r="C505" t="s">
        <v>1897</v>
      </c>
      <c r="D505" t="str">
        <f>"2501717594"</f>
        <v>2501717594</v>
      </c>
      <c r="E505" t="s">
        <v>1536</v>
      </c>
      <c r="F505" t="str">
        <f>"400477"</f>
        <v>400477</v>
      </c>
      <c r="G505" t="s">
        <v>1842</v>
      </c>
      <c r="H505" t="s">
        <v>1606</v>
      </c>
      <c r="I505" t="s">
        <v>37</v>
      </c>
      <c r="J505">
        <v>13</v>
      </c>
      <c r="K505">
        <v>50</v>
      </c>
      <c r="L505" t="str">
        <f>"521181"</f>
        <v>521181</v>
      </c>
      <c r="M505" t="s">
        <v>1677</v>
      </c>
      <c r="N505" t="s">
        <v>1883</v>
      </c>
      <c r="O505" s="2">
        <v>46209.430972222224</v>
      </c>
      <c r="P505" s="2">
        <v>46209.430972222224</v>
      </c>
      <c r="Q505" s="2">
        <v>46209.430972222224</v>
      </c>
      <c r="R505" t="str">
        <f>"153000219"</f>
        <v>153000219</v>
      </c>
      <c r="S505" s="1">
        <v>47935</v>
      </c>
    </row>
    <row r="506" spans="1:19" x14ac:dyDescent="0.35">
      <c r="A506" t="s">
        <v>30</v>
      </c>
      <c r="B506" t="s">
        <v>31</v>
      </c>
      <c r="C506" t="s">
        <v>1897</v>
      </c>
      <c r="D506" t="str">
        <f>"2501717594"</f>
        <v>2501717594</v>
      </c>
      <c r="E506" t="s">
        <v>1536</v>
      </c>
      <c r="F506" t="str">
        <f>"400477"</f>
        <v>400477</v>
      </c>
      <c r="G506" t="s">
        <v>1842</v>
      </c>
      <c r="H506" t="s">
        <v>380</v>
      </c>
      <c r="I506" t="s">
        <v>37</v>
      </c>
      <c r="J506">
        <v>37</v>
      </c>
      <c r="K506">
        <v>50</v>
      </c>
      <c r="L506" t="str">
        <f>"521181"</f>
        <v>521181</v>
      </c>
      <c r="M506" t="s">
        <v>1677</v>
      </c>
      <c r="N506" t="s">
        <v>1883</v>
      </c>
      <c r="O506" s="2">
        <v>46209.429988425924</v>
      </c>
      <c r="P506" s="2">
        <v>46209.429988425924</v>
      </c>
      <c r="Q506" s="2">
        <v>46209.429988425924</v>
      </c>
      <c r="R506" t="str">
        <f>"153000219"</f>
        <v>153000219</v>
      </c>
      <c r="S506" s="1">
        <v>47935</v>
      </c>
    </row>
    <row r="507" spans="1:19" x14ac:dyDescent="0.35">
      <c r="A507" t="s">
        <v>30</v>
      </c>
      <c r="B507" t="s">
        <v>31</v>
      </c>
      <c r="C507" t="s">
        <v>1898</v>
      </c>
      <c r="D507" t="str">
        <f>"2501717601"</f>
        <v>2501717601</v>
      </c>
      <c r="E507" t="s">
        <v>1536</v>
      </c>
      <c r="F507" t="str">
        <f>"400405"</f>
        <v>400405</v>
      </c>
      <c r="G507" t="s">
        <v>519</v>
      </c>
      <c r="H507" t="s">
        <v>621</v>
      </c>
      <c r="I507" t="s">
        <v>37</v>
      </c>
      <c r="J507">
        <v>20</v>
      </c>
      <c r="K507">
        <v>20</v>
      </c>
      <c r="L507" t="str">
        <f>"521159"</f>
        <v>521159</v>
      </c>
      <c r="M507" t="s">
        <v>1899</v>
      </c>
      <c r="N507" t="s">
        <v>1652</v>
      </c>
      <c r="O507" s="2">
        <v>46209.436226851853</v>
      </c>
      <c r="P507" s="2">
        <v>46209.436226851853</v>
      </c>
      <c r="Q507" s="2">
        <v>46209.436226851853</v>
      </c>
      <c r="R507" t="str">
        <f>"153000359"</f>
        <v>153000359</v>
      </c>
      <c r="S507" s="1">
        <v>48005</v>
      </c>
    </row>
    <row r="508" spans="1:19" x14ac:dyDescent="0.35">
      <c r="A508" t="s">
        <v>30</v>
      </c>
      <c r="B508" t="s">
        <v>31</v>
      </c>
      <c r="C508" t="s">
        <v>1900</v>
      </c>
      <c r="D508" t="str">
        <f>"2501717592"</f>
        <v>2501717592</v>
      </c>
      <c r="E508" t="s">
        <v>1536</v>
      </c>
      <c r="F508" t="str">
        <f>"400402"</f>
        <v>400402</v>
      </c>
      <c r="G508" t="s">
        <v>1665</v>
      </c>
      <c r="H508" t="s">
        <v>1147</v>
      </c>
      <c r="I508" t="s">
        <v>37</v>
      </c>
      <c r="J508">
        <v>40</v>
      </c>
      <c r="K508">
        <v>40</v>
      </c>
      <c r="L508" t="str">
        <f>"521152"</f>
        <v>521152</v>
      </c>
      <c r="M508" t="s">
        <v>1559</v>
      </c>
      <c r="N508" t="s">
        <v>1681</v>
      </c>
      <c r="O508" s="2">
        <v>46209.423483796294</v>
      </c>
      <c r="P508" s="2">
        <v>46209.423483796294</v>
      </c>
      <c r="Q508" s="2">
        <v>46209.423483796294</v>
      </c>
      <c r="R508" t="str">
        <f>"153000363"</f>
        <v>153000363</v>
      </c>
      <c r="S508" s="1">
        <v>48006</v>
      </c>
    </row>
    <row r="509" spans="1:19" x14ac:dyDescent="0.35">
      <c r="A509" t="s">
        <v>30</v>
      </c>
      <c r="B509" t="s">
        <v>31</v>
      </c>
      <c r="C509" t="s">
        <v>1901</v>
      </c>
      <c r="D509" t="str">
        <f>"2501717581"</f>
        <v>2501717581</v>
      </c>
      <c r="E509" t="s">
        <v>1536</v>
      </c>
      <c r="F509" t="str">
        <f>"400477"</f>
        <v>400477</v>
      </c>
      <c r="G509" t="s">
        <v>1842</v>
      </c>
      <c r="H509" t="s">
        <v>380</v>
      </c>
      <c r="I509" t="s">
        <v>37</v>
      </c>
      <c r="J509">
        <v>15</v>
      </c>
      <c r="K509">
        <v>30</v>
      </c>
      <c r="L509" t="str">
        <f>"521067"</f>
        <v>521067</v>
      </c>
      <c r="M509" t="s">
        <v>1902</v>
      </c>
      <c r="N509" t="s">
        <v>1903</v>
      </c>
      <c r="O509" s="2">
        <v>46205.930567129632</v>
      </c>
      <c r="P509" s="2">
        <v>46205.930567129632</v>
      </c>
      <c r="Q509" s="2">
        <v>46205.930567129632</v>
      </c>
      <c r="R509" t="str">
        <f>"153000219"</f>
        <v>153000219</v>
      </c>
      <c r="S509" s="1">
        <v>47935</v>
      </c>
    </row>
    <row r="510" spans="1:19" x14ac:dyDescent="0.35">
      <c r="A510" t="s">
        <v>30</v>
      </c>
      <c r="B510" t="s">
        <v>31</v>
      </c>
      <c r="C510" t="s">
        <v>1901</v>
      </c>
      <c r="D510" t="str">
        <f>"2501717581"</f>
        <v>2501717581</v>
      </c>
      <c r="E510" t="s">
        <v>1536</v>
      </c>
      <c r="F510" t="str">
        <f>"400477"</f>
        <v>400477</v>
      </c>
      <c r="G510" t="s">
        <v>1842</v>
      </c>
      <c r="H510" t="s">
        <v>384</v>
      </c>
      <c r="I510" t="s">
        <v>37</v>
      </c>
      <c r="J510">
        <v>15</v>
      </c>
      <c r="K510">
        <v>30</v>
      </c>
      <c r="L510" t="str">
        <f>"521067"</f>
        <v>521067</v>
      </c>
      <c r="M510" t="s">
        <v>1902</v>
      </c>
      <c r="N510" t="s">
        <v>1903</v>
      </c>
      <c r="O510" s="2">
        <v>46205.929282407407</v>
      </c>
      <c r="P510" s="2">
        <v>46205.929282407407</v>
      </c>
      <c r="Q510" s="2">
        <v>46205.929282407407</v>
      </c>
      <c r="R510" t="str">
        <f>"153000219"</f>
        <v>153000219</v>
      </c>
      <c r="S510" s="1">
        <v>47935</v>
      </c>
    </row>
    <row r="511" spans="1:19" x14ac:dyDescent="0.35">
      <c r="A511" t="s">
        <v>30</v>
      </c>
      <c r="B511" t="s">
        <v>31</v>
      </c>
      <c r="C511" t="s">
        <v>1904</v>
      </c>
      <c r="D511" t="str">
        <f>"2501717580"</f>
        <v>2501717580</v>
      </c>
      <c r="E511" t="s">
        <v>1536</v>
      </c>
      <c r="F511" t="str">
        <f>"400477"</f>
        <v>400477</v>
      </c>
      <c r="G511" t="s">
        <v>1842</v>
      </c>
      <c r="H511" t="s">
        <v>384</v>
      </c>
      <c r="I511" t="s">
        <v>37</v>
      </c>
      <c r="J511">
        <v>10</v>
      </c>
      <c r="K511">
        <v>10</v>
      </c>
      <c r="L511" t="str">
        <f>"521083"</f>
        <v>521083</v>
      </c>
      <c r="M511" t="s">
        <v>1905</v>
      </c>
      <c r="N511" t="s">
        <v>1745</v>
      </c>
      <c r="O511" s="2">
        <v>46205.927129629628</v>
      </c>
      <c r="P511" s="2">
        <v>46205.927129629628</v>
      </c>
      <c r="Q511" s="2">
        <v>46205.927129629628</v>
      </c>
      <c r="R511" t="str">
        <f>"153000219"</f>
        <v>153000219</v>
      </c>
      <c r="S511" s="1">
        <v>47935</v>
      </c>
    </row>
    <row r="512" spans="1:19" x14ac:dyDescent="0.35">
      <c r="A512" t="s">
        <v>30</v>
      </c>
      <c r="B512" t="s">
        <v>31</v>
      </c>
      <c r="C512" t="s">
        <v>1906</v>
      </c>
      <c r="D512" t="str">
        <f>"2501717579"</f>
        <v>2501717579</v>
      </c>
      <c r="E512" t="s">
        <v>1536</v>
      </c>
      <c r="F512" t="str">
        <f>"400411"</f>
        <v>400411</v>
      </c>
      <c r="G512" t="s">
        <v>1537</v>
      </c>
      <c r="H512" t="s">
        <v>1057</v>
      </c>
      <c r="I512" t="s">
        <v>41</v>
      </c>
      <c r="J512">
        <v>1</v>
      </c>
      <c r="K512">
        <v>1</v>
      </c>
      <c r="L512" t="str">
        <f>"521036"</f>
        <v>521036</v>
      </c>
      <c r="M512" t="s">
        <v>1542</v>
      </c>
      <c r="N512" t="s">
        <v>1728</v>
      </c>
      <c r="O512" s="2">
        <v>46205.950011574074</v>
      </c>
      <c r="P512" s="2">
        <v>46205.950011574074</v>
      </c>
      <c r="Q512" s="2">
        <v>46205.950011574074</v>
      </c>
      <c r="R512" t="str">
        <f>"153000352"</f>
        <v>153000352</v>
      </c>
      <c r="S512" s="1">
        <v>48002</v>
      </c>
    </row>
    <row r="513" spans="1:19" x14ac:dyDescent="0.35">
      <c r="A513" t="s">
        <v>30</v>
      </c>
      <c r="B513" t="s">
        <v>31</v>
      </c>
      <c r="C513" t="s">
        <v>1906</v>
      </c>
      <c r="D513" t="str">
        <f>"2501717579"</f>
        <v>2501717579</v>
      </c>
      <c r="E513" t="s">
        <v>1536</v>
      </c>
      <c r="F513" t="str">
        <f>"400407"</f>
        <v>400407</v>
      </c>
      <c r="G513" t="s">
        <v>1675</v>
      </c>
      <c r="H513" t="s">
        <v>769</v>
      </c>
      <c r="I513" t="s">
        <v>41</v>
      </c>
      <c r="J513">
        <v>1</v>
      </c>
      <c r="K513">
        <v>1</v>
      </c>
      <c r="L513" t="str">
        <f>"521036"</f>
        <v>521036</v>
      </c>
      <c r="M513" t="s">
        <v>1542</v>
      </c>
      <c r="N513" t="s">
        <v>1728</v>
      </c>
      <c r="O513" s="2">
        <v>46205.948125000003</v>
      </c>
      <c r="P513" s="2">
        <v>46205.948125000003</v>
      </c>
      <c r="Q513" s="2">
        <v>46205.948125000003</v>
      </c>
      <c r="R513" t="str">
        <f>"153000174"</f>
        <v>153000174</v>
      </c>
      <c r="S513" s="1">
        <v>47917</v>
      </c>
    </row>
    <row r="514" spans="1:19" x14ac:dyDescent="0.35">
      <c r="A514" t="s">
        <v>30</v>
      </c>
      <c r="B514" t="s">
        <v>31</v>
      </c>
      <c r="C514" t="s">
        <v>1907</v>
      </c>
      <c r="D514" t="str">
        <f t="shared" ref="D514:D519" si="84">"2501717578"</f>
        <v>2501717578</v>
      </c>
      <c r="E514" t="s">
        <v>1536</v>
      </c>
      <c r="F514" t="str">
        <f>"400402"</f>
        <v>400402</v>
      </c>
      <c r="G514" t="s">
        <v>1665</v>
      </c>
      <c r="H514" t="s">
        <v>1147</v>
      </c>
      <c r="I514" t="s">
        <v>37</v>
      </c>
      <c r="J514">
        <v>9</v>
      </c>
      <c r="K514">
        <v>75</v>
      </c>
      <c r="L514" t="str">
        <f t="shared" ref="L514:L519" si="85">"521152"</f>
        <v>521152</v>
      </c>
      <c r="M514" t="s">
        <v>1559</v>
      </c>
      <c r="N514" t="s">
        <v>1681</v>
      </c>
      <c r="O514" s="2">
        <v>46205.920300925929</v>
      </c>
      <c r="P514" s="2">
        <v>46205.920300925929</v>
      </c>
      <c r="Q514" s="2">
        <v>46205.920300925929</v>
      </c>
      <c r="R514" t="str">
        <f>"153000363"</f>
        <v>153000363</v>
      </c>
      <c r="S514" s="1">
        <v>48006</v>
      </c>
    </row>
    <row r="515" spans="1:19" x14ac:dyDescent="0.35">
      <c r="A515" t="s">
        <v>30</v>
      </c>
      <c r="B515" t="s">
        <v>31</v>
      </c>
      <c r="C515" t="s">
        <v>1907</v>
      </c>
      <c r="D515" t="str">
        <f t="shared" si="84"/>
        <v>2501717578</v>
      </c>
      <c r="E515" t="s">
        <v>1536</v>
      </c>
      <c r="F515" t="str">
        <f>"400402"</f>
        <v>400402</v>
      </c>
      <c r="G515" t="s">
        <v>1665</v>
      </c>
      <c r="H515" t="s">
        <v>1315</v>
      </c>
      <c r="I515" t="s">
        <v>37</v>
      </c>
      <c r="J515">
        <v>52</v>
      </c>
      <c r="K515">
        <v>75</v>
      </c>
      <c r="L515" t="str">
        <f t="shared" si="85"/>
        <v>521152</v>
      </c>
      <c r="M515" t="s">
        <v>1559</v>
      </c>
      <c r="N515" t="s">
        <v>1681</v>
      </c>
      <c r="O515" s="2">
        <v>46205.922291666669</v>
      </c>
      <c r="P515" s="2">
        <v>46205.922291666669</v>
      </c>
      <c r="Q515" s="2">
        <v>46205.922291666669</v>
      </c>
      <c r="R515" t="str">
        <f>"153000363"</f>
        <v>153000363</v>
      </c>
      <c r="S515" s="1">
        <v>48006</v>
      </c>
    </row>
    <row r="516" spans="1:19" x14ac:dyDescent="0.35">
      <c r="A516" t="s">
        <v>30</v>
      </c>
      <c r="B516" t="s">
        <v>31</v>
      </c>
      <c r="C516" t="s">
        <v>1907</v>
      </c>
      <c r="D516" t="str">
        <f t="shared" si="84"/>
        <v>2501717578</v>
      </c>
      <c r="E516" t="s">
        <v>1536</v>
      </c>
      <c r="F516" t="str">
        <f>"400402"</f>
        <v>400402</v>
      </c>
      <c r="G516" t="s">
        <v>1665</v>
      </c>
      <c r="H516" t="s">
        <v>459</v>
      </c>
      <c r="I516" t="s">
        <v>37</v>
      </c>
      <c r="J516">
        <v>14</v>
      </c>
      <c r="K516">
        <v>75</v>
      </c>
      <c r="L516" t="str">
        <f t="shared" si="85"/>
        <v>521152</v>
      </c>
      <c r="M516" t="s">
        <v>1559</v>
      </c>
      <c r="N516" t="s">
        <v>1681</v>
      </c>
      <c r="O516" s="2">
        <v>46205.918506944443</v>
      </c>
      <c r="P516" s="2">
        <v>46205.918506944443</v>
      </c>
      <c r="Q516" s="2">
        <v>46205.918506944443</v>
      </c>
      <c r="R516" t="str">
        <f>"153000363"</f>
        <v>153000363</v>
      </c>
      <c r="S516" s="1">
        <v>48006</v>
      </c>
    </row>
    <row r="517" spans="1:19" x14ac:dyDescent="0.35">
      <c r="A517" t="s">
        <v>30</v>
      </c>
      <c r="B517" t="s">
        <v>31</v>
      </c>
      <c r="C517" t="s">
        <v>1907</v>
      </c>
      <c r="D517" t="str">
        <f t="shared" si="84"/>
        <v>2501717578</v>
      </c>
      <c r="E517" t="s">
        <v>1536</v>
      </c>
      <c r="F517" t="str">
        <f>"400390"</f>
        <v>400390</v>
      </c>
      <c r="G517" t="s">
        <v>1706</v>
      </c>
      <c r="H517" t="s">
        <v>699</v>
      </c>
      <c r="I517" t="s">
        <v>37</v>
      </c>
      <c r="J517">
        <v>21</v>
      </c>
      <c r="K517">
        <v>100</v>
      </c>
      <c r="L517" t="str">
        <f t="shared" si="85"/>
        <v>521152</v>
      </c>
      <c r="M517" t="s">
        <v>1559</v>
      </c>
      <c r="N517" t="s">
        <v>1681</v>
      </c>
      <c r="O517" s="2">
        <v>46205.914583333331</v>
      </c>
      <c r="P517" s="2">
        <v>46205.914583333331</v>
      </c>
      <c r="Q517" s="2">
        <v>46205.914583333331</v>
      </c>
      <c r="R517" t="str">
        <f>"153000291"</f>
        <v>153000291</v>
      </c>
      <c r="S517" s="1">
        <v>47973</v>
      </c>
    </row>
    <row r="518" spans="1:19" x14ac:dyDescent="0.35">
      <c r="A518" t="s">
        <v>30</v>
      </c>
      <c r="B518" t="s">
        <v>31</v>
      </c>
      <c r="C518" t="s">
        <v>1907</v>
      </c>
      <c r="D518" t="str">
        <f t="shared" si="84"/>
        <v>2501717578</v>
      </c>
      <c r="E518" t="s">
        <v>1536</v>
      </c>
      <c r="F518" t="str">
        <f>"400390"</f>
        <v>400390</v>
      </c>
      <c r="G518" t="s">
        <v>1706</v>
      </c>
      <c r="H518" t="s">
        <v>110</v>
      </c>
      <c r="I518" t="s">
        <v>37</v>
      </c>
      <c r="J518">
        <v>52</v>
      </c>
      <c r="K518">
        <v>100</v>
      </c>
      <c r="L518" t="str">
        <f t="shared" si="85"/>
        <v>521152</v>
      </c>
      <c r="M518" t="s">
        <v>1559</v>
      </c>
      <c r="N518" t="s">
        <v>1681</v>
      </c>
      <c r="O518" s="2">
        <v>46205.912581018521</v>
      </c>
      <c r="P518" s="2">
        <v>46205.912581018521</v>
      </c>
      <c r="Q518" s="2">
        <v>46205.912581018521</v>
      </c>
      <c r="R518" t="str">
        <f>"153000291"</f>
        <v>153000291</v>
      </c>
      <c r="S518" s="1">
        <v>47973</v>
      </c>
    </row>
    <row r="519" spans="1:19" x14ac:dyDescent="0.35">
      <c r="A519" t="s">
        <v>30</v>
      </c>
      <c r="B519" t="s">
        <v>31</v>
      </c>
      <c r="C519" t="s">
        <v>1907</v>
      </c>
      <c r="D519" t="str">
        <f t="shared" si="84"/>
        <v>2501717578</v>
      </c>
      <c r="E519" t="s">
        <v>1536</v>
      </c>
      <c r="F519" t="str">
        <f>"400390"</f>
        <v>400390</v>
      </c>
      <c r="G519" t="s">
        <v>1706</v>
      </c>
      <c r="H519" t="s">
        <v>1505</v>
      </c>
      <c r="I519" t="s">
        <v>37</v>
      </c>
      <c r="J519">
        <v>27</v>
      </c>
      <c r="K519">
        <v>100</v>
      </c>
      <c r="L519" t="str">
        <f t="shared" si="85"/>
        <v>521152</v>
      </c>
      <c r="M519" t="s">
        <v>1559</v>
      </c>
      <c r="N519" t="s">
        <v>1681</v>
      </c>
      <c r="O519" s="2">
        <v>46205.91138888889</v>
      </c>
      <c r="P519" s="2">
        <v>46205.91138888889</v>
      </c>
      <c r="Q519" s="2">
        <v>46205.91138888889</v>
      </c>
      <c r="R519" t="str">
        <f>"153000291"</f>
        <v>153000291</v>
      </c>
      <c r="S519" s="1">
        <v>47973</v>
      </c>
    </row>
    <row r="520" spans="1:19" x14ac:dyDescent="0.35">
      <c r="A520" t="s">
        <v>30</v>
      </c>
      <c r="B520" t="s">
        <v>31</v>
      </c>
      <c r="C520" t="s">
        <v>1908</v>
      </c>
      <c r="D520" t="str">
        <f>"2501717576"</f>
        <v>2501717576</v>
      </c>
      <c r="E520" t="s">
        <v>1536</v>
      </c>
      <c r="F520" t="str">
        <f>"400390"</f>
        <v>400390</v>
      </c>
      <c r="G520" t="s">
        <v>1706</v>
      </c>
      <c r="H520" t="s">
        <v>1505</v>
      </c>
      <c r="I520" t="s">
        <v>37</v>
      </c>
      <c r="J520">
        <v>20</v>
      </c>
      <c r="K520">
        <v>20</v>
      </c>
      <c r="L520" t="str">
        <f t="shared" ref="L520:L525" si="86">"521161"</f>
        <v>521161</v>
      </c>
      <c r="M520" t="s">
        <v>1909</v>
      </c>
      <c r="N520" t="s">
        <v>1556</v>
      </c>
      <c r="O520" s="2">
        <v>46205.909432870372</v>
      </c>
      <c r="P520" s="2">
        <v>46205.909432870372</v>
      </c>
      <c r="Q520" s="2">
        <v>46205.909432870372</v>
      </c>
      <c r="R520" t="str">
        <f>"153000291"</f>
        <v>153000291</v>
      </c>
      <c r="S520" s="1">
        <v>47973</v>
      </c>
    </row>
    <row r="521" spans="1:19" x14ac:dyDescent="0.35">
      <c r="A521" t="s">
        <v>30</v>
      </c>
      <c r="B521" t="s">
        <v>31</v>
      </c>
      <c r="C521" t="s">
        <v>1908</v>
      </c>
      <c r="D521" t="str">
        <f>"2501717576"</f>
        <v>2501717576</v>
      </c>
      <c r="E521" t="s">
        <v>1536</v>
      </c>
      <c r="F521" t="str">
        <f>"400405"</f>
        <v>400405</v>
      </c>
      <c r="G521" t="s">
        <v>519</v>
      </c>
      <c r="H521" t="s">
        <v>621</v>
      </c>
      <c r="I521" t="s">
        <v>37</v>
      </c>
      <c r="J521">
        <v>10</v>
      </c>
      <c r="K521">
        <v>15</v>
      </c>
      <c r="L521" t="str">
        <f t="shared" si="86"/>
        <v>521161</v>
      </c>
      <c r="M521" t="s">
        <v>1909</v>
      </c>
      <c r="N521" t="s">
        <v>1556</v>
      </c>
      <c r="O521" s="2">
        <v>46205.906655092593</v>
      </c>
      <c r="P521" s="2">
        <v>46205.906655092593</v>
      </c>
      <c r="Q521" s="2">
        <v>46205.906655092593</v>
      </c>
      <c r="R521" t="str">
        <f>"153000359"</f>
        <v>153000359</v>
      </c>
      <c r="S521" s="1">
        <v>48005</v>
      </c>
    </row>
    <row r="522" spans="1:19" x14ac:dyDescent="0.35">
      <c r="A522" t="s">
        <v>30</v>
      </c>
      <c r="B522" t="s">
        <v>31</v>
      </c>
      <c r="C522" t="s">
        <v>1908</v>
      </c>
      <c r="D522" t="str">
        <f>"2501717576"</f>
        <v>2501717576</v>
      </c>
      <c r="E522" t="s">
        <v>1536</v>
      </c>
      <c r="F522" t="str">
        <f>"400405"</f>
        <v>400405</v>
      </c>
      <c r="G522" t="s">
        <v>519</v>
      </c>
      <c r="H522" t="s">
        <v>390</v>
      </c>
      <c r="I522" t="s">
        <v>37</v>
      </c>
      <c r="J522">
        <v>5</v>
      </c>
      <c r="K522">
        <v>15</v>
      </c>
      <c r="L522" t="str">
        <f t="shared" si="86"/>
        <v>521161</v>
      </c>
      <c r="M522" t="s">
        <v>1909</v>
      </c>
      <c r="N522" t="s">
        <v>1556</v>
      </c>
      <c r="O522" s="2">
        <v>46205.904247685183</v>
      </c>
      <c r="P522" s="2">
        <v>46205.90425925926</v>
      </c>
      <c r="Q522" s="2">
        <v>46205.90425925926</v>
      </c>
      <c r="R522" t="str">
        <f>"153000359"</f>
        <v>153000359</v>
      </c>
      <c r="S522" s="1">
        <v>48005</v>
      </c>
    </row>
    <row r="523" spans="1:19" x14ac:dyDescent="0.35">
      <c r="A523" t="s">
        <v>30</v>
      </c>
      <c r="B523" t="s">
        <v>31</v>
      </c>
      <c r="C523" t="s">
        <v>1910</v>
      </c>
      <c r="D523" t="str">
        <f>"2501717575"</f>
        <v>2501717575</v>
      </c>
      <c r="E523" t="s">
        <v>1536</v>
      </c>
      <c r="F523" t="str">
        <f>"400420"</f>
        <v>400420</v>
      </c>
      <c r="G523" t="s">
        <v>1661</v>
      </c>
      <c r="H523" t="s">
        <v>189</v>
      </c>
      <c r="I523" t="s">
        <v>37</v>
      </c>
      <c r="J523">
        <v>10</v>
      </c>
      <c r="K523">
        <v>10</v>
      </c>
      <c r="L523" t="str">
        <f t="shared" si="86"/>
        <v>521161</v>
      </c>
      <c r="M523" t="s">
        <v>1911</v>
      </c>
      <c r="N523" t="s">
        <v>1556</v>
      </c>
      <c r="O523" s="2">
        <v>46205.900462962964</v>
      </c>
      <c r="P523" s="2">
        <v>46205.900462962964</v>
      </c>
      <c r="Q523" s="2">
        <v>46205.900462962964</v>
      </c>
      <c r="R523" t="str">
        <f>"153000320"</f>
        <v>153000320</v>
      </c>
      <c r="S523" s="1">
        <v>47981</v>
      </c>
    </row>
    <row r="524" spans="1:19" x14ac:dyDescent="0.35">
      <c r="A524" t="s">
        <v>30</v>
      </c>
      <c r="B524" t="s">
        <v>31</v>
      </c>
      <c r="C524" t="s">
        <v>1910</v>
      </c>
      <c r="D524" t="str">
        <f>"2501717575"</f>
        <v>2501717575</v>
      </c>
      <c r="E524" t="s">
        <v>1536</v>
      </c>
      <c r="F524" t="str">
        <f>"400390"</f>
        <v>400390</v>
      </c>
      <c r="G524" t="s">
        <v>1706</v>
      </c>
      <c r="H524" t="s">
        <v>1505</v>
      </c>
      <c r="I524" t="s">
        <v>37</v>
      </c>
      <c r="J524">
        <v>5</v>
      </c>
      <c r="K524">
        <v>20</v>
      </c>
      <c r="L524" t="str">
        <f t="shared" si="86"/>
        <v>521161</v>
      </c>
      <c r="M524" t="s">
        <v>1911</v>
      </c>
      <c r="N524" t="s">
        <v>1556</v>
      </c>
      <c r="O524" s="2">
        <v>46205.899502314816</v>
      </c>
      <c r="P524" s="2">
        <v>46205.899502314816</v>
      </c>
      <c r="Q524" s="2">
        <v>46205.899502314816</v>
      </c>
      <c r="R524" t="str">
        <f>"153000291"</f>
        <v>153000291</v>
      </c>
      <c r="S524" s="1">
        <v>47973</v>
      </c>
    </row>
    <row r="525" spans="1:19" x14ac:dyDescent="0.35">
      <c r="A525" t="s">
        <v>30</v>
      </c>
      <c r="B525" t="s">
        <v>31</v>
      </c>
      <c r="C525" t="s">
        <v>1910</v>
      </c>
      <c r="D525" t="str">
        <f>"2501717575"</f>
        <v>2501717575</v>
      </c>
      <c r="E525" t="s">
        <v>1536</v>
      </c>
      <c r="F525" t="str">
        <f>"400390"</f>
        <v>400390</v>
      </c>
      <c r="G525" t="s">
        <v>1706</v>
      </c>
      <c r="H525" t="s">
        <v>1912</v>
      </c>
      <c r="I525" t="s">
        <v>37</v>
      </c>
      <c r="J525">
        <v>15</v>
      </c>
      <c r="K525">
        <v>20</v>
      </c>
      <c r="L525" t="str">
        <f t="shared" si="86"/>
        <v>521161</v>
      </c>
      <c r="M525" t="s">
        <v>1911</v>
      </c>
      <c r="N525" t="s">
        <v>1556</v>
      </c>
      <c r="O525" s="2">
        <v>46205.897523148145</v>
      </c>
      <c r="P525" s="2">
        <v>46205.897523148145</v>
      </c>
      <c r="Q525" s="2">
        <v>46205.897523148145</v>
      </c>
      <c r="R525" t="str">
        <f>"153000291"</f>
        <v>153000291</v>
      </c>
      <c r="S525" s="1">
        <v>47973</v>
      </c>
    </row>
    <row r="526" spans="1:19" x14ac:dyDescent="0.35">
      <c r="A526" t="s">
        <v>30</v>
      </c>
      <c r="B526" t="s">
        <v>31</v>
      </c>
      <c r="C526" t="s">
        <v>1913</v>
      </c>
      <c r="D526" t="str">
        <f>"2501717573"</f>
        <v>2501717573</v>
      </c>
      <c r="E526" t="s">
        <v>1536</v>
      </c>
      <c r="F526" t="str">
        <f>"400902"</f>
        <v>400902</v>
      </c>
      <c r="G526" t="s">
        <v>1627</v>
      </c>
      <c r="H526" t="s">
        <v>1298</v>
      </c>
      <c r="I526" t="s">
        <v>37</v>
      </c>
      <c r="J526">
        <v>21</v>
      </c>
      <c r="K526">
        <v>32</v>
      </c>
      <c r="L526" t="str">
        <f>"520605"</f>
        <v>520605</v>
      </c>
      <c r="M526" t="s">
        <v>1811</v>
      </c>
      <c r="N526" t="s">
        <v>1719</v>
      </c>
      <c r="O526" s="2">
        <v>46205.940613425926</v>
      </c>
      <c r="P526" s="2">
        <v>46205.940613425926</v>
      </c>
      <c r="Q526" s="2">
        <v>46205.940613425926</v>
      </c>
      <c r="R526" t="str">
        <f>"950001333"</f>
        <v>950001333</v>
      </c>
      <c r="S526" s="1">
        <v>47948</v>
      </c>
    </row>
    <row r="527" spans="1:19" x14ac:dyDescent="0.35">
      <c r="A527" t="s">
        <v>30</v>
      </c>
      <c r="B527" t="s">
        <v>31</v>
      </c>
      <c r="C527" t="s">
        <v>1913</v>
      </c>
      <c r="D527" t="str">
        <f>"2501717573"</f>
        <v>2501717573</v>
      </c>
      <c r="E527" t="s">
        <v>1536</v>
      </c>
      <c r="F527" t="str">
        <f>"400902"</f>
        <v>400902</v>
      </c>
      <c r="G527" t="s">
        <v>1627</v>
      </c>
      <c r="H527" t="s">
        <v>402</v>
      </c>
      <c r="I527" t="s">
        <v>37</v>
      </c>
      <c r="J527">
        <v>11</v>
      </c>
      <c r="K527">
        <v>32</v>
      </c>
      <c r="L527" t="str">
        <f>"520605"</f>
        <v>520605</v>
      </c>
      <c r="M527" t="s">
        <v>1811</v>
      </c>
      <c r="N527" t="s">
        <v>1719</v>
      </c>
      <c r="O527" s="2">
        <v>46205.934479166666</v>
      </c>
      <c r="P527" s="2">
        <v>46205.934490740743</v>
      </c>
      <c r="Q527" s="2">
        <v>46205.934490740743</v>
      </c>
      <c r="R527" t="str">
        <f>"950001333"</f>
        <v>950001333</v>
      </c>
      <c r="S527" s="1">
        <v>47948</v>
      </c>
    </row>
    <row r="528" spans="1:19" x14ac:dyDescent="0.35">
      <c r="A528" t="s">
        <v>30</v>
      </c>
      <c r="B528" t="s">
        <v>31</v>
      </c>
      <c r="C528" t="s">
        <v>1914</v>
      </c>
      <c r="D528" t="str">
        <f t="shared" ref="D528:D535" si="87">"2501717562"</f>
        <v>2501717562</v>
      </c>
      <c r="E528" t="s">
        <v>1536</v>
      </c>
      <c r="F528" t="str">
        <f>"400393"</f>
        <v>400393</v>
      </c>
      <c r="G528" t="s">
        <v>1603</v>
      </c>
      <c r="H528" t="s">
        <v>1724</v>
      </c>
      <c r="I528" t="s">
        <v>37</v>
      </c>
      <c r="J528">
        <v>30</v>
      </c>
      <c r="K528">
        <v>40</v>
      </c>
      <c r="L528" t="str">
        <f t="shared" ref="L528:L535" si="88">"521152"</f>
        <v>521152</v>
      </c>
      <c r="M528" t="s">
        <v>1559</v>
      </c>
      <c r="N528" t="s">
        <v>1681</v>
      </c>
      <c r="O528" s="2">
        <v>46204.801076388889</v>
      </c>
      <c r="P528" s="2">
        <v>46204.801076388889</v>
      </c>
      <c r="Q528" s="2">
        <v>46204.801076388889</v>
      </c>
      <c r="R528" t="str">
        <f>"153000215"</f>
        <v>153000215</v>
      </c>
      <c r="S528" s="1">
        <v>47934</v>
      </c>
    </row>
    <row r="529" spans="1:19" x14ac:dyDescent="0.35">
      <c r="A529" t="s">
        <v>30</v>
      </c>
      <c r="B529" t="s">
        <v>31</v>
      </c>
      <c r="C529" t="s">
        <v>1914</v>
      </c>
      <c r="D529" t="str">
        <f t="shared" si="87"/>
        <v>2501717562</v>
      </c>
      <c r="E529" t="s">
        <v>1536</v>
      </c>
      <c r="F529" t="str">
        <f>"400393"</f>
        <v>400393</v>
      </c>
      <c r="G529" t="s">
        <v>1603</v>
      </c>
      <c r="H529" t="s">
        <v>1724</v>
      </c>
      <c r="I529" t="s">
        <v>37</v>
      </c>
      <c r="J529">
        <v>10</v>
      </c>
      <c r="K529">
        <v>40</v>
      </c>
      <c r="L529" t="str">
        <f t="shared" si="88"/>
        <v>521152</v>
      </c>
      <c r="M529" t="s">
        <v>1559</v>
      </c>
      <c r="N529" t="s">
        <v>1681</v>
      </c>
      <c r="O529" s="2">
        <v>46204.801030092596</v>
      </c>
      <c r="P529" s="2">
        <v>46204.801030092596</v>
      </c>
      <c r="Q529" s="2">
        <v>46204.801030092596</v>
      </c>
      <c r="R529" t="str">
        <f>"153000215"</f>
        <v>153000215</v>
      </c>
      <c r="S529" s="1">
        <v>47934</v>
      </c>
    </row>
    <row r="530" spans="1:19" x14ac:dyDescent="0.35">
      <c r="A530" t="s">
        <v>30</v>
      </c>
      <c r="B530" t="s">
        <v>31</v>
      </c>
      <c r="C530" t="s">
        <v>1914</v>
      </c>
      <c r="D530" t="str">
        <f t="shared" si="87"/>
        <v>2501717562</v>
      </c>
      <c r="E530" t="s">
        <v>1536</v>
      </c>
      <c r="F530" t="str">
        <f>"400477"</f>
        <v>400477</v>
      </c>
      <c r="G530" t="s">
        <v>1842</v>
      </c>
      <c r="H530" t="s">
        <v>384</v>
      </c>
      <c r="I530" t="s">
        <v>37</v>
      </c>
      <c r="J530">
        <v>27</v>
      </c>
      <c r="K530">
        <v>70</v>
      </c>
      <c r="L530" t="str">
        <f t="shared" si="88"/>
        <v>521152</v>
      </c>
      <c r="M530" t="s">
        <v>1559</v>
      </c>
      <c r="N530" t="s">
        <v>1681</v>
      </c>
      <c r="O530" s="2">
        <v>46204.797071759262</v>
      </c>
      <c r="P530" s="2">
        <v>46204.797071759262</v>
      </c>
      <c r="Q530" s="2">
        <v>46204.797071759262</v>
      </c>
      <c r="R530" t="str">
        <f>"153000219"</f>
        <v>153000219</v>
      </c>
      <c r="S530" s="1">
        <v>47935</v>
      </c>
    </row>
    <row r="531" spans="1:19" x14ac:dyDescent="0.35">
      <c r="A531" t="s">
        <v>30</v>
      </c>
      <c r="B531" t="s">
        <v>31</v>
      </c>
      <c r="C531" t="s">
        <v>1914</v>
      </c>
      <c r="D531" t="str">
        <f t="shared" si="87"/>
        <v>2501717562</v>
      </c>
      <c r="E531" t="s">
        <v>1536</v>
      </c>
      <c r="F531" t="str">
        <f>"400477"</f>
        <v>400477</v>
      </c>
      <c r="G531" t="s">
        <v>1842</v>
      </c>
      <c r="H531" t="s">
        <v>377</v>
      </c>
      <c r="I531" t="s">
        <v>37</v>
      </c>
      <c r="J531">
        <v>43</v>
      </c>
      <c r="K531">
        <v>70</v>
      </c>
      <c r="L531" t="str">
        <f t="shared" si="88"/>
        <v>521152</v>
      </c>
      <c r="M531" t="s">
        <v>1559</v>
      </c>
      <c r="N531" t="s">
        <v>1681</v>
      </c>
      <c r="O531" s="2">
        <v>46204.794004629628</v>
      </c>
      <c r="P531" s="2">
        <v>46204.794004629628</v>
      </c>
      <c r="Q531" s="2">
        <v>46204.794004629628</v>
      </c>
      <c r="R531" t="str">
        <f>"153000219"</f>
        <v>153000219</v>
      </c>
      <c r="S531" s="1">
        <v>47935</v>
      </c>
    </row>
    <row r="532" spans="1:19" x14ac:dyDescent="0.35">
      <c r="A532" t="s">
        <v>30</v>
      </c>
      <c r="B532" t="s">
        <v>31</v>
      </c>
      <c r="C532" t="s">
        <v>1914</v>
      </c>
      <c r="D532" t="str">
        <f t="shared" si="87"/>
        <v>2501717562</v>
      </c>
      <c r="E532" t="s">
        <v>1536</v>
      </c>
      <c r="F532" t="str">
        <f>"400900"</f>
        <v>400900</v>
      </c>
      <c r="G532" t="s">
        <v>1702</v>
      </c>
      <c r="H532" t="s">
        <v>1522</v>
      </c>
      <c r="I532" t="s">
        <v>37</v>
      </c>
      <c r="J532">
        <v>17</v>
      </c>
      <c r="K532">
        <v>30</v>
      </c>
      <c r="L532" t="str">
        <f t="shared" si="88"/>
        <v>521152</v>
      </c>
      <c r="M532" t="s">
        <v>1559</v>
      </c>
      <c r="N532" t="s">
        <v>1681</v>
      </c>
      <c r="O532" s="2">
        <v>46204.788715277777</v>
      </c>
      <c r="P532" s="2">
        <v>46204.788715277777</v>
      </c>
      <c r="Q532" s="2">
        <v>46204.788715277777</v>
      </c>
      <c r="R532" t="str">
        <f>"950001330"</f>
        <v>950001330</v>
      </c>
      <c r="S532" s="1">
        <v>47946</v>
      </c>
    </row>
    <row r="533" spans="1:19" x14ac:dyDescent="0.35">
      <c r="A533" t="s">
        <v>30</v>
      </c>
      <c r="B533" t="s">
        <v>31</v>
      </c>
      <c r="C533" t="s">
        <v>1914</v>
      </c>
      <c r="D533" t="str">
        <f t="shared" si="87"/>
        <v>2501717562</v>
      </c>
      <c r="E533" t="s">
        <v>1536</v>
      </c>
      <c r="F533" t="str">
        <f>"400900"</f>
        <v>400900</v>
      </c>
      <c r="G533" t="s">
        <v>1702</v>
      </c>
      <c r="H533" t="s">
        <v>1522</v>
      </c>
      <c r="I533" t="s">
        <v>37</v>
      </c>
      <c r="J533">
        <v>13</v>
      </c>
      <c r="K533">
        <v>30</v>
      </c>
      <c r="L533" t="str">
        <f t="shared" si="88"/>
        <v>521152</v>
      </c>
      <c r="M533" t="s">
        <v>1559</v>
      </c>
      <c r="N533" t="s">
        <v>1681</v>
      </c>
      <c r="O533" s="2">
        <v>46204.788668981484</v>
      </c>
      <c r="P533" s="2">
        <v>46204.788668981484</v>
      </c>
      <c r="Q533" s="2">
        <v>46204.788668981484</v>
      </c>
      <c r="R533" t="str">
        <f>"950001330"</f>
        <v>950001330</v>
      </c>
      <c r="S533" s="1">
        <v>47946</v>
      </c>
    </row>
    <row r="534" spans="1:19" x14ac:dyDescent="0.35">
      <c r="A534" t="s">
        <v>30</v>
      </c>
      <c r="B534" t="s">
        <v>31</v>
      </c>
      <c r="C534" t="s">
        <v>1914</v>
      </c>
      <c r="D534" t="str">
        <f t="shared" si="87"/>
        <v>2501717562</v>
      </c>
      <c r="E534" t="s">
        <v>1536</v>
      </c>
      <c r="F534" t="str">
        <f>"400902"</f>
        <v>400902</v>
      </c>
      <c r="G534" t="s">
        <v>1627</v>
      </c>
      <c r="H534" t="s">
        <v>402</v>
      </c>
      <c r="I534" t="s">
        <v>37</v>
      </c>
      <c r="J534">
        <v>21</v>
      </c>
      <c r="K534">
        <v>30</v>
      </c>
      <c r="L534" t="str">
        <f t="shared" si="88"/>
        <v>521152</v>
      </c>
      <c r="M534" t="s">
        <v>1559</v>
      </c>
      <c r="N534" t="s">
        <v>1681</v>
      </c>
      <c r="O534" s="2">
        <v>46204.784918981481</v>
      </c>
      <c r="P534" s="2">
        <v>46204.784918981481</v>
      </c>
      <c r="Q534" s="2">
        <v>46204.784918981481</v>
      </c>
      <c r="R534" t="str">
        <f>"950001333"</f>
        <v>950001333</v>
      </c>
      <c r="S534" s="1">
        <v>47948</v>
      </c>
    </row>
    <row r="535" spans="1:19" x14ac:dyDescent="0.35">
      <c r="A535" t="s">
        <v>30</v>
      </c>
      <c r="B535" t="s">
        <v>31</v>
      </c>
      <c r="C535" t="s">
        <v>1914</v>
      </c>
      <c r="D535" t="str">
        <f t="shared" si="87"/>
        <v>2501717562</v>
      </c>
      <c r="E535" t="s">
        <v>1536</v>
      </c>
      <c r="F535" t="str">
        <f>"400902"</f>
        <v>400902</v>
      </c>
      <c r="G535" t="s">
        <v>1627</v>
      </c>
      <c r="H535" t="s">
        <v>203</v>
      </c>
      <c r="I535" t="s">
        <v>37</v>
      </c>
      <c r="J535">
        <v>9</v>
      </c>
      <c r="K535">
        <v>30</v>
      </c>
      <c r="L535" t="str">
        <f t="shared" si="88"/>
        <v>521152</v>
      </c>
      <c r="M535" t="s">
        <v>1559</v>
      </c>
      <c r="N535" t="s">
        <v>1681</v>
      </c>
      <c r="O535" s="2">
        <v>46204.78398148148</v>
      </c>
      <c r="P535" s="2">
        <v>46204.78398148148</v>
      </c>
      <c r="Q535" s="2">
        <v>46204.78398148148</v>
      </c>
      <c r="R535" t="str">
        <f>"950001333"</f>
        <v>950001333</v>
      </c>
      <c r="S535" s="1">
        <v>47948</v>
      </c>
    </row>
    <row r="536" spans="1:19" x14ac:dyDescent="0.35">
      <c r="A536" t="s">
        <v>2182</v>
      </c>
      <c r="B536" t="s">
        <v>31</v>
      </c>
      <c r="C536" t="s">
        <v>2204</v>
      </c>
      <c r="D536" t="str">
        <f>"2501718139"</f>
        <v>2501718139</v>
      </c>
      <c r="E536" t="s">
        <v>1536</v>
      </c>
      <c r="F536" t="str">
        <f>"400914"</f>
        <v>400914</v>
      </c>
      <c r="G536" t="s">
        <v>2205</v>
      </c>
      <c r="H536" t="s">
        <v>2206</v>
      </c>
      <c r="I536" t="s">
        <v>41</v>
      </c>
      <c r="J536">
        <v>1</v>
      </c>
      <c r="K536">
        <v>9</v>
      </c>
      <c r="L536" t="str">
        <f>"521167"</f>
        <v>521167</v>
      </c>
      <c r="N536" t="s">
        <v>2081</v>
      </c>
      <c r="O536" s="2">
        <v>46252.404606481483</v>
      </c>
      <c r="P536" s="2">
        <v>46252.404606481483</v>
      </c>
      <c r="Q536" s="2">
        <v>46252.404606481483</v>
      </c>
      <c r="R536" t="str">
        <f>"400004620"</f>
        <v>400004620</v>
      </c>
      <c r="S536" s="1">
        <v>48036</v>
      </c>
    </row>
    <row r="537" spans="1:19" x14ac:dyDescent="0.35">
      <c r="A537" t="s">
        <v>2182</v>
      </c>
      <c r="B537" t="s">
        <v>31</v>
      </c>
      <c r="C537" t="s">
        <v>2204</v>
      </c>
      <c r="D537" t="str">
        <f>"2501718139"</f>
        <v>2501718139</v>
      </c>
      <c r="E537" t="s">
        <v>1536</v>
      </c>
      <c r="F537" t="str">
        <f>"400914"</f>
        <v>400914</v>
      </c>
      <c r="G537" t="s">
        <v>2205</v>
      </c>
      <c r="H537" t="s">
        <v>2207</v>
      </c>
      <c r="I537" t="s">
        <v>41</v>
      </c>
      <c r="J537">
        <v>4</v>
      </c>
      <c r="K537">
        <v>9</v>
      </c>
      <c r="L537" t="str">
        <f>"521167"</f>
        <v>521167</v>
      </c>
      <c r="N537" t="s">
        <v>2081</v>
      </c>
      <c r="O537" s="2">
        <v>46252.404282407406</v>
      </c>
      <c r="P537" s="2">
        <v>46252.404282407406</v>
      </c>
      <c r="Q537" s="2">
        <v>46252.404282407406</v>
      </c>
      <c r="R537" t="str">
        <f>"400004620"</f>
        <v>400004620</v>
      </c>
      <c r="S537" s="1">
        <v>48036</v>
      </c>
    </row>
    <row r="538" spans="1:19" x14ac:dyDescent="0.35">
      <c r="A538" t="s">
        <v>2182</v>
      </c>
      <c r="B538" t="s">
        <v>31</v>
      </c>
      <c r="C538" t="s">
        <v>2204</v>
      </c>
      <c r="D538" t="str">
        <f>"2501718139"</f>
        <v>2501718139</v>
      </c>
      <c r="E538" t="s">
        <v>1536</v>
      </c>
      <c r="F538" t="str">
        <f>"400914"</f>
        <v>400914</v>
      </c>
      <c r="G538" t="s">
        <v>2205</v>
      </c>
      <c r="H538" t="s">
        <v>2208</v>
      </c>
      <c r="I538" t="s">
        <v>41</v>
      </c>
      <c r="J538">
        <v>4</v>
      </c>
      <c r="K538">
        <v>9</v>
      </c>
      <c r="L538" t="str">
        <f>"521167"</f>
        <v>521167</v>
      </c>
      <c r="N538" t="s">
        <v>2081</v>
      </c>
      <c r="O538" s="2">
        <v>46252.40415509259</v>
      </c>
      <c r="P538" s="2">
        <v>46252.40415509259</v>
      </c>
      <c r="Q538" s="2">
        <v>46252.40415509259</v>
      </c>
      <c r="R538" t="str">
        <f>"400004620"</f>
        <v>400004620</v>
      </c>
      <c r="S538" s="1">
        <v>48036</v>
      </c>
    </row>
    <row r="539" spans="1:19" x14ac:dyDescent="0.35">
      <c r="A539" t="s">
        <v>2182</v>
      </c>
      <c r="B539" t="s">
        <v>31</v>
      </c>
      <c r="C539" t="s">
        <v>2204</v>
      </c>
      <c r="D539" t="str">
        <f>"2501718139"</f>
        <v>2501718139</v>
      </c>
      <c r="E539" t="s">
        <v>1536</v>
      </c>
      <c r="F539" t="str">
        <f>"400914"</f>
        <v>400914</v>
      </c>
      <c r="G539" t="s">
        <v>2205</v>
      </c>
      <c r="H539" t="s">
        <v>2209</v>
      </c>
      <c r="I539" t="s">
        <v>41</v>
      </c>
      <c r="J539">
        <v>1</v>
      </c>
      <c r="K539">
        <v>1</v>
      </c>
      <c r="L539" t="str">
        <f>"521167"</f>
        <v>521167</v>
      </c>
      <c r="N539" t="s">
        <v>2081</v>
      </c>
      <c r="O539" s="2">
        <v>46252.403969907406</v>
      </c>
      <c r="P539" s="2">
        <v>46252.403969907406</v>
      </c>
      <c r="Q539" s="2">
        <v>46252.403969907406</v>
      </c>
      <c r="R539" t="str">
        <f>"400004616"</f>
        <v>400004616</v>
      </c>
      <c r="S539" s="1">
        <v>48035</v>
      </c>
    </row>
    <row r="540" spans="1:19" x14ac:dyDescent="0.35">
      <c r="A540" t="s">
        <v>2182</v>
      </c>
      <c r="B540" t="s">
        <v>31</v>
      </c>
      <c r="C540" t="s">
        <v>2210</v>
      </c>
      <c r="D540" t="str">
        <f>"2505702843"</f>
        <v>2505702843</v>
      </c>
      <c r="E540" t="s">
        <v>1536</v>
      </c>
      <c r="F540" t="str">
        <f>"400441"</f>
        <v>400441</v>
      </c>
      <c r="G540" t="s">
        <v>65</v>
      </c>
      <c r="H540" t="s">
        <v>2211</v>
      </c>
      <c r="I540" t="s">
        <v>41</v>
      </c>
      <c r="J540">
        <v>4</v>
      </c>
      <c r="K540">
        <v>4</v>
      </c>
      <c r="L540" t="str">
        <f>"520647"</f>
        <v>520647</v>
      </c>
      <c r="N540" t="s">
        <v>2075</v>
      </c>
      <c r="O540" s="2">
        <v>46252.405277777776</v>
      </c>
      <c r="P540" s="2">
        <v>46252.405277777776</v>
      </c>
      <c r="Q540" s="2">
        <v>46252.405277777776</v>
      </c>
      <c r="R540" t="str">
        <f>"153000386"</f>
        <v>153000386</v>
      </c>
      <c r="S540" s="1">
        <v>48012</v>
      </c>
    </row>
    <row r="541" spans="1:19" x14ac:dyDescent="0.35">
      <c r="A541" t="s">
        <v>2182</v>
      </c>
      <c r="B541" t="s">
        <v>31</v>
      </c>
      <c r="C541" t="s">
        <v>2212</v>
      </c>
      <c r="D541" t="str">
        <f t="shared" ref="D541:D562" si="89">"2501718132"</f>
        <v>2501718132</v>
      </c>
      <c r="E541" t="s">
        <v>1536</v>
      </c>
      <c r="F541" t="str">
        <f t="shared" ref="F541:F549" si="90">"400413"</f>
        <v>400413</v>
      </c>
      <c r="G541" t="s">
        <v>1545</v>
      </c>
      <c r="H541" t="s">
        <v>2213</v>
      </c>
      <c r="I541" t="s">
        <v>37</v>
      </c>
      <c r="J541">
        <v>18</v>
      </c>
      <c r="K541">
        <v>90</v>
      </c>
      <c r="L541" t="str">
        <f t="shared" ref="L541:L562" si="91">"521181"</f>
        <v>521181</v>
      </c>
      <c r="N541" t="s">
        <v>1883</v>
      </c>
      <c r="O541" s="2">
        <v>46251.366631944446</v>
      </c>
      <c r="P541" s="2">
        <v>46251.366631944446</v>
      </c>
      <c r="Q541" s="2">
        <v>46251.366631944446</v>
      </c>
      <c r="R541" t="str">
        <f>"153000384"</f>
        <v>153000384</v>
      </c>
      <c r="S541" s="1">
        <v>48011</v>
      </c>
    </row>
    <row r="542" spans="1:19" x14ac:dyDescent="0.35">
      <c r="A542" t="s">
        <v>2182</v>
      </c>
      <c r="B542" t="s">
        <v>31</v>
      </c>
      <c r="C542" t="s">
        <v>2212</v>
      </c>
      <c r="D542" t="str">
        <f t="shared" si="89"/>
        <v>2501718132</v>
      </c>
      <c r="E542" t="s">
        <v>1536</v>
      </c>
      <c r="F542" t="str">
        <f t="shared" si="90"/>
        <v>400413</v>
      </c>
      <c r="G542" t="s">
        <v>1545</v>
      </c>
      <c r="H542" t="s">
        <v>2214</v>
      </c>
      <c r="I542" t="s">
        <v>37</v>
      </c>
      <c r="J542">
        <v>24</v>
      </c>
      <c r="K542">
        <v>90</v>
      </c>
      <c r="L542" t="str">
        <f t="shared" si="91"/>
        <v>521181</v>
      </c>
      <c r="N542" t="s">
        <v>1883</v>
      </c>
      <c r="O542" s="2">
        <v>46251.366550925923</v>
      </c>
      <c r="P542" s="2">
        <v>46251.366550925923</v>
      </c>
      <c r="Q542" s="2">
        <v>46251.366550925923</v>
      </c>
      <c r="R542" t="str">
        <f>"153000384"</f>
        <v>153000384</v>
      </c>
      <c r="S542" s="1">
        <v>48011</v>
      </c>
    </row>
    <row r="543" spans="1:19" x14ac:dyDescent="0.35">
      <c r="A543" t="s">
        <v>2182</v>
      </c>
      <c r="B543" t="s">
        <v>31</v>
      </c>
      <c r="C543" t="s">
        <v>2212</v>
      </c>
      <c r="D543" t="str">
        <f t="shared" si="89"/>
        <v>2501718132</v>
      </c>
      <c r="E543" t="s">
        <v>1536</v>
      </c>
      <c r="F543" t="str">
        <f t="shared" si="90"/>
        <v>400413</v>
      </c>
      <c r="G543" t="s">
        <v>1545</v>
      </c>
      <c r="H543" t="s">
        <v>2215</v>
      </c>
      <c r="I543" t="s">
        <v>37</v>
      </c>
      <c r="J543">
        <v>24</v>
      </c>
      <c r="K543">
        <v>90</v>
      </c>
      <c r="L543" t="str">
        <f t="shared" si="91"/>
        <v>521181</v>
      </c>
      <c r="N543" t="s">
        <v>1883</v>
      </c>
      <c r="O543" s="2">
        <v>46251.36645833333</v>
      </c>
      <c r="P543" s="2">
        <v>46251.366469907407</v>
      </c>
      <c r="Q543" s="2">
        <v>46251.366469907407</v>
      </c>
      <c r="R543" t="str">
        <f>"153000384"</f>
        <v>153000384</v>
      </c>
      <c r="S543" s="1">
        <v>48011</v>
      </c>
    </row>
    <row r="544" spans="1:19" x14ac:dyDescent="0.35">
      <c r="A544" t="s">
        <v>2182</v>
      </c>
      <c r="B544" t="s">
        <v>31</v>
      </c>
      <c r="C544" t="s">
        <v>2212</v>
      </c>
      <c r="D544" t="str">
        <f t="shared" si="89"/>
        <v>2501718132</v>
      </c>
      <c r="E544" t="s">
        <v>1536</v>
      </c>
      <c r="F544" t="str">
        <f t="shared" si="90"/>
        <v>400413</v>
      </c>
      <c r="G544" t="s">
        <v>1545</v>
      </c>
      <c r="H544" t="s">
        <v>2216</v>
      </c>
      <c r="I544" t="s">
        <v>37</v>
      </c>
      <c r="J544">
        <v>24</v>
      </c>
      <c r="K544">
        <v>90</v>
      </c>
      <c r="L544" t="str">
        <f t="shared" si="91"/>
        <v>521181</v>
      </c>
      <c r="N544" t="s">
        <v>1883</v>
      </c>
      <c r="O544" s="2">
        <v>46251.366377314815</v>
      </c>
      <c r="P544" s="2">
        <v>46251.366377314815</v>
      </c>
      <c r="Q544" s="2">
        <v>46251.366377314815</v>
      </c>
      <c r="R544" t="str">
        <f>"153000384"</f>
        <v>153000384</v>
      </c>
      <c r="S544" s="1">
        <v>48011</v>
      </c>
    </row>
    <row r="545" spans="1:19" x14ac:dyDescent="0.35">
      <c r="A545" t="s">
        <v>2182</v>
      </c>
      <c r="B545" t="s">
        <v>31</v>
      </c>
      <c r="C545" t="s">
        <v>2212</v>
      </c>
      <c r="D545" t="str">
        <f t="shared" si="89"/>
        <v>2501718132</v>
      </c>
      <c r="E545" t="s">
        <v>1536</v>
      </c>
      <c r="F545" t="str">
        <f t="shared" si="90"/>
        <v>400413</v>
      </c>
      <c r="G545" t="s">
        <v>1545</v>
      </c>
      <c r="H545" t="s">
        <v>2217</v>
      </c>
      <c r="I545" t="s">
        <v>37</v>
      </c>
      <c r="J545">
        <v>24</v>
      </c>
      <c r="K545">
        <v>110</v>
      </c>
      <c r="L545" t="str">
        <f t="shared" si="91"/>
        <v>521181</v>
      </c>
      <c r="N545" t="s">
        <v>1883</v>
      </c>
      <c r="O545" s="2">
        <v>46251.366331018522</v>
      </c>
      <c r="P545" s="2">
        <v>46251.366331018522</v>
      </c>
      <c r="Q545" s="2">
        <v>46251.366331018522</v>
      </c>
      <c r="R545" t="str">
        <f>"153000376"</f>
        <v>153000376</v>
      </c>
      <c r="S545" s="1">
        <v>48009</v>
      </c>
    </row>
    <row r="546" spans="1:19" x14ac:dyDescent="0.35">
      <c r="A546" t="s">
        <v>2182</v>
      </c>
      <c r="B546" t="s">
        <v>31</v>
      </c>
      <c r="C546" t="s">
        <v>2212</v>
      </c>
      <c r="D546" t="str">
        <f t="shared" si="89"/>
        <v>2501718132</v>
      </c>
      <c r="E546" t="s">
        <v>1536</v>
      </c>
      <c r="F546" t="str">
        <f t="shared" si="90"/>
        <v>400413</v>
      </c>
      <c r="G546" t="s">
        <v>1545</v>
      </c>
      <c r="H546" t="s">
        <v>2218</v>
      </c>
      <c r="I546" t="s">
        <v>37</v>
      </c>
      <c r="J546">
        <v>24</v>
      </c>
      <c r="K546">
        <v>110</v>
      </c>
      <c r="L546" t="str">
        <f t="shared" si="91"/>
        <v>521181</v>
      </c>
      <c r="N546" t="s">
        <v>1883</v>
      </c>
      <c r="O546" s="2">
        <v>46251.366284722222</v>
      </c>
      <c r="P546" s="2">
        <v>46251.366284722222</v>
      </c>
      <c r="Q546" s="2">
        <v>46251.366284722222</v>
      </c>
      <c r="R546" t="str">
        <f>"153000376"</f>
        <v>153000376</v>
      </c>
      <c r="S546" s="1">
        <v>48009</v>
      </c>
    </row>
    <row r="547" spans="1:19" x14ac:dyDescent="0.35">
      <c r="A547" t="s">
        <v>2182</v>
      </c>
      <c r="B547" t="s">
        <v>31</v>
      </c>
      <c r="C547" t="s">
        <v>2212</v>
      </c>
      <c r="D547" t="str">
        <f t="shared" si="89"/>
        <v>2501718132</v>
      </c>
      <c r="E547" t="s">
        <v>1536</v>
      </c>
      <c r="F547" t="str">
        <f t="shared" si="90"/>
        <v>400413</v>
      </c>
      <c r="G547" t="s">
        <v>1545</v>
      </c>
      <c r="H547" t="s">
        <v>2219</v>
      </c>
      <c r="I547" t="s">
        <v>37</v>
      </c>
      <c r="J547">
        <v>24</v>
      </c>
      <c r="K547">
        <v>110</v>
      </c>
      <c r="L547" t="str">
        <f t="shared" si="91"/>
        <v>521181</v>
      </c>
      <c r="N547" t="s">
        <v>1883</v>
      </c>
      <c r="O547" s="2">
        <v>46251.366226851853</v>
      </c>
      <c r="P547" s="2">
        <v>46251.366226851853</v>
      </c>
      <c r="Q547" s="2">
        <v>46251.366226851853</v>
      </c>
      <c r="R547" t="str">
        <f>"153000376"</f>
        <v>153000376</v>
      </c>
      <c r="S547" s="1">
        <v>48009</v>
      </c>
    </row>
    <row r="548" spans="1:19" x14ac:dyDescent="0.35">
      <c r="A548" t="s">
        <v>2182</v>
      </c>
      <c r="B548" t="s">
        <v>31</v>
      </c>
      <c r="C548" t="s">
        <v>2212</v>
      </c>
      <c r="D548" t="str">
        <f t="shared" si="89"/>
        <v>2501718132</v>
      </c>
      <c r="E548" t="s">
        <v>1536</v>
      </c>
      <c r="F548" t="str">
        <f t="shared" si="90"/>
        <v>400413</v>
      </c>
      <c r="G548" t="s">
        <v>1545</v>
      </c>
      <c r="H548" t="s">
        <v>2220</v>
      </c>
      <c r="I548" t="s">
        <v>37</v>
      </c>
      <c r="J548">
        <v>14</v>
      </c>
      <c r="K548">
        <v>110</v>
      </c>
      <c r="L548" t="str">
        <f t="shared" si="91"/>
        <v>521181</v>
      </c>
      <c r="N548" t="s">
        <v>1883</v>
      </c>
      <c r="O548" s="2">
        <v>46251.366157407407</v>
      </c>
      <c r="P548" s="2">
        <v>46251.366157407407</v>
      </c>
      <c r="Q548" s="2">
        <v>46251.366157407407</v>
      </c>
      <c r="R548" t="str">
        <f>"153000376"</f>
        <v>153000376</v>
      </c>
      <c r="S548" s="1">
        <v>48009</v>
      </c>
    </row>
    <row r="549" spans="1:19" x14ac:dyDescent="0.35">
      <c r="A549" t="s">
        <v>2182</v>
      </c>
      <c r="B549" t="s">
        <v>31</v>
      </c>
      <c r="C549" t="s">
        <v>2212</v>
      </c>
      <c r="D549" t="str">
        <f t="shared" si="89"/>
        <v>2501718132</v>
      </c>
      <c r="E549" t="s">
        <v>1536</v>
      </c>
      <c r="F549" t="str">
        <f t="shared" si="90"/>
        <v>400413</v>
      </c>
      <c r="G549" t="s">
        <v>1545</v>
      </c>
      <c r="H549" t="s">
        <v>2221</v>
      </c>
      <c r="I549" t="s">
        <v>37</v>
      </c>
      <c r="J549">
        <v>24</v>
      </c>
      <c r="K549">
        <v>110</v>
      </c>
      <c r="L549" t="str">
        <f t="shared" si="91"/>
        <v>521181</v>
      </c>
      <c r="N549" t="s">
        <v>1883</v>
      </c>
      <c r="O549" s="2">
        <v>46251.366099537037</v>
      </c>
      <c r="P549" s="2">
        <v>46251.366099537037</v>
      </c>
      <c r="Q549" s="2">
        <v>46251.366099537037</v>
      </c>
      <c r="R549" t="str">
        <f>"153000376"</f>
        <v>153000376</v>
      </c>
      <c r="S549" s="1">
        <v>48009</v>
      </c>
    </row>
    <row r="550" spans="1:19" x14ac:dyDescent="0.35">
      <c r="A550" t="s">
        <v>2182</v>
      </c>
      <c r="B550" t="s">
        <v>31</v>
      </c>
      <c r="C550" t="s">
        <v>2212</v>
      </c>
      <c r="D550" t="str">
        <f t="shared" si="89"/>
        <v>2501718132</v>
      </c>
      <c r="E550" t="s">
        <v>1536</v>
      </c>
      <c r="F550" t="str">
        <f>"400399"</f>
        <v>400399</v>
      </c>
      <c r="G550" t="s">
        <v>1576</v>
      </c>
      <c r="H550" t="s">
        <v>2222</v>
      </c>
      <c r="I550" t="s">
        <v>37</v>
      </c>
      <c r="J550">
        <v>48</v>
      </c>
      <c r="K550">
        <v>100</v>
      </c>
      <c r="L550" t="str">
        <f t="shared" si="91"/>
        <v>521181</v>
      </c>
      <c r="N550" t="s">
        <v>1883</v>
      </c>
      <c r="O550" s="2">
        <v>46251.366041666668</v>
      </c>
      <c r="P550" s="2">
        <v>46251.366041666668</v>
      </c>
      <c r="Q550" s="2">
        <v>46251.366041666668</v>
      </c>
      <c r="R550" t="str">
        <f>"100010886"</f>
        <v>100010886</v>
      </c>
      <c r="S550" s="1">
        <v>47813</v>
      </c>
    </row>
    <row r="551" spans="1:19" x14ac:dyDescent="0.35">
      <c r="A551" t="s">
        <v>2182</v>
      </c>
      <c r="B551" t="s">
        <v>31</v>
      </c>
      <c r="C551" t="s">
        <v>2212</v>
      </c>
      <c r="D551" t="str">
        <f t="shared" si="89"/>
        <v>2501718132</v>
      </c>
      <c r="E551" t="s">
        <v>1536</v>
      </c>
      <c r="F551" t="str">
        <f>"400399"</f>
        <v>400399</v>
      </c>
      <c r="G551" t="s">
        <v>1576</v>
      </c>
      <c r="H551" t="s">
        <v>2223</v>
      </c>
      <c r="I551" t="s">
        <v>37</v>
      </c>
      <c r="J551">
        <v>52</v>
      </c>
      <c r="K551">
        <v>100</v>
      </c>
      <c r="L551" t="str">
        <f t="shared" si="91"/>
        <v>521181</v>
      </c>
      <c r="N551" t="s">
        <v>1883</v>
      </c>
      <c r="O551" s="2">
        <v>46251.365949074076</v>
      </c>
      <c r="P551" s="2">
        <v>46251.365949074076</v>
      </c>
      <c r="Q551" s="2">
        <v>46251.365949074076</v>
      </c>
      <c r="R551" t="str">
        <f>"100010886"</f>
        <v>100010886</v>
      </c>
      <c r="S551" s="1">
        <v>47813</v>
      </c>
    </row>
    <row r="552" spans="1:19" x14ac:dyDescent="0.35">
      <c r="A552" t="s">
        <v>2182</v>
      </c>
      <c r="B552" t="s">
        <v>31</v>
      </c>
      <c r="C552" t="s">
        <v>2212</v>
      </c>
      <c r="D552" t="str">
        <f t="shared" si="89"/>
        <v>2501718132</v>
      </c>
      <c r="E552" t="s">
        <v>1536</v>
      </c>
      <c r="F552" t="str">
        <f>"400405"</f>
        <v>400405</v>
      </c>
      <c r="G552" t="s">
        <v>519</v>
      </c>
      <c r="H552" t="s">
        <v>2224</v>
      </c>
      <c r="I552" t="s">
        <v>37</v>
      </c>
      <c r="J552">
        <v>37</v>
      </c>
      <c r="K552">
        <v>50</v>
      </c>
      <c r="L552" t="str">
        <f t="shared" si="91"/>
        <v>521181</v>
      </c>
      <c r="N552" t="s">
        <v>1883</v>
      </c>
      <c r="O552" s="2">
        <v>46251.365844907406</v>
      </c>
      <c r="P552" s="2">
        <v>46251.365844907406</v>
      </c>
      <c r="Q552" s="2">
        <v>46251.365844907406</v>
      </c>
      <c r="R552" t="str">
        <f>"153000440"</f>
        <v>153000440</v>
      </c>
      <c r="S552" s="1">
        <v>48036</v>
      </c>
    </row>
    <row r="553" spans="1:19" x14ac:dyDescent="0.35">
      <c r="A553" t="s">
        <v>2182</v>
      </c>
      <c r="B553" t="s">
        <v>31</v>
      </c>
      <c r="C553" t="s">
        <v>2212</v>
      </c>
      <c r="D553" t="str">
        <f t="shared" si="89"/>
        <v>2501718132</v>
      </c>
      <c r="E553" t="s">
        <v>1536</v>
      </c>
      <c r="F553" t="str">
        <f>"400405"</f>
        <v>400405</v>
      </c>
      <c r="G553" t="s">
        <v>519</v>
      </c>
      <c r="H553" t="s">
        <v>2225</v>
      </c>
      <c r="I553" t="s">
        <v>37</v>
      </c>
      <c r="J553">
        <v>13</v>
      </c>
      <c r="K553">
        <v>50</v>
      </c>
      <c r="L553" t="str">
        <f t="shared" si="91"/>
        <v>521181</v>
      </c>
      <c r="N553" t="s">
        <v>1883</v>
      </c>
      <c r="O553" s="2">
        <v>46251.365763888891</v>
      </c>
      <c r="P553" s="2">
        <v>46251.365763888891</v>
      </c>
      <c r="Q553" s="2">
        <v>46251.365763888891</v>
      </c>
      <c r="R553" t="str">
        <f>"153000440"</f>
        <v>153000440</v>
      </c>
      <c r="S553" s="1">
        <v>48036</v>
      </c>
    </row>
    <row r="554" spans="1:19" x14ac:dyDescent="0.35">
      <c r="A554" t="s">
        <v>2182</v>
      </c>
      <c r="B554" t="s">
        <v>31</v>
      </c>
      <c r="C554" t="s">
        <v>2212</v>
      </c>
      <c r="D554" t="str">
        <f t="shared" si="89"/>
        <v>2501718132</v>
      </c>
      <c r="E554" t="s">
        <v>1536</v>
      </c>
      <c r="F554" t="str">
        <f t="shared" ref="F554:F562" si="92">"400426"</f>
        <v>400426</v>
      </c>
      <c r="G554" t="s">
        <v>34</v>
      </c>
      <c r="H554" t="s">
        <v>2226</v>
      </c>
      <c r="I554" t="s">
        <v>37</v>
      </c>
      <c r="J554">
        <v>10</v>
      </c>
      <c r="K554">
        <v>58</v>
      </c>
      <c r="L554" t="str">
        <f t="shared" si="91"/>
        <v>521181</v>
      </c>
      <c r="N554" t="s">
        <v>1883</v>
      </c>
      <c r="O554" s="2">
        <v>46251.365706018521</v>
      </c>
      <c r="P554" s="2">
        <v>46251.365706018521</v>
      </c>
      <c r="Q554" s="2">
        <v>46251.365706018521</v>
      </c>
      <c r="R554" t="str">
        <f>"153000403"</f>
        <v>153000403</v>
      </c>
      <c r="S554" s="1">
        <v>48018</v>
      </c>
    </row>
    <row r="555" spans="1:19" x14ac:dyDescent="0.35">
      <c r="A555" t="s">
        <v>2182</v>
      </c>
      <c r="B555" t="s">
        <v>31</v>
      </c>
      <c r="C555" t="s">
        <v>2212</v>
      </c>
      <c r="D555" t="str">
        <f t="shared" si="89"/>
        <v>2501718132</v>
      </c>
      <c r="E555" t="s">
        <v>1536</v>
      </c>
      <c r="F555" t="str">
        <f t="shared" si="92"/>
        <v>400426</v>
      </c>
      <c r="G555" t="s">
        <v>34</v>
      </c>
      <c r="H555" t="s">
        <v>2227</v>
      </c>
      <c r="I555" t="s">
        <v>37</v>
      </c>
      <c r="J555">
        <v>24</v>
      </c>
      <c r="K555">
        <v>142</v>
      </c>
      <c r="L555" t="str">
        <f t="shared" si="91"/>
        <v>521181</v>
      </c>
      <c r="N555" t="s">
        <v>1883</v>
      </c>
      <c r="O555" s="2">
        <v>46251.365590277775</v>
      </c>
      <c r="P555" s="2">
        <v>46251.365590277775</v>
      </c>
      <c r="Q555" s="2">
        <v>46251.365590277775</v>
      </c>
      <c r="R555" t="str">
        <f>"153000404"</f>
        <v>153000404</v>
      </c>
      <c r="S555" s="1">
        <v>48018</v>
      </c>
    </row>
    <row r="556" spans="1:19" x14ac:dyDescent="0.35">
      <c r="A556" t="s">
        <v>2182</v>
      </c>
      <c r="B556" t="s">
        <v>31</v>
      </c>
      <c r="C556" t="s">
        <v>2212</v>
      </c>
      <c r="D556" t="str">
        <f t="shared" si="89"/>
        <v>2501718132</v>
      </c>
      <c r="E556" t="s">
        <v>1536</v>
      </c>
      <c r="F556" t="str">
        <f t="shared" si="92"/>
        <v>400426</v>
      </c>
      <c r="G556" t="s">
        <v>34</v>
      </c>
      <c r="H556" t="s">
        <v>2228</v>
      </c>
      <c r="I556" t="s">
        <v>37</v>
      </c>
      <c r="J556">
        <v>24</v>
      </c>
      <c r="K556">
        <v>142</v>
      </c>
      <c r="L556" t="str">
        <f t="shared" si="91"/>
        <v>521181</v>
      </c>
      <c r="N556" t="s">
        <v>1883</v>
      </c>
      <c r="O556" s="2">
        <v>46251.365532407406</v>
      </c>
      <c r="P556" s="2">
        <v>46251.365532407406</v>
      </c>
      <c r="Q556" s="2">
        <v>46251.365532407406</v>
      </c>
      <c r="R556" t="str">
        <f>"153000404"</f>
        <v>153000404</v>
      </c>
      <c r="S556" s="1">
        <v>48018</v>
      </c>
    </row>
    <row r="557" spans="1:19" x14ac:dyDescent="0.35">
      <c r="A557" t="s">
        <v>2182</v>
      </c>
      <c r="B557" t="s">
        <v>31</v>
      </c>
      <c r="C557" t="s">
        <v>2212</v>
      </c>
      <c r="D557" t="str">
        <f t="shared" si="89"/>
        <v>2501718132</v>
      </c>
      <c r="E557" t="s">
        <v>1536</v>
      </c>
      <c r="F557" t="str">
        <f t="shared" si="92"/>
        <v>400426</v>
      </c>
      <c r="G557" t="s">
        <v>34</v>
      </c>
      <c r="H557" t="s">
        <v>2229</v>
      </c>
      <c r="I557" t="s">
        <v>37</v>
      </c>
      <c r="J557">
        <v>24</v>
      </c>
      <c r="K557">
        <v>142</v>
      </c>
      <c r="L557" t="str">
        <f t="shared" si="91"/>
        <v>521181</v>
      </c>
      <c r="N557" t="s">
        <v>1883</v>
      </c>
      <c r="O557" s="2">
        <v>46251.365381944444</v>
      </c>
      <c r="P557" s="2">
        <v>46251.365381944444</v>
      </c>
      <c r="Q557" s="2">
        <v>46251.365381944444</v>
      </c>
      <c r="R557" t="str">
        <f>"153000404"</f>
        <v>153000404</v>
      </c>
      <c r="S557" s="1">
        <v>48018</v>
      </c>
    </row>
    <row r="558" spans="1:19" x14ac:dyDescent="0.35">
      <c r="A558" t="s">
        <v>2182</v>
      </c>
      <c r="B558" t="s">
        <v>31</v>
      </c>
      <c r="C558" t="s">
        <v>2212</v>
      </c>
      <c r="D558" t="str">
        <f t="shared" si="89"/>
        <v>2501718132</v>
      </c>
      <c r="E558" t="s">
        <v>1536</v>
      </c>
      <c r="F558" t="str">
        <f t="shared" si="92"/>
        <v>400426</v>
      </c>
      <c r="G558" t="s">
        <v>34</v>
      </c>
      <c r="H558" t="s">
        <v>2230</v>
      </c>
      <c r="I558" t="s">
        <v>37</v>
      </c>
      <c r="J558">
        <v>24</v>
      </c>
      <c r="K558">
        <v>58</v>
      </c>
      <c r="L558" t="str">
        <f t="shared" si="91"/>
        <v>521181</v>
      </c>
      <c r="N558" t="s">
        <v>1883</v>
      </c>
      <c r="O558" s="2">
        <v>46251.365266203706</v>
      </c>
      <c r="P558" s="2">
        <v>46251.365266203706</v>
      </c>
      <c r="Q558" s="2">
        <v>46251.365266203706</v>
      </c>
      <c r="R558" t="str">
        <f>"153000403"</f>
        <v>153000403</v>
      </c>
      <c r="S558" s="1">
        <v>48018</v>
      </c>
    </row>
    <row r="559" spans="1:19" x14ac:dyDescent="0.35">
      <c r="A559" t="s">
        <v>2182</v>
      </c>
      <c r="B559" t="s">
        <v>31</v>
      </c>
      <c r="C559" t="s">
        <v>2212</v>
      </c>
      <c r="D559" t="str">
        <f t="shared" si="89"/>
        <v>2501718132</v>
      </c>
      <c r="E559" t="s">
        <v>1536</v>
      </c>
      <c r="F559" t="str">
        <f t="shared" si="92"/>
        <v>400426</v>
      </c>
      <c r="G559" t="s">
        <v>34</v>
      </c>
      <c r="H559" t="s">
        <v>2231</v>
      </c>
      <c r="I559" t="s">
        <v>37</v>
      </c>
      <c r="J559">
        <v>24</v>
      </c>
      <c r="K559">
        <v>142</v>
      </c>
      <c r="L559" t="str">
        <f t="shared" si="91"/>
        <v>521181</v>
      </c>
      <c r="N559" t="s">
        <v>1883</v>
      </c>
      <c r="O559" s="2">
        <v>46251.36509259259</v>
      </c>
      <c r="P559" s="2">
        <v>46251.36509259259</v>
      </c>
      <c r="Q559" s="2">
        <v>46251.36509259259</v>
      </c>
      <c r="R559" t="str">
        <f>"153000404"</f>
        <v>153000404</v>
      </c>
      <c r="S559" s="1">
        <v>48018</v>
      </c>
    </row>
    <row r="560" spans="1:19" x14ac:dyDescent="0.35">
      <c r="A560" t="s">
        <v>2182</v>
      </c>
      <c r="B560" t="s">
        <v>31</v>
      </c>
      <c r="C560" t="s">
        <v>2212</v>
      </c>
      <c r="D560" t="str">
        <f t="shared" si="89"/>
        <v>2501718132</v>
      </c>
      <c r="E560" t="s">
        <v>1536</v>
      </c>
      <c r="F560" t="str">
        <f t="shared" si="92"/>
        <v>400426</v>
      </c>
      <c r="G560" t="s">
        <v>34</v>
      </c>
      <c r="H560" t="s">
        <v>2232</v>
      </c>
      <c r="I560" t="s">
        <v>37</v>
      </c>
      <c r="J560">
        <v>24</v>
      </c>
      <c r="K560">
        <v>58</v>
      </c>
      <c r="L560" t="str">
        <f t="shared" si="91"/>
        <v>521181</v>
      </c>
      <c r="N560" t="s">
        <v>1883</v>
      </c>
      <c r="O560" s="2">
        <v>46251.365034722221</v>
      </c>
      <c r="P560" s="2">
        <v>46251.365034722221</v>
      </c>
      <c r="Q560" s="2">
        <v>46251.365034722221</v>
      </c>
      <c r="R560" t="str">
        <f>"153000403"</f>
        <v>153000403</v>
      </c>
      <c r="S560" s="1">
        <v>48018</v>
      </c>
    </row>
    <row r="561" spans="1:19" x14ac:dyDescent="0.35">
      <c r="A561" t="s">
        <v>2182</v>
      </c>
      <c r="B561" t="s">
        <v>31</v>
      </c>
      <c r="C561" t="s">
        <v>2212</v>
      </c>
      <c r="D561" t="str">
        <f t="shared" si="89"/>
        <v>2501718132</v>
      </c>
      <c r="E561" t="s">
        <v>1536</v>
      </c>
      <c r="F561" t="str">
        <f t="shared" si="92"/>
        <v>400426</v>
      </c>
      <c r="G561" t="s">
        <v>34</v>
      </c>
      <c r="H561" t="s">
        <v>2233</v>
      </c>
      <c r="I561" t="s">
        <v>37</v>
      </c>
      <c r="J561">
        <v>24</v>
      </c>
      <c r="K561">
        <v>142</v>
      </c>
      <c r="L561" t="str">
        <f t="shared" si="91"/>
        <v>521181</v>
      </c>
      <c r="N561" t="s">
        <v>1883</v>
      </c>
      <c r="O561" s="2">
        <v>46251.364942129629</v>
      </c>
      <c r="P561" s="2">
        <v>46251.364942129629</v>
      </c>
      <c r="Q561" s="2">
        <v>46251.364942129629</v>
      </c>
      <c r="R561" t="str">
        <f>"153000404"</f>
        <v>153000404</v>
      </c>
      <c r="S561" s="1">
        <v>48018</v>
      </c>
    </row>
    <row r="562" spans="1:19" x14ac:dyDescent="0.35">
      <c r="A562" t="s">
        <v>2182</v>
      </c>
      <c r="B562" t="s">
        <v>31</v>
      </c>
      <c r="C562" t="s">
        <v>2212</v>
      </c>
      <c r="D562" t="str">
        <f t="shared" si="89"/>
        <v>2501718132</v>
      </c>
      <c r="E562" t="s">
        <v>1536</v>
      </c>
      <c r="F562" t="str">
        <f t="shared" si="92"/>
        <v>400426</v>
      </c>
      <c r="G562" t="s">
        <v>34</v>
      </c>
      <c r="H562" t="s">
        <v>2234</v>
      </c>
      <c r="I562" t="s">
        <v>37</v>
      </c>
      <c r="J562">
        <v>22</v>
      </c>
      <c r="K562">
        <v>142</v>
      </c>
      <c r="L562" t="str">
        <f t="shared" si="91"/>
        <v>521181</v>
      </c>
      <c r="N562" t="s">
        <v>1883</v>
      </c>
      <c r="O562" s="2">
        <v>46251.364803240744</v>
      </c>
      <c r="P562" s="2">
        <v>46251.364803240744</v>
      </c>
      <c r="Q562" s="2">
        <v>46251.364803240744</v>
      </c>
      <c r="R562" t="str">
        <f>"153000404"</f>
        <v>153000404</v>
      </c>
      <c r="S562" s="1">
        <v>48018</v>
      </c>
    </row>
    <row r="563" spans="1:19" x14ac:dyDescent="0.35">
      <c r="A563" t="s">
        <v>2182</v>
      </c>
      <c r="B563" t="s">
        <v>31</v>
      </c>
      <c r="C563" t="s">
        <v>2235</v>
      </c>
      <c r="D563" t="str">
        <f t="shared" ref="D563:D584" si="93">"2501718130"</f>
        <v>2501718130</v>
      </c>
      <c r="E563" t="s">
        <v>1536</v>
      </c>
      <c r="F563" t="str">
        <f t="shared" ref="F563:F584" si="94">"401047"</f>
        <v>401047</v>
      </c>
      <c r="G563" t="s">
        <v>1730</v>
      </c>
      <c r="H563" t="s">
        <v>2236</v>
      </c>
      <c r="I563" t="s">
        <v>41</v>
      </c>
      <c r="J563">
        <v>2</v>
      </c>
      <c r="K563">
        <v>10</v>
      </c>
      <c r="L563" t="str">
        <f t="shared" ref="L563:L609" si="95">"521024"</f>
        <v>521024</v>
      </c>
      <c r="N563" t="s">
        <v>2082</v>
      </c>
      <c r="O563" s="2">
        <v>46251.598645833335</v>
      </c>
      <c r="P563" s="2">
        <v>46251.598645833335</v>
      </c>
      <c r="Q563" s="2">
        <v>46251.598645833335</v>
      </c>
      <c r="R563" t="str">
        <f>"153000449"</f>
        <v>153000449</v>
      </c>
      <c r="S563" s="1">
        <v>48040</v>
      </c>
    </row>
    <row r="564" spans="1:19" x14ac:dyDescent="0.35">
      <c r="A564" t="s">
        <v>2182</v>
      </c>
      <c r="B564" t="s">
        <v>31</v>
      </c>
      <c r="C564" t="s">
        <v>2235</v>
      </c>
      <c r="D564" t="str">
        <f t="shared" si="93"/>
        <v>2501718130</v>
      </c>
      <c r="E564" t="s">
        <v>1536</v>
      </c>
      <c r="F564" t="str">
        <f t="shared" si="94"/>
        <v>401047</v>
      </c>
      <c r="G564" t="s">
        <v>1730</v>
      </c>
      <c r="H564" t="s">
        <v>2237</v>
      </c>
      <c r="I564" t="s">
        <v>41</v>
      </c>
      <c r="J564">
        <v>4</v>
      </c>
      <c r="K564">
        <v>10</v>
      </c>
      <c r="L564" t="str">
        <f t="shared" si="95"/>
        <v>521024</v>
      </c>
      <c r="N564" t="s">
        <v>2082</v>
      </c>
      <c r="O564" s="2">
        <v>46251.598599537036</v>
      </c>
      <c r="P564" s="2">
        <v>46251.598599537036</v>
      </c>
      <c r="Q564" s="2">
        <v>46251.598599537036</v>
      </c>
      <c r="R564" t="str">
        <f>"153000449"</f>
        <v>153000449</v>
      </c>
      <c r="S564" s="1">
        <v>48040</v>
      </c>
    </row>
    <row r="565" spans="1:19" x14ac:dyDescent="0.35">
      <c r="A565" t="s">
        <v>2182</v>
      </c>
      <c r="B565" t="s">
        <v>31</v>
      </c>
      <c r="C565" t="s">
        <v>2235</v>
      </c>
      <c r="D565" t="str">
        <f t="shared" si="93"/>
        <v>2501718130</v>
      </c>
      <c r="E565" t="s">
        <v>1536</v>
      </c>
      <c r="F565" t="str">
        <f t="shared" si="94"/>
        <v>401047</v>
      </c>
      <c r="G565" t="s">
        <v>1730</v>
      </c>
      <c r="H565" t="s">
        <v>2238</v>
      </c>
      <c r="I565" t="s">
        <v>41</v>
      </c>
      <c r="J565">
        <v>4</v>
      </c>
      <c r="K565">
        <v>10</v>
      </c>
      <c r="L565" t="str">
        <f t="shared" si="95"/>
        <v>521024</v>
      </c>
      <c r="N565" t="s">
        <v>2082</v>
      </c>
      <c r="O565" s="2">
        <v>46251.598541666666</v>
      </c>
      <c r="P565" s="2">
        <v>46251.598541666666</v>
      </c>
      <c r="Q565" s="2">
        <v>46251.598541666666</v>
      </c>
      <c r="R565" t="str">
        <f>"153000449"</f>
        <v>153000449</v>
      </c>
      <c r="S565" s="1">
        <v>48040</v>
      </c>
    </row>
    <row r="566" spans="1:19" x14ac:dyDescent="0.35">
      <c r="A566" t="s">
        <v>2182</v>
      </c>
      <c r="B566" t="s">
        <v>31</v>
      </c>
      <c r="C566" t="s">
        <v>2235</v>
      </c>
      <c r="D566" t="str">
        <f t="shared" si="93"/>
        <v>2501718130</v>
      </c>
      <c r="E566" t="s">
        <v>1536</v>
      </c>
      <c r="F566" t="str">
        <f t="shared" si="94"/>
        <v>401047</v>
      </c>
      <c r="G566" t="s">
        <v>1730</v>
      </c>
      <c r="H566" t="s">
        <v>2239</v>
      </c>
      <c r="I566" t="s">
        <v>41</v>
      </c>
      <c r="J566">
        <v>4</v>
      </c>
      <c r="K566">
        <v>4</v>
      </c>
      <c r="L566" t="str">
        <f t="shared" si="95"/>
        <v>521024</v>
      </c>
      <c r="N566" t="s">
        <v>2082</v>
      </c>
      <c r="O566" s="2">
        <v>46251.598483796297</v>
      </c>
      <c r="P566" s="2">
        <v>46251.598483796297</v>
      </c>
      <c r="Q566" s="2">
        <v>46251.598483796297</v>
      </c>
      <c r="R566" t="str">
        <f>"153000364"</f>
        <v>153000364</v>
      </c>
      <c r="S566" s="1">
        <v>48006</v>
      </c>
    </row>
    <row r="567" spans="1:19" x14ac:dyDescent="0.35">
      <c r="A567" t="s">
        <v>2182</v>
      </c>
      <c r="B567" t="s">
        <v>31</v>
      </c>
      <c r="C567" t="s">
        <v>2235</v>
      </c>
      <c r="D567" t="str">
        <f t="shared" si="93"/>
        <v>2501718130</v>
      </c>
      <c r="E567" t="s">
        <v>1536</v>
      </c>
      <c r="F567" t="str">
        <f t="shared" si="94"/>
        <v>401047</v>
      </c>
      <c r="G567" t="s">
        <v>1730</v>
      </c>
      <c r="H567" t="s">
        <v>2206</v>
      </c>
      <c r="I567" t="s">
        <v>41</v>
      </c>
      <c r="J567">
        <v>4</v>
      </c>
      <c r="K567">
        <v>32</v>
      </c>
      <c r="L567" t="str">
        <f t="shared" si="95"/>
        <v>521024</v>
      </c>
      <c r="N567" t="s">
        <v>2082</v>
      </c>
      <c r="O567" s="2">
        <v>46251.598425925928</v>
      </c>
      <c r="P567" s="2">
        <v>46251.598425925928</v>
      </c>
      <c r="Q567" s="2">
        <v>46251.598425925928</v>
      </c>
      <c r="R567" t="str">
        <f t="shared" ref="R567:R574" si="96">"153000289"</f>
        <v>153000289</v>
      </c>
      <c r="S567" s="1">
        <v>47971</v>
      </c>
    </row>
    <row r="568" spans="1:19" x14ac:dyDescent="0.35">
      <c r="A568" t="s">
        <v>2182</v>
      </c>
      <c r="B568" t="s">
        <v>31</v>
      </c>
      <c r="C568" t="s">
        <v>2235</v>
      </c>
      <c r="D568" t="str">
        <f t="shared" si="93"/>
        <v>2501718130</v>
      </c>
      <c r="E568" t="s">
        <v>1536</v>
      </c>
      <c r="F568" t="str">
        <f t="shared" si="94"/>
        <v>401047</v>
      </c>
      <c r="G568" t="s">
        <v>1730</v>
      </c>
      <c r="H568" t="s">
        <v>2240</v>
      </c>
      <c r="I568" t="s">
        <v>41</v>
      </c>
      <c r="J568">
        <v>4</v>
      </c>
      <c r="K568">
        <v>32</v>
      </c>
      <c r="L568" t="str">
        <f t="shared" si="95"/>
        <v>521024</v>
      </c>
      <c r="N568" t="s">
        <v>2082</v>
      </c>
      <c r="O568" s="2">
        <v>46251.598379629628</v>
      </c>
      <c r="P568" s="2">
        <v>46251.598379629628</v>
      </c>
      <c r="Q568" s="2">
        <v>46251.598379629628</v>
      </c>
      <c r="R568" t="str">
        <f t="shared" si="96"/>
        <v>153000289</v>
      </c>
      <c r="S568" s="1">
        <v>47971</v>
      </c>
    </row>
    <row r="569" spans="1:19" x14ac:dyDescent="0.35">
      <c r="A569" t="s">
        <v>2182</v>
      </c>
      <c r="B569" t="s">
        <v>31</v>
      </c>
      <c r="C569" t="s">
        <v>2235</v>
      </c>
      <c r="D569" t="str">
        <f t="shared" si="93"/>
        <v>2501718130</v>
      </c>
      <c r="E569" t="s">
        <v>1536</v>
      </c>
      <c r="F569" t="str">
        <f t="shared" si="94"/>
        <v>401047</v>
      </c>
      <c r="G569" t="s">
        <v>1730</v>
      </c>
      <c r="H569" t="s">
        <v>2240</v>
      </c>
      <c r="I569" t="s">
        <v>41</v>
      </c>
      <c r="J569">
        <v>4</v>
      </c>
      <c r="K569">
        <v>32</v>
      </c>
      <c r="L569" t="str">
        <f t="shared" si="95"/>
        <v>521024</v>
      </c>
      <c r="N569" t="s">
        <v>2082</v>
      </c>
      <c r="O569" s="2">
        <v>46251.598321759258</v>
      </c>
      <c r="P569" s="2">
        <v>46251.598321759258</v>
      </c>
      <c r="Q569" s="2">
        <v>46251.598321759258</v>
      </c>
      <c r="R569" t="str">
        <f t="shared" si="96"/>
        <v>153000289</v>
      </c>
      <c r="S569" s="1">
        <v>47971</v>
      </c>
    </row>
    <row r="570" spans="1:19" x14ac:dyDescent="0.35">
      <c r="A570" t="s">
        <v>2182</v>
      </c>
      <c r="B570" t="s">
        <v>31</v>
      </c>
      <c r="C570" t="s">
        <v>2235</v>
      </c>
      <c r="D570" t="str">
        <f t="shared" si="93"/>
        <v>2501718130</v>
      </c>
      <c r="E570" t="s">
        <v>1536</v>
      </c>
      <c r="F570" t="str">
        <f t="shared" si="94"/>
        <v>401047</v>
      </c>
      <c r="G570" t="s">
        <v>1730</v>
      </c>
      <c r="H570" t="s">
        <v>2240</v>
      </c>
      <c r="I570" t="s">
        <v>41</v>
      </c>
      <c r="J570">
        <v>4</v>
      </c>
      <c r="K570">
        <v>32</v>
      </c>
      <c r="L570" t="str">
        <f t="shared" si="95"/>
        <v>521024</v>
      </c>
      <c r="N570" t="s">
        <v>2082</v>
      </c>
      <c r="O570" s="2">
        <v>46251.598240740743</v>
      </c>
      <c r="P570" s="2">
        <v>46251.598240740743</v>
      </c>
      <c r="Q570" s="2">
        <v>46251.598240740743</v>
      </c>
      <c r="R570" t="str">
        <f t="shared" si="96"/>
        <v>153000289</v>
      </c>
      <c r="S570" s="1">
        <v>47971</v>
      </c>
    </row>
    <row r="571" spans="1:19" x14ac:dyDescent="0.35">
      <c r="A571" t="s">
        <v>2182</v>
      </c>
      <c r="B571" t="s">
        <v>31</v>
      </c>
      <c r="C571" t="s">
        <v>2235</v>
      </c>
      <c r="D571" t="str">
        <f t="shared" si="93"/>
        <v>2501718130</v>
      </c>
      <c r="E571" t="s">
        <v>1536</v>
      </c>
      <c r="F571" t="str">
        <f t="shared" si="94"/>
        <v>401047</v>
      </c>
      <c r="G571" t="s">
        <v>1730</v>
      </c>
      <c r="H571" t="s">
        <v>2241</v>
      </c>
      <c r="I571" t="s">
        <v>41</v>
      </c>
      <c r="J571">
        <v>4</v>
      </c>
      <c r="K571">
        <v>32</v>
      </c>
      <c r="L571" t="str">
        <f t="shared" si="95"/>
        <v>521024</v>
      </c>
      <c r="N571" t="s">
        <v>2082</v>
      </c>
      <c r="O571" s="2">
        <v>46251.59815972222</v>
      </c>
      <c r="P571" s="2">
        <v>46251.598171296297</v>
      </c>
      <c r="Q571" s="2">
        <v>46251.598171296297</v>
      </c>
      <c r="R571" t="str">
        <f t="shared" si="96"/>
        <v>153000289</v>
      </c>
      <c r="S571" s="1">
        <v>47971</v>
      </c>
    </row>
    <row r="572" spans="1:19" x14ac:dyDescent="0.35">
      <c r="A572" t="s">
        <v>2182</v>
      </c>
      <c r="B572" t="s">
        <v>31</v>
      </c>
      <c r="C572" t="s">
        <v>2235</v>
      </c>
      <c r="D572" t="str">
        <f t="shared" si="93"/>
        <v>2501718130</v>
      </c>
      <c r="E572" t="s">
        <v>1536</v>
      </c>
      <c r="F572" t="str">
        <f t="shared" si="94"/>
        <v>401047</v>
      </c>
      <c r="G572" t="s">
        <v>1730</v>
      </c>
      <c r="H572" t="s">
        <v>2242</v>
      </c>
      <c r="I572" t="s">
        <v>41</v>
      </c>
      <c r="J572">
        <v>4</v>
      </c>
      <c r="K572">
        <v>32</v>
      </c>
      <c r="L572" t="str">
        <f t="shared" si="95"/>
        <v>521024</v>
      </c>
      <c r="N572" t="s">
        <v>2082</v>
      </c>
      <c r="O572" s="2">
        <v>46251.598101851851</v>
      </c>
      <c r="P572" s="2">
        <v>46251.598101851851</v>
      </c>
      <c r="Q572" s="2">
        <v>46251.598101851851</v>
      </c>
      <c r="R572" t="str">
        <f t="shared" si="96"/>
        <v>153000289</v>
      </c>
      <c r="S572" s="1">
        <v>47971</v>
      </c>
    </row>
    <row r="573" spans="1:19" x14ac:dyDescent="0.35">
      <c r="A573" t="s">
        <v>2182</v>
      </c>
      <c r="B573" t="s">
        <v>31</v>
      </c>
      <c r="C573" t="s">
        <v>2235</v>
      </c>
      <c r="D573" t="str">
        <f t="shared" si="93"/>
        <v>2501718130</v>
      </c>
      <c r="E573" t="s">
        <v>1536</v>
      </c>
      <c r="F573" t="str">
        <f t="shared" si="94"/>
        <v>401047</v>
      </c>
      <c r="G573" t="s">
        <v>1730</v>
      </c>
      <c r="H573" t="s">
        <v>2243</v>
      </c>
      <c r="I573" t="s">
        <v>41</v>
      </c>
      <c r="J573">
        <v>4</v>
      </c>
      <c r="K573">
        <v>32</v>
      </c>
      <c r="L573" t="str">
        <f t="shared" si="95"/>
        <v>521024</v>
      </c>
      <c r="N573" t="s">
        <v>2082</v>
      </c>
      <c r="O573" s="2">
        <v>46251.598043981481</v>
      </c>
      <c r="P573" s="2">
        <v>46251.598043981481</v>
      </c>
      <c r="Q573" s="2">
        <v>46251.598043981481</v>
      </c>
      <c r="R573" t="str">
        <f t="shared" si="96"/>
        <v>153000289</v>
      </c>
      <c r="S573" s="1">
        <v>47971</v>
      </c>
    </row>
    <row r="574" spans="1:19" x14ac:dyDescent="0.35">
      <c r="A574" t="s">
        <v>2182</v>
      </c>
      <c r="B574" t="s">
        <v>31</v>
      </c>
      <c r="C574" t="s">
        <v>2235</v>
      </c>
      <c r="D574" t="str">
        <f t="shared" si="93"/>
        <v>2501718130</v>
      </c>
      <c r="E574" t="s">
        <v>1536</v>
      </c>
      <c r="F574" t="str">
        <f t="shared" si="94"/>
        <v>401047</v>
      </c>
      <c r="G574" t="s">
        <v>1730</v>
      </c>
      <c r="H574" t="s">
        <v>2244</v>
      </c>
      <c r="I574" t="s">
        <v>41</v>
      </c>
      <c r="J574">
        <v>4</v>
      </c>
      <c r="K574">
        <v>32</v>
      </c>
      <c r="L574" t="str">
        <f t="shared" si="95"/>
        <v>521024</v>
      </c>
      <c r="N574" t="s">
        <v>2082</v>
      </c>
      <c r="O574" s="2">
        <v>46251.597986111112</v>
      </c>
      <c r="P574" s="2">
        <v>46251.597986111112</v>
      </c>
      <c r="Q574" s="2">
        <v>46251.597986111112</v>
      </c>
      <c r="R574" t="str">
        <f t="shared" si="96"/>
        <v>153000289</v>
      </c>
      <c r="S574" s="1">
        <v>47971</v>
      </c>
    </row>
    <row r="575" spans="1:19" x14ac:dyDescent="0.35">
      <c r="A575" t="s">
        <v>2182</v>
      </c>
      <c r="B575" t="s">
        <v>31</v>
      </c>
      <c r="C575" t="s">
        <v>2235</v>
      </c>
      <c r="D575" t="str">
        <f t="shared" si="93"/>
        <v>2501718130</v>
      </c>
      <c r="E575" t="s">
        <v>1536</v>
      </c>
      <c r="F575" t="str">
        <f t="shared" si="94"/>
        <v>401047</v>
      </c>
      <c r="G575" t="s">
        <v>1730</v>
      </c>
      <c r="H575" t="s">
        <v>2206</v>
      </c>
      <c r="I575" t="s">
        <v>41</v>
      </c>
      <c r="J575">
        <v>4</v>
      </c>
      <c r="K575">
        <v>38</v>
      </c>
      <c r="L575" t="str">
        <f t="shared" si="95"/>
        <v>521024</v>
      </c>
      <c r="N575" t="s">
        <v>2082</v>
      </c>
      <c r="O575" s="2">
        <v>46251.597928240742</v>
      </c>
      <c r="P575" s="2">
        <v>46251.597928240742</v>
      </c>
      <c r="Q575" s="2">
        <v>46251.597928240742</v>
      </c>
      <c r="R575" t="str">
        <f t="shared" ref="R575:R584" si="97">"153000283"</f>
        <v>153000283</v>
      </c>
      <c r="S575" s="1">
        <v>47969</v>
      </c>
    </row>
    <row r="576" spans="1:19" x14ac:dyDescent="0.35">
      <c r="A576" t="s">
        <v>2182</v>
      </c>
      <c r="B576" t="s">
        <v>31</v>
      </c>
      <c r="C576" t="s">
        <v>2235</v>
      </c>
      <c r="D576" t="str">
        <f t="shared" si="93"/>
        <v>2501718130</v>
      </c>
      <c r="E576" t="s">
        <v>1536</v>
      </c>
      <c r="F576" t="str">
        <f t="shared" si="94"/>
        <v>401047</v>
      </c>
      <c r="G576" t="s">
        <v>1730</v>
      </c>
      <c r="H576" t="s">
        <v>2206</v>
      </c>
      <c r="I576" t="s">
        <v>41</v>
      </c>
      <c r="J576">
        <v>4</v>
      </c>
      <c r="K576">
        <v>38</v>
      </c>
      <c r="L576" t="str">
        <f t="shared" si="95"/>
        <v>521024</v>
      </c>
      <c r="N576" t="s">
        <v>2082</v>
      </c>
      <c r="O576" s="2">
        <v>46251.597870370373</v>
      </c>
      <c r="P576" s="2">
        <v>46251.597870370373</v>
      </c>
      <c r="Q576" s="2">
        <v>46251.597870370373</v>
      </c>
      <c r="R576" t="str">
        <f t="shared" si="97"/>
        <v>153000283</v>
      </c>
      <c r="S576" s="1">
        <v>47969</v>
      </c>
    </row>
    <row r="577" spans="1:19" x14ac:dyDescent="0.35">
      <c r="A577" t="s">
        <v>2182</v>
      </c>
      <c r="B577" t="s">
        <v>31</v>
      </c>
      <c r="C577" t="s">
        <v>2235</v>
      </c>
      <c r="D577" t="str">
        <f t="shared" si="93"/>
        <v>2501718130</v>
      </c>
      <c r="E577" t="s">
        <v>1536</v>
      </c>
      <c r="F577" t="str">
        <f t="shared" si="94"/>
        <v>401047</v>
      </c>
      <c r="G577" t="s">
        <v>1730</v>
      </c>
      <c r="H577" t="s">
        <v>2206</v>
      </c>
      <c r="I577" t="s">
        <v>41</v>
      </c>
      <c r="J577">
        <v>4</v>
      </c>
      <c r="K577">
        <v>38</v>
      </c>
      <c r="L577" t="str">
        <f t="shared" si="95"/>
        <v>521024</v>
      </c>
      <c r="N577" t="s">
        <v>2082</v>
      </c>
      <c r="O577" s="2">
        <v>46251.59778935185</v>
      </c>
      <c r="P577" s="2">
        <v>46251.59778935185</v>
      </c>
      <c r="Q577" s="2">
        <v>46251.59778935185</v>
      </c>
      <c r="R577" t="str">
        <f t="shared" si="97"/>
        <v>153000283</v>
      </c>
      <c r="S577" s="1">
        <v>47969</v>
      </c>
    </row>
    <row r="578" spans="1:19" x14ac:dyDescent="0.35">
      <c r="A578" t="s">
        <v>2182</v>
      </c>
      <c r="B578" t="s">
        <v>31</v>
      </c>
      <c r="C578" t="s">
        <v>2235</v>
      </c>
      <c r="D578" t="str">
        <f t="shared" si="93"/>
        <v>2501718130</v>
      </c>
      <c r="E578" t="s">
        <v>1536</v>
      </c>
      <c r="F578" t="str">
        <f t="shared" si="94"/>
        <v>401047</v>
      </c>
      <c r="G578" t="s">
        <v>1730</v>
      </c>
      <c r="H578" t="s">
        <v>2206</v>
      </c>
      <c r="I578" t="s">
        <v>41</v>
      </c>
      <c r="J578">
        <v>4</v>
      </c>
      <c r="K578">
        <v>38</v>
      </c>
      <c r="L578" t="str">
        <f t="shared" si="95"/>
        <v>521024</v>
      </c>
      <c r="N578" t="s">
        <v>2082</v>
      </c>
      <c r="O578" s="2">
        <v>46251.597662037035</v>
      </c>
      <c r="P578" s="2">
        <v>46251.597662037035</v>
      </c>
      <c r="Q578" s="2">
        <v>46251.597662037035</v>
      </c>
      <c r="R578" t="str">
        <f t="shared" si="97"/>
        <v>153000283</v>
      </c>
      <c r="S578" s="1">
        <v>47969</v>
      </c>
    </row>
    <row r="579" spans="1:19" x14ac:dyDescent="0.35">
      <c r="A579" t="s">
        <v>2182</v>
      </c>
      <c r="B579" t="s">
        <v>31</v>
      </c>
      <c r="C579" t="s">
        <v>2235</v>
      </c>
      <c r="D579" t="str">
        <f t="shared" si="93"/>
        <v>2501718130</v>
      </c>
      <c r="E579" t="s">
        <v>1536</v>
      </c>
      <c r="F579" t="str">
        <f t="shared" si="94"/>
        <v>401047</v>
      </c>
      <c r="G579" t="s">
        <v>1730</v>
      </c>
      <c r="H579" t="s">
        <v>2239</v>
      </c>
      <c r="I579" t="s">
        <v>41</v>
      </c>
      <c r="J579">
        <v>4</v>
      </c>
      <c r="K579">
        <v>38</v>
      </c>
      <c r="L579" t="str">
        <f t="shared" si="95"/>
        <v>521024</v>
      </c>
      <c r="N579" t="s">
        <v>2082</v>
      </c>
      <c r="O579" s="2">
        <v>46251.597569444442</v>
      </c>
      <c r="P579" s="2">
        <v>46251.597569444442</v>
      </c>
      <c r="Q579" s="2">
        <v>46251.597569444442</v>
      </c>
      <c r="R579" t="str">
        <f t="shared" si="97"/>
        <v>153000283</v>
      </c>
      <c r="S579" s="1">
        <v>47969</v>
      </c>
    </row>
    <row r="580" spans="1:19" x14ac:dyDescent="0.35">
      <c r="A580" t="s">
        <v>2182</v>
      </c>
      <c r="B580" t="s">
        <v>31</v>
      </c>
      <c r="C580" t="s">
        <v>2235</v>
      </c>
      <c r="D580" t="str">
        <f t="shared" si="93"/>
        <v>2501718130</v>
      </c>
      <c r="E580" t="s">
        <v>1536</v>
      </c>
      <c r="F580" t="str">
        <f t="shared" si="94"/>
        <v>401047</v>
      </c>
      <c r="G580" t="s">
        <v>1730</v>
      </c>
      <c r="H580" t="s">
        <v>2239</v>
      </c>
      <c r="I580" t="s">
        <v>41</v>
      </c>
      <c r="J580">
        <v>4</v>
      </c>
      <c r="K580">
        <v>38</v>
      </c>
      <c r="L580" t="str">
        <f t="shared" si="95"/>
        <v>521024</v>
      </c>
      <c r="N580" t="s">
        <v>2082</v>
      </c>
      <c r="O580" s="2">
        <v>46251.59746527778</v>
      </c>
      <c r="P580" s="2">
        <v>46251.59746527778</v>
      </c>
      <c r="Q580" s="2">
        <v>46251.59746527778</v>
      </c>
      <c r="R580" t="str">
        <f t="shared" si="97"/>
        <v>153000283</v>
      </c>
      <c r="S580" s="1">
        <v>47969</v>
      </c>
    </row>
    <row r="581" spans="1:19" x14ac:dyDescent="0.35">
      <c r="A581" t="s">
        <v>2182</v>
      </c>
      <c r="B581" t="s">
        <v>31</v>
      </c>
      <c r="C581" t="s">
        <v>2235</v>
      </c>
      <c r="D581" t="str">
        <f t="shared" si="93"/>
        <v>2501718130</v>
      </c>
      <c r="E581" t="s">
        <v>1536</v>
      </c>
      <c r="F581" t="str">
        <f t="shared" si="94"/>
        <v>401047</v>
      </c>
      <c r="G581" t="s">
        <v>1730</v>
      </c>
      <c r="H581" t="s">
        <v>2239</v>
      </c>
      <c r="I581" t="s">
        <v>41</v>
      </c>
      <c r="J581">
        <v>4</v>
      </c>
      <c r="K581">
        <v>38</v>
      </c>
      <c r="L581" t="str">
        <f t="shared" si="95"/>
        <v>521024</v>
      </c>
      <c r="N581" t="s">
        <v>2082</v>
      </c>
      <c r="O581" s="2">
        <v>46251.597418981481</v>
      </c>
      <c r="P581" s="2">
        <v>46251.597418981481</v>
      </c>
      <c r="Q581" s="2">
        <v>46251.597418981481</v>
      </c>
      <c r="R581" t="str">
        <f t="shared" si="97"/>
        <v>153000283</v>
      </c>
      <c r="S581" s="1">
        <v>47969</v>
      </c>
    </row>
    <row r="582" spans="1:19" x14ac:dyDescent="0.35">
      <c r="A582" t="s">
        <v>2182</v>
      </c>
      <c r="B582" t="s">
        <v>31</v>
      </c>
      <c r="C582" t="s">
        <v>2235</v>
      </c>
      <c r="D582" t="str">
        <f t="shared" si="93"/>
        <v>2501718130</v>
      </c>
      <c r="E582" t="s">
        <v>1536</v>
      </c>
      <c r="F582" t="str">
        <f t="shared" si="94"/>
        <v>401047</v>
      </c>
      <c r="G582" t="s">
        <v>1730</v>
      </c>
      <c r="H582" t="s">
        <v>2239</v>
      </c>
      <c r="I582" t="s">
        <v>41</v>
      </c>
      <c r="J582">
        <v>4</v>
      </c>
      <c r="K582">
        <v>38</v>
      </c>
      <c r="L582" t="str">
        <f t="shared" si="95"/>
        <v>521024</v>
      </c>
      <c r="N582" t="s">
        <v>2082</v>
      </c>
      <c r="O582" s="2">
        <v>46251.597349537034</v>
      </c>
      <c r="P582" s="2">
        <v>46251.597349537034</v>
      </c>
      <c r="Q582" s="2">
        <v>46251.597349537034</v>
      </c>
      <c r="R582" t="str">
        <f t="shared" si="97"/>
        <v>153000283</v>
      </c>
      <c r="S582" s="1">
        <v>47969</v>
      </c>
    </row>
    <row r="583" spans="1:19" x14ac:dyDescent="0.35">
      <c r="A583" t="s">
        <v>2182</v>
      </c>
      <c r="B583" t="s">
        <v>31</v>
      </c>
      <c r="C583" t="s">
        <v>2235</v>
      </c>
      <c r="D583" t="str">
        <f t="shared" si="93"/>
        <v>2501718130</v>
      </c>
      <c r="E583" t="s">
        <v>1536</v>
      </c>
      <c r="F583" t="str">
        <f t="shared" si="94"/>
        <v>401047</v>
      </c>
      <c r="G583" t="s">
        <v>1730</v>
      </c>
      <c r="H583" t="s">
        <v>2245</v>
      </c>
      <c r="I583" t="s">
        <v>41</v>
      </c>
      <c r="J583">
        <v>4</v>
      </c>
      <c r="K583">
        <v>38</v>
      </c>
      <c r="L583" t="str">
        <f t="shared" si="95"/>
        <v>521024</v>
      </c>
      <c r="N583" t="s">
        <v>2082</v>
      </c>
      <c r="O583" s="2">
        <v>46251.597291666665</v>
      </c>
      <c r="P583" s="2">
        <v>46251.597291666665</v>
      </c>
      <c r="Q583" s="2">
        <v>46251.597291666665</v>
      </c>
      <c r="R583" t="str">
        <f t="shared" si="97"/>
        <v>153000283</v>
      </c>
      <c r="S583" s="1">
        <v>47969</v>
      </c>
    </row>
    <row r="584" spans="1:19" x14ac:dyDescent="0.35">
      <c r="A584" t="s">
        <v>2182</v>
      </c>
      <c r="B584" t="s">
        <v>31</v>
      </c>
      <c r="C584" t="s">
        <v>2235</v>
      </c>
      <c r="D584" t="str">
        <f t="shared" si="93"/>
        <v>2501718130</v>
      </c>
      <c r="E584" t="s">
        <v>1536</v>
      </c>
      <c r="F584" t="str">
        <f t="shared" si="94"/>
        <v>401047</v>
      </c>
      <c r="G584" t="s">
        <v>1730</v>
      </c>
      <c r="H584" t="s">
        <v>2245</v>
      </c>
      <c r="I584" t="s">
        <v>41</v>
      </c>
      <c r="J584">
        <v>2</v>
      </c>
      <c r="K584">
        <v>38</v>
      </c>
      <c r="L584" t="str">
        <f t="shared" si="95"/>
        <v>521024</v>
      </c>
      <c r="N584" t="s">
        <v>2082</v>
      </c>
      <c r="O584" s="2">
        <v>46251.597210648149</v>
      </c>
      <c r="P584" s="2">
        <v>46251.597210648149</v>
      </c>
      <c r="Q584" s="2">
        <v>46251.597210648149</v>
      </c>
      <c r="R584" t="str">
        <f t="shared" si="97"/>
        <v>153000283</v>
      </c>
      <c r="S584" s="1">
        <v>47969</v>
      </c>
    </row>
    <row r="585" spans="1:19" x14ac:dyDescent="0.35">
      <c r="A585" t="s">
        <v>2182</v>
      </c>
      <c r="B585" t="s">
        <v>31</v>
      </c>
      <c r="C585" t="s">
        <v>2246</v>
      </c>
      <c r="D585" t="str">
        <f t="shared" ref="D585:D609" si="98">"2501718129"</f>
        <v>2501718129</v>
      </c>
      <c r="E585" t="s">
        <v>1536</v>
      </c>
      <c r="F585" t="str">
        <f t="shared" ref="F585:F609" si="99">"400464"</f>
        <v>400464</v>
      </c>
      <c r="G585" t="s">
        <v>1669</v>
      </c>
      <c r="H585" t="s">
        <v>2247</v>
      </c>
      <c r="I585" t="s">
        <v>41</v>
      </c>
      <c r="J585">
        <v>4</v>
      </c>
      <c r="K585">
        <v>80</v>
      </c>
      <c r="L585" t="str">
        <f t="shared" si="95"/>
        <v>521024</v>
      </c>
      <c r="N585" t="s">
        <v>2082</v>
      </c>
      <c r="O585" s="2">
        <v>46251.499895833331</v>
      </c>
      <c r="P585" s="2">
        <v>46251.499895833331</v>
      </c>
      <c r="Q585" s="2">
        <v>46251.499895833331</v>
      </c>
      <c r="R585" t="str">
        <f t="shared" ref="R585:R600" si="100">"100011197"</f>
        <v>100011197</v>
      </c>
      <c r="S585" s="1">
        <v>47841</v>
      </c>
    </row>
    <row r="586" spans="1:19" x14ac:dyDescent="0.35">
      <c r="A586" t="s">
        <v>2182</v>
      </c>
      <c r="B586" t="s">
        <v>31</v>
      </c>
      <c r="C586" t="s">
        <v>2246</v>
      </c>
      <c r="D586" t="str">
        <f t="shared" si="98"/>
        <v>2501718129</v>
      </c>
      <c r="E586" t="s">
        <v>1536</v>
      </c>
      <c r="F586" t="str">
        <f t="shared" si="99"/>
        <v>400464</v>
      </c>
      <c r="G586" t="s">
        <v>1669</v>
      </c>
      <c r="H586" t="s">
        <v>2248</v>
      </c>
      <c r="I586" t="s">
        <v>41</v>
      </c>
      <c r="J586">
        <v>4</v>
      </c>
      <c r="K586">
        <v>80</v>
      </c>
      <c r="L586" t="str">
        <f t="shared" si="95"/>
        <v>521024</v>
      </c>
      <c r="N586" t="s">
        <v>2082</v>
      </c>
      <c r="O586" s="2">
        <v>46251.499849537038</v>
      </c>
      <c r="P586" s="2">
        <v>46251.499849537038</v>
      </c>
      <c r="Q586" s="2">
        <v>46251.499849537038</v>
      </c>
      <c r="R586" t="str">
        <f t="shared" si="100"/>
        <v>100011197</v>
      </c>
      <c r="S586" s="1">
        <v>47841</v>
      </c>
    </row>
    <row r="587" spans="1:19" x14ac:dyDescent="0.35">
      <c r="A587" t="s">
        <v>2182</v>
      </c>
      <c r="B587" t="s">
        <v>31</v>
      </c>
      <c r="C587" t="s">
        <v>2246</v>
      </c>
      <c r="D587" t="str">
        <f t="shared" si="98"/>
        <v>2501718129</v>
      </c>
      <c r="E587" t="s">
        <v>1536</v>
      </c>
      <c r="F587" t="str">
        <f t="shared" si="99"/>
        <v>400464</v>
      </c>
      <c r="G587" t="s">
        <v>1669</v>
      </c>
      <c r="H587" t="s">
        <v>2248</v>
      </c>
      <c r="I587" t="s">
        <v>41</v>
      </c>
      <c r="J587">
        <v>4</v>
      </c>
      <c r="K587">
        <v>80</v>
      </c>
      <c r="L587" t="str">
        <f t="shared" si="95"/>
        <v>521024</v>
      </c>
      <c r="N587" t="s">
        <v>2082</v>
      </c>
      <c r="O587" s="2">
        <v>46251.499814814815</v>
      </c>
      <c r="P587" s="2">
        <v>46251.499814814815</v>
      </c>
      <c r="Q587" s="2">
        <v>46251.499814814815</v>
      </c>
      <c r="R587" t="str">
        <f t="shared" si="100"/>
        <v>100011197</v>
      </c>
      <c r="S587" s="1">
        <v>47841</v>
      </c>
    </row>
    <row r="588" spans="1:19" x14ac:dyDescent="0.35">
      <c r="A588" t="s">
        <v>2182</v>
      </c>
      <c r="B588" t="s">
        <v>31</v>
      </c>
      <c r="C588" t="s">
        <v>2246</v>
      </c>
      <c r="D588" t="str">
        <f t="shared" si="98"/>
        <v>2501718129</v>
      </c>
      <c r="E588" t="s">
        <v>1536</v>
      </c>
      <c r="F588" t="str">
        <f t="shared" si="99"/>
        <v>400464</v>
      </c>
      <c r="G588" t="s">
        <v>1669</v>
      </c>
      <c r="H588" t="s">
        <v>2248</v>
      </c>
      <c r="I588" t="s">
        <v>41</v>
      </c>
      <c r="J588">
        <v>4</v>
      </c>
      <c r="K588">
        <v>80</v>
      </c>
      <c r="L588" t="str">
        <f t="shared" si="95"/>
        <v>521024</v>
      </c>
      <c r="N588" t="s">
        <v>2082</v>
      </c>
      <c r="O588" s="2">
        <v>46251.499664351853</v>
      </c>
      <c r="P588" s="2">
        <v>46251.499664351853</v>
      </c>
      <c r="Q588" s="2">
        <v>46251.499664351853</v>
      </c>
      <c r="R588" t="str">
        <f t="shared" si="100"/>
        <v>100011197</v>
      </c>
      <c r="S588" s="1">
        <v>47841</v>
      </c>
    </row>
    <row r="589" spans="1:19" x14ac:dyDescent="0.35">
      <c r="A589" t="s">
        <v>2182</v>
      </c>
      <c r="B589" t="s">
        <v>31</v>
      </c>
      <c r="C589" t="s">
        <v>2246</v>
      </c>
      <c r="D589" t="str">
        <f t="shared" si="98"/>
        <v>2501718129</v>
      </c>
      <c r="E589" t="s">
        <v>1536</v>
      </c>
      <c r="F589" t="str">
        <f t="shared" si="99"/>
        <v>400464</v>
      </c>
      <c r="G589" t="s">
        <v>1669</v>
      </c>
      <c r="H589" t="s">
        <v>2248</v>
      </c>
      <c r="I589" t="s">
        <v>41</v>
      </c>
      <c r="J589">
        <v>4</v>
      </c>
      <c r="K589">
        <v>80</v>
      </c>
      <c r="L589" t="str">
        <f t="shared" si="95"/>
        <v>521024</v>
      </c>
      <c r="N589" t="s">
        <v>2082</v>
      </c>
      <c r="O589" s="2">
        <v>46251.499583333331</v>
      </c>
      <c r="P589" s="2">
        <v>46251.499583333331</v>
      </c>
      <c r="Q589" s="2">
        <v>46251.499583333331</v>
      </c>
      <c r="R589" t="str">
        <f t="shared" si="100"/>
        <v>100011197</v>
      </c>
      <c r="S589" s="1">
        <v>47841</v>
      </c>
    </row>
    <row r="590" spans="1:19" x14ac:dyDescent="0.35">
      <c r="A590" t="s">
        <v>2182</v>
      </c>
      <c r="B590" t="s">
        <v>31</v>
      </c>
      <c r="C590" t="s">
        <v>2246</v>
      </c>
      <c r="D590" t="str">
        <f t="shared" si="98"/>
        <v>2501718129</v>
      </c>
      <c r="E590" t="s">
        <v>1536</v>
      </c>
      <c r="F590" t="str">
        <f t="shared" si="99"/>
        <v>400464</v>
      </c>
      <c r="G590" t="s">
        <v>1669</v>
      </c>
      <c r="H590" t="s">
        <v>2248</v>
      </c>
      <c r="I590" t="s">
        <v>41</v>
      </c>
      <c r="J590">
        <v>4</v>
      </c>
      <c r="K590">
        <v>80</v>
      </c>
      <c r="L590" t="str">
        <f t="shared" si="95"/>
        <v>521024</v>
      </c>
      <c r="N590" t="s">
        <v>2082</v>
      </c>
      <c r="O590" s="2">
        <v>46251.499548611115</v>
      </c>
      <c r="P590" s="2">
        <v>46251.499548611115</v>
      </c>
      <c r="Q590" s="2">
        <v>46251.499548611115</v>
      </c>
      <c r="R590" t="str">
        <f t="shared" si="100"/>
        <v>100011197</v>
      </c>
      <c r="S590" s="1">
        <v>47841</v>
      </c>
    </row>
    <row r="591" spans="1:19" x14ac:dyDescent="0.35">
      <c r="A591" t="s">
        <v>2182</v>
      </c>
      <c r="B591" t="s">
        <v>31</v>
      </c>
      <c r="C591" t="s">
        <v>2246</v>
      </c>
      <c r="D591" t="str">
        <f t="shared" si="98"/>
        <v>2501718129</v>
      </c>
      <c r="E591" t="s">
        <v>1536</v>
      </c>
      <c r="F591" t="str">
        <f t="shared" si="99"/>
        <v>400464</v>
      </c>
      <c r="G591" t="s">
        <v>1669</v>
      </c>
      <c r="H591" t="s">
        <v>2249</v>
      </c>
      <c r="I591" t="s">
        <v>41</v>
      </c>
      <c r="J591">
        <v>4</v>
      </c>
      <c r="K591">
        <v>80</v>
      </c>
      <c r="L591" t="str">
        <f t="shared" si="95"/>
        <v>521024</v>
      </c>
      <c r="N591" t="s">
        <v>2082</v>
      </c>
      <c r="O591" s="2">
        <v>46251.499525462961</v>
      </c>
      <c r="P591" s="2">
        <v>46251.499525462961</v>
      </c>
      <c r="Q591" s="2">
        <v>46251.499525462961</v>
      </c>
      <c r="R591" t="str">
        <f t="shared" si="100"/>
        <v>100011197</v>
      </c>
      <c r="S591" s="1">
        <v>47841</v>
      </c>
    </row>
    <row r="592" spans="1:19" x14ac:dyDescent="0.35">
      <c r="A592" t="s">
        <v>2182</v>
      </c>
      <c r="B592" t="s">
        <v>31</v>
      </c>
      <c r="C592" t="s">
        <v>2246</v>
      </c>
      <c r="D592" t="str">
        <f t="shared" si="98"/>
        <v>2501718129</v>
      </c>
      <c r="E592" t="s">
        <v>1536</v>
      </c>
      <c r="F592" t="str">
        <f t="shared" si="99"/>
        <v>400464</v>
      </c>
      <c r="G592" t="s">
        <v>1669</v>
      </c>
      <c r="H592" t="s">
        <v>2249</v>
      </c>
      <c r="I592" t="s">
        <v>41</v>
      </c>
      <c r="J592">
        <v>4</v>
      </c>
      <c r="K592">
        <v>80</v>
      </c>
      <c r="L592" t="str">
        <f t="shared" si="95"/>
        <v>521024</v>
      </c>
      <c r="N592" t="s">
        <v>2082</v>
      </c>
      <c r="O592" s="2">
        <v>46251.499456018515</v>
      </c>
      <c r="P592" s="2">
        <v>46251.499456018515</v>
      </c>
      <c r="Q592" s="2">
        <v>46251.499456018515</v>
      </c>
      <c r="R592" t="str">
        <f t="shared" si="100"/>
        <v>100011197</v>
      </c>
      <c r="S592" s="1">
        <v>47841</v>
      </c>
    </row>
    <row r="593" spans="1:19" x14ac:dyDescent="0.35">
      <c r="A593" t="s">
        <v>2182</v>
      </c>
      <c r="B593" t="s">
        <v>31</v>
      </c>
      <c r="C593" t="s">
        <v>2246</v>
      </c>
      <c r="D593" t="str">
        <f t="shared" si="98"/>
        <v>2501718129</v>
      </c>
      <c r="E593" t="s">
        <v>1536</v>
      </c>
      <c r="F593" t="str">
        <f t="shared" si="99"/>
        <v>400464</v>
      </c>
      <c r="G593" t="s">
        <v>1669</v>
      </c>
      <c r="H593" t="s">
        <v>2249</v>
      </c>
      <c r="I593" t="s">
        <v>41</v>
      </c>
      <c r="J593">
        <v>4</v>
      </c>
      <c r="K593">
        <v>80</v>
      </c>
      <c r="L593" t="str">
        <f t="shared" si="95"/>
        <v>521024</v>
      </c>
      <c r="N593" t="s">
        <v>2082</v>
      </c>
      <c r="O593" s="2">
        <v>46251.499398148146</v>
      </c>
      <c r="P593" s="2">
        <v>46251.499398148146</v>
      </c>
      <c r="Q593" s="2">
        <v>46251.499398148146</v>
      </c>
      <c r="R593" t="str">
        <f t="shared" si="100"/>
        <v>100011197</v>
      </c>
      <c r="S593" s="1">
        <v>47841</v>
      </c>
    </row>
    <row r="594" spans="1:19" x14ac:dyDescent="0.35">
      <c r="A594" t="s">
        <v>2182</v>
      </c>
      <c r="B594" t="s">
        <v>31</v>
      </c>
      <c r="C594" t="s">
        <v>2246</v>
      </c>
      <c r="D594" t="str">
        <f t="shared" si="98"/>
        <v>2501718129</v>
      </c>
      <c r="E594" t="s">
        <v>1536</v>
      </c>
      <c r="F594" t="str">
        <f t="shared" si="99"/>
        <v>400464</v>
      </c>
      <c r="G594" t="s">
        <v>1669</v>
      </c>
      <c r="H594" t="s">
        <v>2249</v>
      </c>
      <c r="I594" t="s">
        <v>41</v>
      </c>
      <c r="J594">
        <v>4</v>
      </c>
      <c r="K594">
        <v>80</v>
      </c>
      <c r="L594" t="str">
        <f t="shared" si="95"/>
        <v>521024</v>
      </c>
      <c r="N594" t="s">
        <v>2082</v>
      </c>
      <c r="O594" s="2">
        <v>46251.499363425923</v>
      </c>
      <c r="P594" s="2">
        <v>46251.499363425923</v>
      </c>
      <c r="Q594" s="2">
        <v>46251.499363425923</v>
      </c>
      <c r="R594" t="str">
        <f t="shared" si="100"/>
        <v>100011197</v>
      </c>
      <c r="S594" s="1">
        <v>47841</v>
      </c>
    </row>
    <row r="595" spans="1:19" x14ac:dyDescent="0.35">
      <c r="A595" t="s">
        <v>2182</v>
      </c>
      <c r="B595" t="s">
        <v>31</v>
      </c>
      <c r="C595" t="s">
        <v>2246</v>
      </c>
      <c r="D595" t="str">
        <f t="shared" si="98"/>
        <v>2501718129</v>
      </c>
      <c r="E595" t="s">
        <v>1536</v>
      </c>
      <c r="F595" t="str">
        <f t="shared" si="99"/>
        <v>400464</v>
      </c>
      <c r="G595" t="s">
        <v>1669</v>
      </c>
      <c r="H595" t="s">
        <v>2249</v>
      </c>
      <c r="I595" t="s">
        <v>41</v>
      </c>
      <c r="J595">
        <v>4</v>
      </c>
      <c r="K595">
        <v>80</v>
      </c>
      <c r="L595" t="str">
        <f t="shared" si="95"/>
        <v>521024</v>
      </c>
      <c r="N595" t="s">
        <v>2082</v>
      </c>
      <c r="O595" s="2">
        <v>46251.499328703707</v>
      </c>
      <c r="P595" s="2">
        <v>46251.499328703707</v>
      </c>
      <c r="Q595" s="2">
        <v>46251.499328703707</v>
      </c>
      <c r="R595" t="str">
        <f t="shared" si="100"/>
        <v>100011197</v>
      </c>
      <c r="S595" s="1">
        <v>47841</v>
      </c>
    </row>
    <row r="596" spans="1:19" x14ac:dyDescent="0.35">
      <c r="A596" t="s">
        <v>2182</v>
      </c>
      <c r="B596" t="s">
        <v>31</v>
      </c>
      <c r="C596" t="s">
        <v>2246</v>
      </c>
      <c r="D596" t="str">
        <f t="shared" si="98"/>
        <v>2501718129</v>
      </c>
      <c r="E596" t="s">
        <v>1536</v>
      </c>
      <c r="F596" t="str">
        <f t="shared" si="99"/>
        <v>400464</v>
      </c>
      <c r="G596" t="s">
        <v>1669</v>
      </c>
      <c r="H596" t="s">
        <v>2250</v>
      </c>
      <c r="I596" t="s">
        <v>41</v>
      </c>
      <c r="J596">
        <v>4</v>
      </c>
      <c r="K596">
        <v>80</v>
      </c>
      <c r="L596" t="str">
        <f t="shared" si="95"/>
        <v>521024</v>
      </c>
      <c r="N596" t="s">
        <v>2082</v>
      </c>
      <c r="O596" s="2">
        <v>46251.499259259261</v>
      </c>
      <c r="P596" s="2">
        <v>46251.499259259261</v>
      </c>
      <c r="Q596" s="2">
        <v>46251.499259259261</v>
      </c>
      <c r="R596" t="str">
        <f t="shared" si="100"/>
        <v>100011197</v>
      </c>
      <c r="S596" s="1">
        <v>47841</v>
      </c>
    </row>
    <row r="597" spans="1:19" x14ac:dyDescent="0.35">
      <c r="A597" t="s">
        <v>2182</v>
      </c>
      <c r="B597" t="s">
        <v>31</v>
      </c>
      <c r="C597" t="s">
        <v>2246</v>
      </c>
      <c r="D597" t="str">
        <f t="shared" si="98"/>
        <v>2501718129</v>
      </c>
      <c r="E597" t="s">
        <v>1536</v>
      </c>
      <c r="F597" t="str">
        <f t="shared" si="99"/>
        <v>400464</v>
      </c>
      <c r="G597" t="s">
        <v>1669</v>
      </c>
      <c r="H597" t="s">
        <v>2250</v>
      </c>
      <c r="I597" t="s">
        <v>41</v>
      </c>
      <c r="J597">
        <v>4</v>
      </c>
      <c r="K597">
        <v>80</v>
      </c>
      <c r="L597" t="str">
        <f t="shared" si="95"/>
        <v>521024</v>
      </c>
      <c r="N597" t="s">
        <v>2082</v>
      </c>
      <c r="O597" s="2">
        <v>46251.499224537038</v>
      </c>
      <c r="P597" s="2">
        <v>46251.499224537038</v>
      </c>
      <c r="Q597" s="2">
        <v>46251.499224537038</v>
      </c>
      <c r="R597" t="str">
        <f t="shared" si="100"/>
        <v>100011197</v>
      </c>
      <c r="S597" s="1">
        <v>47841</v>
      </c>
    </row>
    <row r="598" spans="1:19" x14ac:dyDescent="0.35">
      <c r="A598" t="s">
        <v>2182</v>
      </c>
      <c r="B598" t="s">
        <v>31</v>
      </c>
      <c r="C598" t="s">
        <v>2246</v>
      </c>
      <c r="D598" t="str">
        <f t="shared" si="98"/>
        <v>2501718129</v>
      </c>
      <c r="E598" t="s">
        <v>1536</v>
      </c>
      <c r="F598" t="str">
        <f t="shared" si="99"/>
        <v>400464</v>
      </c>
      <c r="G598" t="s">
        <v>1669</v>
      </c>
      <c r="H598" t="s">
        <v>2250</v>
      </c>
      <c r="I598" t="s">
        <v>41</v>
      </c>
      <c r="J598">
        <v>4</v>
      </c>
      <c r="K598">
        <v>80</v>
      </c>
      <c r="L598" t="str">
        <f t="shared" si="95"/>
        <v>521024</v>
      </c>
      <c r="N598" t="s">
        <v>2082</v>
      </c>
      <c r="O598" s="2">
        <v>46251.499201388891</v>
      </c>
      <c r="P598" s="2">
        <v>46251.499201388891</v>
      </c>
      <c r="Q598" s="2">
        <v>46251.499201388891</v>
      </c>
      <c r="R598" t="str">
        <f t="shared" si="100"/>
        <v>100011197</v>
      </c>
      <c r="S598" s="1">
        <v>47841</v>
      </c>
    </row>
    <row r="599" spans="1:19" x14ac:dyDescent="0.35">
      <c r="A599" t="s">
        <v>2182</v>
      </c>
      <c r="B599" t="s">
        <v>31</v>
      </c>
      <c r="C599" t="s">
        <v>2246</v>
      </c>
      <c r="D599" t="str">
        <f t="shared" si="98"/>
        <v>2501718129</v>
      </c>
      <c r="E599" t="s">
        <v>1536</v>
      </c>
      <c r="F599" t="str">
        <f t="shared" si="99"/>
        <v>400464</v>
      </c>
      <c r="G599" t="s">
        <v>1669</v>
      </c>
      <c r="H599" t="s">
        <v>2250</v>
      </c>
      <c r="I599" t="s">
        <v>41</v>
      </c>
      <c r="J599">
        <v>4</v>
      </c>
      <c r="K599">
        <v>80</v>
      </c>
      <c r="L599" t="str">
        <f t="shared" si="95"/>
        <v>521024</v>
      </c>
      <c r="N599" t="s">
        <v>2082</v>
      </c>
      <c r="O599" s="2">
        <v>46251.499166666668</v>
      </c>
      <c r="P599" s="2">
        <v>46251.499166666668</v>
      </c>
      <c r="Q599" s="2">
        <v>46251.499166666668</v>
      </c>
      <c r="R599" t="str">
        <f t="shared" si="100"/>
        <v>100011197</v>
      </c>
      <c r="S599" s="1">
        <v>47841</v>
      </c>
    </row>
    <row r="600" spans="1:19" x14ac:dyDescent="0.35">
      <c r="A600" t="s">
        <v>2182</v>
      </c>
      <c r="B600" t="s">
        <v>31</v>
      </c>
      <c r="C600" t="s">
        <v>2246</v>
      </c>
      <c r="D600" t="str">
        <f t="shared" si="98"/>
        <v>2501718129</v>
      </c>
      <c r="E600" t="s">
        <v>1536</v>
      </c>
      <c r="F600" t="str">
        <f t="shared" si="99"/>
        <v>400464</v>
      </c>
      <c r="G600" t="s">
        <v>1669</v>
      </c>
      <c r="H600" t="s">
        <v>2250</v>
      </c>
      <c r="I600" t="s">
        <v>41</v>
      </c>
      <c r="J600">
        <v>4</v>
      </c>
      <c r="K600">
        <v>80</v>
      </c>
      <c r="L600" t="str">
        <f t="shared" si="95"/>
        <v>521024</v>
      </c>
      <c r="N600" t="s">
        <v>2082</v>
      </c>
      <c r="O600" s="2">
        <v>46251.499097222222</v>
      </c>
      <c r="P600" s="2">
        <v>46251.499097222222</v>
      </c>
      <c r="Q600" s="2">
        <v>46251.499097222222</v>
      </c>
      <c r="R600" t="str">
        <f t="shared" si="100"/>
        <v>100011197</v>
      </c>
      <c r="S600" s="1">
        <v>47841</v>
      </c>
    </row>
    <row r="601" spans="1:19" x14ac:dyDescent="0.35">
      <c r="A601" t="s">
        <v>2182</v>
      </c>
      <c r="B601" t="s">
        <v>31</v>
      </c>
      <c r="C601" t="s">
        <v>2246</v>
      </c>
      <c r="D601" t="str">
        <f t="shared" si="98"/>
        <v>2501718129</v>
      </c>
      <c r="E601" t="s">
        <v>1536</v>
      </c>
      <c r="F601" t="str">
        <f t="shared" si="99"/>
        <v>400464</v>
      </c>
      <c r="G601" t="s">
        <v>1669</v>
      </c>
      <c r="H601" t="s">
        <v>2251</v>
      </c>
      <c r="I601" t="s">
        <v>41</v>
      </c>
      <c r="J601">
        <v>4</v>
      </c>
      <c r="K601">
        <v>4</v>
      </c>
      <c r="L601" t="str">
        <f t="shared" si="95"/>
        <v>521024</v>
      </c>
      <c r="N601" t="s">
        <v>2082</v>
      </c>
      <c r="O601" s="2">
        <v>46251.499050925922</v>
      </c>
      <c r="P601" s="2">
        <v>46251.499050925922</v>
      </c>
      <c r="Q601" s="2">
        <v>46251.499050925922</v>
      </c>
      <c r="R601" t="str">
        <f>"100009904"</f>
        <v>100009904</v>
      </c>
      <c r="S601" s="1">
        <v>47841</v>
      </c>
    </row>
    <row r="602" spans="1:19" x14ac:dyDescent="0.35">
      <c r="A602" t="s">
        <v>2182</v>
      </c>
      <c r="B602" t="s">
        <v>31</v>
      </c>
      <c r="C602" t="s">
        <v>2246</v>
      </c>
      <c r="D602" t="str">
        <f t="shared" si="98"/>
        <v>2501718129</v>
      </c>
      <c r="E602" t="s">
        <v>1536</v>
      </c>
      <c r="F602" t="str">
        <f t="shared" si="99"/>
        <v>400464</v>
      </c>
      <c r="G602" t="s">
        <v>1669</v>
      </c>
      <c r="H602" t="s">
        <v>2251</v>
      </c>
      <c r="I602" t="s">
        <v>41</v>
      </c>
      <c r="J602">
        <v>4</v>
      </c>
      <c r="K602">
        <v>8</v>
      </c>
      <c r="L602" t="str">
        <f t="shared" si="95"/>
        <v>521024</v>
      </c>
      <c r="N602" t="s">
        <v>2082</v>
      </c>
      <c r="O602" s="2">
        <v>46251.499027777776</v>
      </c>
      <c r="P602" s="2">
        <v>46251.499027777776</v>
      </c>
      <c r="Q602" s="2">
        <v>46251.499027777776</v>
      </c>
      <c r="R602" t="str">
        <f>"100010746"</f>
        <v>100010746</v>
      </c>
      <c r="S602" s="1">
        <v>47841</v>
      </c>
    </row>
    <row r="603" spans="1:19" x14ac:dyDescent="0.35">
      <c r="A603" t="s">
        <v>2182</v>
      </c>
      <c r="B603" t="s">
        <v>31</v>
      </c>
      <c r="C603" t="s">
        <v>2246</v>
      </c>
      <c r="D603" t="str">
        <f t="shared" si="98"/>
        <v>2501718129</v>
      </c>
      <c r="E603" t="s">
        <v>1536</v>
      </c>
      <c r="F603" t="str">
        <f t="shared" si="99"/>
        <v>400464</v>
      </c>
      <c r="G603" t="s">
        <v>1669</v>
      </c>
      <c r="H603" t="s">
        <v>2251</v>
      </c>
      <c r="I603" t="s">
        <v>41</v>
      </c>
      <c r="J603">
        <v>4</v>
      </c>
      <c r="K603">
        <v>8</v>
      </c>
      <c r="L603" t="str">
        <f t="shared" si="95"/>
        <v>521024</v>
      </c>
      <c r="N603" t="s">
        <v>2082</v>
      </c>
      <c r="O603" s="2">
        <v>46251.49900462963</v>
      </c>
      <c r="P603" s="2">
        <v>46251.49900462963</v>
      </c>
      <c r="Q603" s="2">
        <v>46251.49900462963</v>
      </c>
      <c r="R603" t="str">
        <f>"100010746"</f>
        <v>100010746</v>
      </c>
      <c r="S603" s="1">
        <v>47841</v>
      </c>
    </row>
    <row r="604" spans="1:19" x14ac:dyDescent="0.35">
      <c r="A604" t="s">
        <v>2182</v>
      </c>
      <c r="B604" t="s">
        <v>31</v>
      </c>
      <c r="C604" t="s">
        <v>2246</v>
      </c>
      <c r="D604" t="str">
        <f t="shared" si="98"/>
        <v>2501718129</v>
      </c>
      <c r="E604" t="s">
        <v>1536</v>
      </c>
      <c r="F604" t="str">
        <f t="shared" si="99"/>
        <v>400464</v>
      </c>
      <c r="G604" t="s">
        <v>1669</v>
      </c>
      <c r="H604" t="s">
        <v>2251</v>
      </c>
      <c r="I604" t="s">
        <v>41</v>
      </c>
      <c r="J604">
        <v>4</v>
      </c>
      <c r="K604">
        <v>8</v>
      </c>
      <c r="L604" t="str">
        <f t="shared" si="95"/>
        <v>521024</v>
      </c>
      <c r="N604" t="s">
        <v>2082</v>
      </c>
      <c r="O604" s="2">
        <v>46251.498981481483</v>
      </c>
      <c r="P604" s="2">
        <v>46251.498981481483</v>
      </c>
      <c r="Q604" s="2">
        <v>46251.498981481483</v>
      </c>
      <c r="R604" t="str">
        <f>"100009649"</f>
        <v>100009649</v>
      </c>
      <c r="S604" s="1">
        <v>47841</v>
      </c>
    </row>
    <row r="605" spans="1:19" x14ac:dyDescent="0.35">
      <c r="A605" t="s">
        <v>2182</v>
      </c>
      <c r="B605" t="s">
        <v>31</v>
      </c>
      <c r="C605" t="s">
        <v>2246</v>
      </c>
      <c r="D605" t="str">
        <f t="shared" si="98"/>
        <v>2501718129</v>
      </c>
      <c r="E605" t="s">
        <v>1536</v>
      </c>
      <c r="F605" t="str">
        <f t="shared" si="99"/>
        <v>400464</v>
      </c>
      <c r="G605" t="s">
        <v>1669</v>
      </c>
      <c r="H605" t="s">
        <v>2251</v>
      </c>
      <c r="I605" t="s">
        <v>41</v>
      </c>
      <c r="J605">
        <v>4</v>
      </c>
      <c r="K605">
        <v>8</v>
      </c>
      <c r="L605" t="str">
        <f t="shared" si="95"/>
        <v>521024</v>
      </c>
      <c r="N605" t="s">
        <v>2082</v>
      </c>
      <c r="O605" s="2">
        <v>46251.49894675926</v>
      </c>
      <c r="P605" s="2">
        <v>46251.49894675926</v>
      </c>
      <c r="Q605" s="2">
        <v>46251.49894675926</v>
      </c>
      <c r="R605" t="str">
        <f>"100009649"</f>
        <v>100009649</v>
      </c>
      <c r="S605" s="1">
        <v>47841</v>
      </c>
    </row>
    <row r="606" spans="1:19" x14ac:dyDescent="0.35">
      <c r="A606" t="s">
        <v>2182</v>
      </c>
      <c r="B606" t="s">
        <v>31</v>
      </c>
      <c r="C606" t="s">
        <v>2246</v>
      </c>
      <c r="D606" t="str">
        <f t="shared" si="98"/>
        <v>2501718129</v>
      </c>
      <c r="E606" t="s">
        <v>1536</v>
      </c>
      <c r="F606" t="str">
        <f t="shared" si="99"/>
        <v>400464</v>
      </c>
      <c r="G606" t="s">
        <v>1669</v>
      </c>
      <c r="H606" t="s">
        <v>2252</v>
      </c>
      <c r="I606" t="s">
        <v>41</v>
      </c>
      <c r="J606">
        <v>4</v>
      </c>
      <c r="K606">
        <v>80</v>
      </c>
      <c r="L606" t="str">
        <f t="shared" si="95"/>
        <v>521024</v>
      </c>
      <c r="N606" t="s">
        <v>2082</v>
      </c>
      <c r="O606" s="2">
        <v>46251.498888888891</v>
      </c>
      <c r="P606" s="2">
        <v>46251.498888888891</v>
      </c>
      <c r="Q606" s="2">
        <v>46251.498888888891</v>
      </c>
      <c r="R606" t="str">
        <f>"100011197"</f>
        <v>100011197</v>
      </c>
      <c r="S606" s="1">
        <v>47841</v>
      </c>
    </row>
    <row r="607" spans="1:19" x14ac:dyDescent="0.35">
      <c r="A607" t="s">
        <v>2182</v>
      </c>
      <c r="B607" t="s">
        <v>31</v>
      </c>
      <c r="C607" t="s">
        <v>2246</v>
      </c>
      <c r="D607" t="str">
        <f t="shared" si="98"/>
        <v>2501718129</v>
      </c>
      <c r="E607" t="s">
        <v>1536</v>
      </c>
      <c r="F607" t="str">
        <f t="shared" si="99"/>
        <v>400464</v>
      </c>
      <c r="G607" t="s">
        <v>1669</v>
      </c>
      <c r="H607" t="s">
        <v>2252</v>
      </c>
      <c r="I607" t="s">
        <v>41</v>
      </c>
      <c r="J607">
        <v>4</v>
      </c>
      <c r="K607">
        <v>80</v>
      </c>
      <c r="L607" t="str">
        <f t="shared" si="95"/>
        <v>521024</v>
      </c>
      <c r="N607" t="s">
        <v>2082</v>
      </c>
      <c r="O607" s="2">
        <v>46251.498842592591</v>
      </c>
      <c r="P607" s="2">
        <v>46251.498842592591</v>
      </c>
      <c r="Q607" s="2">
        <v>46251.498842592591</v>
      </c>
      <c r="R607" t="str">
        <f>"100011197"</f>
        <v>100011197</v>
      </c>
      <c r="S607" s="1">
        <v>47841</v>
      </c>
    </row>
    <row r="608" spans="1:19" x14ac:dyDescent="0.35">
      <c r="A608" t="s">
        <v>2182</v>
      </c>
      <c r="B608" t="s">
        <v>31</v>
      </c>
      <c r="C608" t="s">
        <v>2246</v>
      </c>
      <c r="D608" t="str">
        <f t="shared" si="98"/>
        <v>2501718129</v>
      </c>
      <c r="E608" t="s">
        <v>1536</v>
      </c>
      <c r="F608" t="str">
        <f t="shared" si="99"/>
        <v>400464</v>
      </c>
      <c r="G608" t="s">
        <v>1669</v>
      </c>
      <c r="H608" t="s">
        <v>2252</v>
      </c>
      <c r="I608" t="s">
        <v>41</v>
      </c>
      <c r="J608">
        <v>4</v>
      </c>
      <c r="K608">
        <v>80</v>
      </c>
      <c r="L608" t="str">
        <f t="shared" si="95"/>
        <v>521024</v>
      </c>
      <c r="N608" t="s">
        <v>2082</v>
      </c>
      <c r="O608" s="2">
        <v>46251.498819444445</v>
      </c>
      <c r="P608" s="2">
        <v>46251.498819444445</v>
      </c>
      <c r="Q608" s="2">
        <v>46251.498819444445</v>
      </c>
      <c r="R608" t="str">
        <f>"100011197"</f>
        <v>100011197</v>
      </c>
      <c r="S608" s="1">
        <v>47841</v>
      </c>
    </row>
    <row r="609" spans="1:19" x14ac:dyDescent="0.35">
      <c r="A609" t="s">
        <v>2182</v>
      </c>
      <c r="B609" t="s">
        <v>31</v>
      </c>
      <c r="C609" t="s">
        <v>2246</v>
      </c>
      <c r="D609" t="str">
        <f t="shared" si="98"/>
        <v>2501718129</v>
      </c>
      <c r="E609" t="s">
        <v>1536</v>
      </c>
      <c r="F609" t="str">
        <f t="shared" si="99"/>
        <v>400464</v>
      </c>
      <c r="G609" t="s">
        <v>1669</v>
      </c>
      <c r="H609" t="s">
        <v>2252</v>
      </c>
      <c r="I609" t="s">
        <v>41</v>
      </c>
      <c r="J609">
        <v>4</v>
      </c>
      <c r="K609">
        <v>80</v>
      </c>
      <c r="L609" t="str">
        <f t="shared" si="95"/>
        <v>521024</v>
      </c>
      <c r="N609" t="s">
        <v>2082</v>
      </c>
      <c r="O609" s="2">
        <v>46251.498773148145</v>
      </c>
      <c r="P609" s="2">
        <v>46251.498773148145</v>
      </c>
      <c r="Q609" s="2">
        <v>46251.498773148145</v>
      </c>
      <c r="R609" t="str">
        <f>"100011197"</f>
        <v>100011197</v>
      </c>
      <c r="S609" s="1">
        <v>47841</v>
      </c>
    </row>
    <row r="610" spans="1:19" x14ac:dyDescent="0.35">
      <c r="A610" t="s">
        <v>2182</v>
      </c>
      <c r="B610" t="s">
        <v>31</v>
      </c>
      <c r="C610" t="s">
        <v>2253</v>
      </c>
      <c r="D610" t="str">
        <f>"2501718134"</f>
        <v>2501718134</v>
      </c>
      <c r="E610" t="s">
        <v>1536</v>
      </c>
      <c r="F610" t="str">
        <f>"400405"</f>
        <v>400405</v>
      </c>
      <c r="G610" t="s">
        <v>519</v>
      </c>
      <c r="H610" t="s">
        <v>2225</v>
      </c>
      <c r="I610" t="s">
        <v>37</v>
      </c>
      <c r="J610">
        <v>39</v>
      </c>
      <c r="K610">
        <v>156</v>
      </c>
      <c r="L610" t="str">
        <f>"521161"</f>
        <v>521161</v>
      </c>
      <c r="N610" t="s">
        <v>1556</v>
      </c>
      <c r="O610" s="2">
        <v>46251.596631944441</v>
      </c>
      <c r="P610" s="2">
        <v>46251.596631944441</v>
      </c>
      <c r="Q610" s="2">
        <v>46251.596631944441</v>
      </c>
      <c r="R610" t="str">
        <f>"153000440"</f>
        <v>153000440</v>
      </c>
      <c r="S610" s="1">
        <v>48036</v>
      </c>
    </row>
    <row r="611" spans="1:19" x14ac:dyDescent="0.35">
      <c r="A611" t="s">
        <v>2182</v>
      </c>
      <c r="B611" t="s">
        <v>31</v>
      </c>
      <c r="C611" t="s">
        <v>2253</v>
      </c>
      <c r="D611" t="str">
        <f>"2501718134"</f>
        <v>2501718134</v>
      </c>
      <c r="E611" t="s">
        <v>1536</v>
      </c>
      <c r="F611" t="str">
        <f>"400405"</f>
        <v>400405</v>
      </c>
      <c r="G611" t="s">
        <v>519</v>
      </c>
      <c r="H611" t="s">
        <v>2254</v>
      </c>
      <c r="I611" t="s">
        <v>37</v>
      </c>
      <c r="J611">
        <v>52</v>
      </c>
      <c r="K611">
        <v>156</v>
      </c>
      <c r="L611" t="str">
        <f>"521161"</f>
        <v>521161</v>
      </c>
      <c r="N611" t="s">
        <v>1556</v>
      </c>
      <c r="O611" s="2">
        <v>46251.596342592595</v>
      </c>
      <c r="P611" s="2">
        <v>46251.596342592595</v>
      </c>
      <c r="Q611" s="2">
        <v>46251.596342592595</v>
      </c>
      <c r="R611" t="str">
        <f>"153000440"</f>
        <v>153000440</v>
      </c>
      <c r="S611" s="1">
        <v>48036</v>
      </c>
    </row>
    <row r="612" spans="1:19" x14ac:dyDescent="0.35">
      <c r="A612" t="s">
        <v>2182</v>
      </c>
      <c r="B612" t="s">
        <v>31</v>
      </c>
      <c r="C612" t="s">
        <v>2253</v>
      </c>
      <c r="D612" t="str">
        <f>"2501718134"</f>
        <v>2501718134</v>
      </c>
      <c r="E612" t="s">
        <v>1536</v>
      </c>
      <c r="F612" t="str">
        <f>"400405"</f>
        <v>400405</v>
      </c>
      <c r="G612" t="s">
        <v>519</v>
      </c>
      <c r="H612" t="s">
        <v>2255</v>
      </c>
      <c r="I612" t="s">
        <v>37</v>
      </c>
      <c r="J612">
        <v>52</v>
      </c>
      <c r="K612">
        <v>156</v>
      </c>
      <c r="L612" t="str">
        <f>"521161"</f>
        <v>521161</v>
      </c>
      <c r="N612" t="s">
        <v>1556</v>
      </c>
      <c r="O612" s="2">
        <v>46251.596250000002</v>
      </c>
      <c r="P612" s="2">
        <v>46251.596250000002</v>
      </c>
      <c r="Q612" s="2">
        <v>46251.596250000002</v>
      </c>
      <c r="R612" t="str">
        <f>"153000440"</f>
        <v>153000440</v>
      </c>
      <c r="S612" s="1">
        <v>48036</v>
      </c>
    </row>
    <row r="613" spans="1:19" x14ac:dyDescent="0.35">
      <c r="A613" t="s">
        <v>2182</v>
      </c>
      <c r="B613" t="s">
        <v>31</v>
      </c>
      <c r="C613" t="s">
        <v>2253</v>
      </c>
      <c r="D613" t="str">
        <f>"2501718134"</f>
        <v>2501718134</v>
      </c>
      <c r="E613" t="s">
        <v>1536</v>
      </c>
      <c r="F613" t="str">
        <f>"400405"</f>
        <v>400405</v>
      </c>
      <c r="G613" t="s">
        <v>519</v>
      </c>
      <c r="H613" t="s">
        <v>2256</v>
      </c>
      <c r="I613" t="s">
        <v>37</v>
      </c>
      <c r="J613">
        <v>13</v>
      </c>
      <c r="K613">
        <v>156</v>
      </c>
      <c r="L613" t="str">
        <f>"521161"</f>
        <v>521161</v>
      </c>
      <c r="N613" t="s">
        <v>1556</v>
      </c>
      <c r="O613" s="2">
        <v>46251.595960648148</v>
      </c>
      <c r="P613" s="2">
        <v>46251.595960648148</v>
      </c>
      <c r="Q613" s="2">
        <v>46251.595960648148</v>
      </c>
      <c r="R613" t="str">
        <f>"153000440"</f>
        <v>153000440</v>
      </c>
      <c r="S613" s="1">
        <v>48036</v>
      </c>
    </row>
    <row r="614" spans="1:19" x14ac:dyDescent="0.35">
      <c r="A614" t="s">
        <v>2182</v>
      </c>
      <c r="B614" t="s">
        <v>31</v>
      </c>
      <c r="C614" t="s">
        <v>2257</v>
      </c>
      <c r="D614" t="str">
        <f t="shared" ref="D614:D629" si="101">"2501718104"</f>
        <v>2501718104</v>
      </c>
      <c r="E614" t="s">
        <v>1536</v>
      </c>
      <c r="F614" t="str">
        <f t="shared" ref="F614:F629" si="102">"400428"</f>
        <v>400428</v>
      </c>
      <c r="G614" t="s">
        <v>833</v>
      </c>
      <c r="H614" t="s">
        <v>2258</v>
      </c>
      <c r="I614" t="s">
        <v>41</v>
      </c>
      <c r="J614">
        <v>4</v>
      </c>
      <c r="K614">
        <v>60</v>
      </c>
      <c r="L614" t="str">
        <f t="shared" ref="L614:L629" si="103">"520996"</f>
        <v>520996</v>
      </c>
      <c r="N614" t="s">
        <v>1798</v>
      </c>
      <c r="O614" s="2">
        <v>46249.585636574076</v>
      </c>
      <c r="P614" s="2">
        <v>46249.585636574076</v>
      </c>
      <c r="Q614" s="2">
        <v>46249.585636574076</v>
      </c>
      <c r="R614" t="str">
        <f t="shared" ref="R614:R628" si="104">"153000448"</f>
        <v>153000448</v>
      </c>
      <c r="S614" s="1">
        <v>48039</v>
      </c>
    </row>
    <row r="615" spans="1:19" x14ac:dyDescent="0.35">
      <c r="A615" t="s">
        <v>2182</v>
      </c>
      <c r="B615" t="s">
        <v>31</v>
      </c>
      <c r="C615" t="s">
        <v>2257</v>
      </c>
      <c r="D615" t="str">
        <f t="shared" si="101"/>
        <v>2501718104</v>
      </c>
      <c r="E615" t="s">
        <v>1536</v>
      </c>
      <c r="F615" t="str">
        <f t="shared" si="102"/>
        <v>400428</v>
      </c>
      <c r="G615" t="s">
        <v>833</v>
      </c>
      <c r="H615" t="s">
        <v>2258</v>
      </c>
      <c r="I615" t="s">
        <v>41</v>
      </c>
      <c r="J615">
        <v>4</v>
      </c>
      <c r="K615">
        <v>60</v>
      </c>
      <c r="L615" t="str">
        <f t="shared" si="103"/>
        <v>520996</v>
      </c>
      <c r="N615" t="s">
        <v>1798</v>
      </c>
      <c r="O615" s="2">
        <v>46249.585613425923</v>
      </c>
      <c r="P615" s="2">
        <v>46249.585613425923</v>
      </c>
      <c r="Q615" s="2">
        <v>46249.585613425923</v>
      </c>
      <c r="R615" t="str">
        <f t="shared" si="104"/>
        <v>153000448</v>
      </c>
      <c r="S615" s="1">
        <v>48039</v>
      </c>
    </row>
    <row r="616" spans="1:19" x14ac:dyDescent="0.35">
      <c r="A616" t="s">
        <v>2182</v>
      </c>
      <c r="B616" t="s">
        <v>31</v>
      </c>
      <c r="C616" t="s">
        <v>2257</v>
      </c>
      <c r="D616" t="str">
        <f t="shared" si="101"/>
        <v>2501718104</v>
      </c>
      <c r="E616" t="s">
        <v>1536</v>
      </c>
      <c r="F616" t="str">
        <f t="shared" si="102"/>
        <v>400428</v>
      </c>
      <c r="G616" t="s">
        <v>833</v>
      </c>
      <c r="H616" t="s">
        <v>2259</v>
      </c>
      <c r="I616" t="s">
        <v>41</v>
      </c>
      <c r="J616">
        <v>4</v>
      </c>
      <c r="K616">
        <v>60</v>
      </c>
      <c r="L616" t="str">
        <f t="shared" si="103"/>
        <v>520996</v>
      </c>
      <c r="N616" t="s">
        <v>1798</v>
      </c>
      <c r="O616" s="2">
        <v>46249.585578703707</v>
      </c>
      <c r="P616" s="2">
        <v>46249.585578703707</v>
      </c>
      <c r="Q616" s="2">
        <v>46249.585578703707</v>
      </c>
      <c r="R616" t="str">
        <f t="shared" si="104"/>
        <v>153000448</v>
      </c>
      <c r="S616" s="1">
        <v>48039</v>
      </c>
    </row>
    <row r="617" spans="1:19" x14ac:dyDescent="0.35">
      <c r="A617" t="s">
        <v>2182</v>
      </c>
      <c r="B617" t="s">
        <v>31</v>
      </c>
      <c r="C617" t="s">
        <v>2257</v>
      </c>
      <c r="D617" t="str">
        <f t="shared" si="101"/>
        <v>2501718104</v>
      </c>
      <c r="E617" t="s">
        <v>1536</v>
      </c>
      <c r="F617" t="str">
        <f t="shared" si="102"/>
        <v>400428</v>
      </c>
      <c r="G617" t="s">
        <v>833</v>
      </c>
      <c r="H617" t="s">
        <v>2259</v>
      </c>
      <c r="I617" t="s">
        <v>41</v>
      </c>
      <c r="J617">
        <v>4</v>
      </c>
      <c r="K617">
        <v>60</v>
      </c>
      <c r="L617" t="str">
        <f t="shared" si="103"/>
        <v>520996</v>
      </c>
      <c r="N617" t="s">
        <v>1798</v>
      </c>
      <c r="O617" s="2">
        <v>46249.585555555554</v>
      </c>
      <c r="P617" s="2">
        <v>46249.585555555554</v>
      </c>
      <c r="Q617" s="2">
        <v>46249.585555555554</v>
      </c>
      <c r="R617" t="str">
        <f t="shared" si="104"/>
        <v>153000448</v>
      </c>
      <c r="S617" s="1">
        <v>48039</v>
      </c>
    </row>
    <row r="618" spans="1:19" x14ac:dyDescent="0.35">
      <c r="A618" t="s">
        <v>2182</v>
      </c>
      <c r="B618" t="s">
        <v>31</v>
      </c>
      <c r="C618" t="s">
        <v>2257</v>
      </c>
      <c r="D618" t="str">
        <f t="shared" si="101"/>
        <v>2501718104</v>
      </c>
      <c r="E618" t="s">
        <v>1536</v>
      </c>
      <c r="F618" t="str">
        <f t="shared" si="102"/>
        <v>400428</v>
      </c>
      <c r="G618" t="s">
        <v>833</v>
      </c>
      <c r="H618" t="s">
        <v>2259</v>
      </c>
      <c r="I618" t="s">
        <v>41</v>
      </c>
      <c r="J618">
        <v>4</v>
      </c>
      <c r="K618">
        <v>60</v>
      </c>
      <c r="L618" t="str">
        <f t="shared" si="103"/>
        <v>520996</v>
      </c>
      <c r="N618" t="s">
        <v>1798</v>
      </c>
      <c r="O618" s="2">
        <v>46249.585509259261</v>
      </c>
      <c r="P618" s="2">
        <v>46249.585509259261</v>
      </c>
      <c r="Q618" s="2">
        <v>46249.585509259261</v>
      </c>
      <c r="R618" t="str">
        <f t="shared" si="104"/>
        <v>153000448</v>
      </c>
      <c r="S618" s="1">
        <v>48039</v>
      </c>
    </row>
    <row r="619" spans="1:19" x14ac:dyDescent="0.35">
      <c r="A619" t="s">
        <v>2182</v>
      </c>
      <c r="B619" t="s">
        <v>31</v>
      </c>
      <c r="C619" t="s">
        <v>2257</v>
      </c>
      <c r="D619" t="str">
        <f t="shared" si="101"/>
        <v>2501718104</v>
      </c>
      <c r="E619" t="s">
        <v>1536</v>
      </c>
      <c r="F619" t="str">
        <f t="shared" si="102"/>
        <v>400428</v>
      </c>
      <c r="G619" t="s">
        <v>833</v>
      </c>
      <c r="H619" t="s">
        <v>2259</v>
      </c>
      <c r="I619" t="s">
        <v>41</v>
      </c>
      <c r="J619">
        <v>4</v>
      </c>
      <c r="K619">
        <v>60</v>
      </c>
      <c r="L619" t="str">
        <f t="shared" si="103"/>
        <v>520996</v>
      </c>
      <c r="N619" t="s">
        <v>1798</v>
      </c>
      <c r="O619" s="2">
        <v>46249.585474537038</v>
      </c>
      <c r="P619" s="2">
        <v>46249.585474537038</v>
      </c>
      <c r="Q619" s="2">
        <v>46249.585474537038</v>
      </c>
      <c r="R619" t="str">
        <f t="shared" si="104"/>
        <v>153000448</v>
      </c>
      <c r="S619" s="1">
        <v>48039</v>
      </c>
    </row>
    <row r="620" spans="1:19" x14ac:dyDescent="0.35">
      <c r="A620" t="s">
        <v>2182</v>
      </c>
      <c r="B620" t="s">
        <v>31</v>
      </c>
      <c r="C620" t="s">
        <v>2257</v>
      </c>
      <c r="D620" t="str">
        <f t="shared" si="101"/>
        <v>2501718104</v>
      </c>
      <c r="E620" t="s">
        <v>1536</v>
      </c>
      <c r="F620" t="str">
        <f t="shared" si="102"/>
        <v>400428</v>
      </c>
      <c r="G620" t="s">
        <v>833</v>
      </c>
      <c r="H620" t="s">
        <v>2259</v>
      </c>
      <c r="I620" t="s">
        <v>41</v>
      </c>
      <c r="J620">
        <v>4</v>
      </c>
      <c r="K620">
        <v>60</v>
      </c>
      <c r="L620" t="str">
        <f t="shared" si="103"/>
        <v>520996</v>
      </c>
      <c r="N620" t="s">
        <v>1798</v>
      </c>
      <c r="O620" s="2">
        <v>46249.585439814815</v>
      </c>
      <c r="P620" s="2">
        <v>46249.585439814815</v>
      </c>
      <c r="Q620" s="2">
        <v>46249.585439814815</v>
      </c>
      <c r="R620" t="str">
        <f t="shared" si="104"/>
        <v>153000448</v>
      </c>
      <c r="S620" s="1">
        <v>48039</v>
      </c>
    </row>
    <row r="621" spans="1:19" x14ac:dyDescent="0.35">
      <c r="A621" t="s">
        <v>2182</v>
      </c>
      <c r="B621" t="s">
        <v>31</v>
      </c>
      <c r="C621" t="s">
        <v>2257</v>
      </c>
      <c r="D621" t="str">
        <f t="shared" si="101"/>
        <v>2501718104</v>
      </c>
      <c r="E621" t="s">
        <v>1536</v>
      </c>
      <c r="F621" t="str">
        <f t="shared" si="102"/>
        <v>400428</v>
      </c>
      <c r="G621" t="s">
        <v>833</v>
      </c>
      <c r="H621" t="s">
        <v>2260</v>
      </c>
      <c r="I621" t="s">
        <v>41</v>
      </c>
      <c r="J621">
        <v>4</v>
      </c>
      <c r="K621">
        <v>60</v>
      </c>
      <c r="L621" t="str">
        <f t="shared" si="103"/>
        <v>520996</v>
      </c>
      <c r="N621" t="s">
        <v>1798</v>
      </c>
      <c r="O621" s="2">
        <v>46249.585381944446</v>
      </c>
      <c r="P621" s="2">
        <v>46249.585381944446</v>
      </c>
      <c r="Q621" s="2">
        <v>46249.585381944446</v>
      </c>
      <c r="R621" t="str">
        <f t="shared" si="104"/>
        <v>153000448</v>
      </c>
      <c r="S621" s="1">
        <v>48039</v>
      </c>
    </row>
    <row r="622" spans="1:19" x14ac:dyDescent="0.35">
      <c r="A622" t="s">
        <v>2182</v>
      </c>
      <c r="B622" t="s">
        <v>31</v>
      </c>
      <c r="C622" t="s">
        <v>2257</v>
      </c>
      <c r="D622" t="str">
        <f t="shared" si="101"/>
        <v>2501718104</v>
      </c>
      <c r="E622" t="s">
        <v>1536</v>
      </c>
      <c r="F622" t="str">
        <f t="shared" si="102"/>
        <v>400428</v>
      </c>
      <c r="G622" t="s">
        <v>833</v>
      </c>
      <c r="H622" t="s">
        <v>2260</v>
      </c>
      <c r="I622" t="s">
        <v>41</v>
      </c>
      <c r="J622">
        <v>4</v>
      </c>
      <c r="K622">
        <v>60</v>
      </c>
      <c r="L622" t="str">
        <f t="shared" si="103"/>
        <v>520996</v>
      </c>
      <c r="N622" t="s">
        <v>1798</v>
      </c>
      <c r="O622" s="2">
        <v>46249.585335648146</v>
      </c>
      <c r="P622" s="2">
        <v>46249.585335648146</v>
      </c>
      <c r="Q622" s="2">
        <v>46249.585335648146</v>
      </c>
      <c r="R622" t="str">
        <f t="shared" si="104"/>
        <v>153000448</v>
      </c>
      <c r="S622" s="1">
        <v>48039</v>
      </c>
    </row>
    <row r="623" spans="1:19" x14ac:dyDescent="0.35">
      <c r="A623" t="s">
        <v>2182</v>
      </c>
      <c r="B623" t="s">
        <v>31</v>
      </c>
      <c r="C623" t="s">
        <v>2257</v>
      </c>
      <c r="D623" t="str">
        <f t="shared" si="101"/>
        <v>2501718104</v>
      </c>
      <c r="E623" t="s">
        <v>1536</v>
      </c>
      <c r="F623" t="str">
        <f t="shared" si="102"/>
        <v>400428</v>
      </c>
      <c r="G623" t="s">
        <v>833</v>
      </c>
      <c r="H623" t="s">
        <v>2260</v>
      </c>
      <c r="I623" t="s">
        <v>41</v>
      </c>
      <c r="J623">
        <v>4</v>
      </c>
      <c r="K623">
        <v>60</v>
      </c>
      <c r="L623" t="str">
        <f t="shared" si="103"/>
        <v>520996</v>
      </c>
      <c r="N623" t="s">
        <v>1798</v>
      </c>
      <c r="O623" s="2">
        <v>46249.585277777776</v>
      </c>
      <c r="P623" s="2">
        <v>46249.585277777776</v>
      </c>
      <c r="Q623" s="2">
        <v>46249.585277777776</v>
      </c>
      <c r="R623" t="str">
        <f t="shared" si="104"/>
        <v>153000448</v>
      </c>
      <c r="S623" s="1">
        <v>48039</v>
      </c>
    </row>
    <row r="624" spans="1:19" x14ac:dyDescent="0.35">
      <c r="A624" t="s">
        <v>2182</v>
      </c>
      <c r="B624" t="s">
        <v>31</v>
      </c>
      <c r="C624" t="s">
        <v>2257</v>
      </c>
      <c r="D624" t="str">
        <f t="shared" si="101"/>
        <v>2501718104</v>
      </c>
      <c r="E624" t="s">
        <v>1536</v>
      </c>
      <c r="F624" t="str">
        <f t="shared" si="102"/>
        <v>400428</v>
      </c>
      <c r="G624" t="s">
        <v>833</v>
      </c>
      <c r="H624" t="s">
        <v>2260</v>
      </c>
      <c r="I624" t="s">
        <v>41</v>
      </c>
      <c r="J624">
        <v>4</v>
      </c>
      <c r="K624">
        <v>60</v>
      </c>
      <c r="L624" t="str">
        <f t="shared" si="103"/>
        <v>520996</v>
      </c>
      <c r="N624" t="s">
        <v>1798</v>
      </c>
      <c r="O624" s="2">
        <v>46249.58525462963</v>
      </c>
      <c r="P624" s="2">
        <v>46249.58525462963</v>
      </c>
      <c r="Q624" s="2">
        <v>46249.58525462963</v>
      </c>
      <c r="R624" t="str">
        <f t="shared" si="104"/>
        <v>153000448</v>
      </c>
      <c r="S624" s="1">
        <v>48039</v>
      </c>
    </row>
    <row r="625" spans="1:19" x14ac:dyDescent="0.35">
      <c r="A625" t="s">
        <v>2182</v>
      </c>
      <c r="B625" t="s">
        <v>31</v>
      </c>
      <c r="C625" t="s">
        <v>2257</v>
      </c>
      <c r="D625" t="str">
        <f t="shared" si="101"/>
        <v>2501718104</v>
      </c>
      <c r="E625" t="s">
        <v>1536</v>
      </c>
      <c r="F625" t="str">
        <f t="shared" si="102"/>
        <v>400428</v>
      </c>
      <c r="G625" t="s">
        <v>833</v>
      </c>
      <c r="H625" t="s">
        <v>2260</v>
      </c>
      <c r="I625" t="s">
        <v>41</v>
      </c>
      <c r="J625">
        <v>4</v>
      </c>
      <c r="K625">
        <v>60</v>
      </c>
      <c r="L625" t="str">
        <f t="shared" si="103"/>
        <v>520996</v>
      </c>
      <c r="N625" t="s">
        <v>1798</v>
      </c>
      <c r="O625" s="2">
        <v>46249.585231481484</v>
      </c>
      <c r="P625" s="2">
        <v>46249.585231481484</v>
      </c>
      <c r="Q625" s="2">
        <v>46249.585231481484</v>
      </c>
      <c r="R625" t="str">
        <f t="shared" si="104"/>
        <v>153000448</v>
      </c>
      <c r="S625" s="1">
        <v>48039</v>
      </c>
    </row>
    <row r="626" spans="1:19" x14ac:dyDescent="0.35">
      <c r="A626" t="s">
        <v>2182</v>
      </c>
      <c r="B626" t="s">
        <v>31</v>
      </c>
      <c r="C626" t="s">
        <v>2257</v>
      </c>
      <c r="D626" t="str">
        <f t="shared" si="101"/>
        <v>2501718104</v>
      </c>
      <c r="E626" t="s">
        <v>1536</v>
      </c>
      <c r="F626" t="str">
        <f t="shared" si="102"/>
        <v>400428</v>
      </c>
      <c r="G626" t="s">
        <v>833</v>
      </c>
      <c r="H626" t="s">
        <v>2260</v>
      </c>
      <c r="I626" t="s">
        <v>41</v>
      </c>
      <c r="J626">
        <v>4</v>
      </c>
      <c r="K626">
        <v>60</v>
      </c>
      <c r="L626" t="str">
        <f t="shared" si="103"/>
        <v>520996</v>
      </c>
      <c r="N626" t="s">
        <v>1798</v>
      </c>
      <c r="O626" s="2">
        <v>46249.585196759261</v>
      </c>
      <c r="P626" s="2">
        <v>46249.585196759261</v>
      </c>
      <c r="Q626" s="2">
        <v>46249.585196759261</v>
      </c>
      <c r="R626" t="str">
        <f t="shared" si="104"/>
        <v>153000448</v>
      </c>
      <c r="S626" s="1">
        <v>48039</v>
      </c>
    </row>
    <row r="627" spans="1:19" x14ac:dyDescent="0.35">
      <c r="A627" t="s">
        <v>2182</v>
      </c>
      <c r="B627" t="s">
        <v>31</v>
      </c>
      <c r="C627" t="s">
        <v>2257</v>
      </c>
      <c r="D627" t="str">
        <f t="shared" si="101"/>
        <v>2501718104</v>
      </c>
      <c r="E627" t="s">
        <v>1536</v>
      </c>
      <c r="F627" t="str">
        <f t="shared" si="102"/>
        <v>400428</v>
      </c>
      <c r="G627" t="s">
        <v>833</v>
      </c>
      <c r="H627" t="s">
        <v>2261</v>
      </c>
      <c r="I627" t="s">
        <v>41</v>
      </c>
      <c r="J627">
        <v>4</v>
      </c>
      <c r="K627">
        <v>60</v>
      </c>
      <c r="L627" t="str">
        <f t="shared" si="103"/>
        <v>520996</v>
      </c>
      <c r="N627" t="s">
        <v>1798</v>
      </c>
      <c r="O627" s="2">
        <v>46249.585173611114</v>
      </c>
      <c r="P627" s="2">
        <v>46249.585173611114</v>
      </c>
      <c r="Q627" s="2">
        <v>46249.585173611114</v>
      </c>
      <c r="R627" t="str">
        <f t="shared" si="104"/>
        <v>153000448</v>
      </c>
      <c r="S627" s="1">
        <v>48039</v>
      </c>
    </row>
    <row r="628" spans="1:19" x14ac:dyDescent="0.35">
      <c r="A628" t="s">
        <v>2182</v>
      </c>
      <c r="B628" t="s">
        <v>31</v>
      </c>
      <c r="C628" t="s">
        <v>2257</v>
      </c>
      <c r="D628" t="str">
        <f t="shared" si="101"/>
        <v>2501718104</v>
      </c>
      <c r="E628" t="s">
        <v>1536</v>
      </c>
      <c r="F628" t="str">
        <f t="shared" si="102"/>
        <v>400428</v>
      </c>
      <c r="G628" t="s">
        <v>833</v>
      </c>
      <c r="H628" t="s">
        <v>2262</v>
      </c>
      <c r="I628" t="s">
        <v>41</v>
      </c>
      <c r="J628">
        <v>4</v>
      </c>
      <c r="K628">
        <v>60</v>
      </c>
      <c r="L628" t="str">
        <f t="shared" si="103"/>
        <v>520996</v>
      </c>
      <c r="N628" t="s">
        <v>1798</v>
      </c>
      <c r="O628" s="2">
        <v>46249.585138888891</v>
      </c>
      <c r="P628" s="2">
        <v>46249.585138888891</v>
      </c>
      <c r="Q628" s="2">
        <v>46249.585138888891</v>
      </c>
      <c r="R628" t="str">
        <f t="shared" si="104"/>
        <v>153000448</v>
      </c>
      <c r="S628" s="1">
        <v>48039</v>
      </c>
    </row>
    <row r="629" spans="1:19" x14ac:dyDescent="0.35">
      <c r="A629" t="s">
        <v>2182</v>
      </c>
      <c r="B629" t="s">
        <v>31</v>
      </c>
      <c r="C629" t="s">
        <v>2257</v>
      </c>
      <c r="D629" t="str">
        <f t="shared" si="101"/>
        <v>2501718104</v>
      </c>
      <c r="E629" t="s">
        <v>1536</v>
      </c>
      <c r="F629" t="str">
        <f t="shared" si="102"/>
        <v>400428</v>
      </c>
      <c r="G629" t="s">
        <v>833</v>
      </c>
      <c r="H629" t="s">
        <v>2263</v>
      </c>
      <c r="I629" t="s">
        <v>41</v>
      </c>
      <c r="J629">
        <v>3</v>
      </c>
      <c r="K629">
        <v>3</v>
      </c>
      <c r="L629" t="str">
        <f t="shared" si="103"/>
        <v>520996</v>
      </c>
      <c r="N629" t="s">
        <v>1798</v>
      </c>
      <c r="O629" s="2">
        <v>46249.585104166668</v>
      </c>
      <c r="P629" s="2">
        <v>46249.585104166668</v>
      </c>
      <c r="Q629" s="2">
        <v>46249.585104166668</v>
      </c>
      <c r="R629" t="str">
        <f>"153000241"</f>
        <v>153000241</v>
      </c>
      <c r="S629" s="1">
        <v>47950</v>
      </c>
    </row>
    <row r="630" spans="1:19" x14ac:dyDescent="0.35">
      <c r="A630" t="s">
        <v>2182</v>
      </c>
      <c r="B630" t="s">
        <v>31</v>
      </c>
      <c r="C630" t="s">
        <v>2264</v>
      </c>
      <c r="D630" t="str">
        <f t="shared" ref="D630:D637" si="105">"2501718110"</f>
        <v>2501718110</v>
      </c>
      <c r="E630" t="s">
        <v>1536</v>
      </c>
      <c r="F630" t="str">
        <f t="shared" ref="F630:F637" si="106">"400399"</f>
        <v>400399</v>
      </c>
      <c r="G630" t="s">
        <v>1576</v>
      </c>
      <c r="H630" t="s">
        <v>2265</v>
      </c>
      <c r="I630" t="s">
        <v>37</v>
      </c>
      <c r="J630">
        <v>40</v>
      </c>
      <c r="K630">
        <v>248</v>
      </c>
      <c r="L630" t="str">
        <f t="shared" ref="L630:L637" si="107">"520721"</f>
        <v>520721</v>
      </c>
      <c r="N630" t="s">
        <v>1540</v>
      </c>
      <c r="O630" s="2">
        <v>46249.586192129631</v>
      </c>
      <c r="P630" s="2">
        <v>46249.586192129631</v>
      </c>
      <c r="Q630" s="2">
        <v>46249.586192129631</v>
      </c>
      <c r="R630" t="str">
        <f>"100010886"</f>
        <v>100010886</v>
      </c>
      <c r="S630" s="1">
        <v>47813</v>
      </c>
    </row>
    <row r="631" spans="1:19" x14ac:dyDescent="0.35">
      <c r="A631" t="s">
        <v>2182</v>
      </c>
      <c r="B631" t="s">
        <v>31</v>
      </c>
      <c r="C631" t="s">
        <v>2264</v>
      </c>
      <c r="D631" t="str">
        <f t="shared" si="105"/>
        <v>2501718110</v>
      </c>
      <c r="E631" t="s">
        <v>1536</v>
      </c>
      <c r="F631" t="str">
        <f t="shared" si="106"/>
        <v>400399</v>
      </c>
      <c r="G631" t="s">
        <v>1576</v>
      </c>
      <c r="H631" t="s">
        <v>2266</v>
      </c>
      <c r="I631" t="s">
        <v>37</v>
      </c>
      <c r="J631">
        <v>52</v>
      </c>
      <c r="K631">
        <v>248</v>
      </c>
      <c r="L631" t="str">
        <f t="shared" si="107"/>
        <v>520721</v>
      </c>
      <c r="N631" t="s">
        <v>1540</v>
      </c>
      <c r="O631" s="2">
        <v>46249.586157407408</v>
      </c>
      <c r="P631" s="2">
        <v>46249.586157407408</v>
      </c>
      <c r="Q631" s="2">
        <v>46249.586157407408</v>
      </c>
      <c r="R631" t="str">
        <f>"100010886"</f>
        <v>100010886</v>
      </c>
      <c r="S631" s="1">
        <v>47813</v>
      </c>
    </row>
    <row r="632" spans="1:19" x14ac:dyDescent="0.35">
      <c r="A632" t="s">
        <v>2182</v>
      </c>
      <c r="B632" t="s">
        <v>31</v>
      </c>
      <c r="C632" t="s">
        <v>2264</v>
      </c>
      <c r="D632" t="str">
        <f t="shared" si="105"/>
        <v>2501718110</v>
      </c>
      <c r="E632" t="s">
        <v>1536</v>
      </c>
      <c r="F632" t="str">
        <f t="shared" si="106"/>
        <v>400399</v>
      </c>
      <c r="G632" t="s">
        <v>1576</v>
      </c>
      <c r="H632" t="s">
        <v>2267</v>
      </c>
      <c r="I632" t="s">
        <v>37</v>
      </c>
      <c r="J632">
        <v>52</v>
      </c>
      <c r="K632">
        <v>248</v>
      </c>
      <c r="L632" t="str">
        <f t="shared" si="107"/>
        <v>520721</v>
      </c>
      <c r="N632" t="s">
        <v>1540</v>
      </c>
      <c r="O632" s="2">
        <v>46249.586087962962</v>
      </c>
      <c r="P632" s="2">
        <v>46249.586087962962</v>
      </c>
      <c r="Q632" s="2">
        <v>46249.586087962962</v>
      </c>
      <c r="R632" t="str">
        <f>"100010886"</f>
        <v>100010886</v>
      </c>
      <c r="S632" s="1">
        <v>47813</v>
      </c>
    </row>
    <row r="633" spans="1:19" x14ac:dyDescent="0.35">
      <c r="A633" t="s">
        <v>2182</v>
      </c>
      <c r="B633" t="s">
        <v>31</v>
      </c>
      <c r="C633" t="s">
        <v>2264</v>
      </c>
      <c r="D633" t="str">
        <f t="shared" si="105"/>
        <v>2501718110</v>
      </c>
      <c r="E633" t="s">
        <v>1536</v>
      </c>
      <c r="F633" t="str">
        <f t="shared" si="106"/>
        <v>400399</v>
      </c>
      <c r="G633" t="s">
        <v>1576</v>
      </c>
      <c r="H633" t="s">
        <v>2268</v>
      </c>
      <c r="I633" t="s">
        <v>37</v>
      </c>
      <c r="J633">
        <v>52</v>
      </c>
      <c r="K633">
        <v>248</v>
      </c>
      <c r="L633" t="str">
        <f t="shared" si="107"/>
        <v>520721</v>
      </c>
      <c r="N633" t="s">
        <v>1540</v>
      </c>
      <c r="O633" s="2">
        <v>46249.586018518516</v>
      </c>
      <c r="P633" s="2">
        <v>46249.586018518516</v>
      </c>
      <c r="Q633" s="2">
        <v>46249.586018518516</v>
      </c>
      <c r="R633" t="str">
        <f>"100010886"</f>
        <v>100010886</v>
      </c>
      <c r="S633" s="1">
        <v>47813</v>
      </c>
    </row>
    <row r="634" spans="1:19" x14ac:dyDescent="0.35">
      <c r="A634" t="s">
        <v>2182</v>
      </c>
      <c r="B634" t="s">
        <v>31</v>
      </c>
      <c r="C634" t="s">
        <v>2264</v>
      </c>
      <c r="D634" t="str">
        <f t="shared" si="105"/>
        <v>2501718110</v>
      </c>
      <c r="E634" t="s">
        <v>1536</v>
      </c>
      <c r="F634" t="str">
        <f t="shared" si="106"/>
        <v>400399</v>
      </c>
      <c r="G634" t="s">
        <v>1576</v>
      </c>
      <c r="H634" t="s">
        <v>2269</v>
      </c>
      <c r="I634" t="s">
        <v>37</v>
      </c>
      <c r="J634">
        <v>52</v>
      </c>
      <c r="K634">
        <v>248</v>
      </c>
      <c r="L634" t="str">
        <f t="shared" si="107"/>
        <v>520721</v>
      </c>
      <c r="N634" t="s">
        <v>1540</v>
      </c>
      <c r="O634" s="2">
        <v>46249.585995370369</v>
      </c>
      <c r="P634" s="2">
        <v>46249.585995370369</v>
      </c>
      <c r="Q634" s="2">
        <v>46249.585995370369</v>
      </c>
      <c r="R634" t="str">
        <f>"100010886"</f>
        <v>100010886</v>
      </c>
      <c r="S634" s="1">
        <v>47813</v>
      </c>
    </row>
    <row r="635" spans="1:19" x14ac:dyDescent="0.35">
      <c r="A635" t="s">
        <v>2182</v>
      </c>
      <c r="B635" t="s">
        <v>31</v>
      </c>
      <c r="C635" t="s">
        <v>2264</v>
      </c>
      <c r="D635" t="str">
        <f t="shared" si="105"/>
        <v>2501718110</v>
      </c>
      <c r="E635" t="s">
        <v>1536</v>
      </c>
      <c r="F635" t="str">
        <f t="shared" si="106"/>
        <v>400399</v>
      </c>
      <c r="G635" t="s">
        <v>1576</v>
      </c>
      <c r="H635" t="s">
        <v>2270</v>
      </c>
      <c r="I635" t="s">
        <v>37</v>
      </c>
      <c r="J635">
        <v>52</v>
      </c>
      <c r="K635">
        <v>156</v>
      </c>
      <c r="L635" t="str">
        <f t="shared" si="107"/>
        <v>520721</v>
      </c>
      <c r="N635" t="s">
        <v>1540</v>
      </c>
      <c r="O635" s="2">
        <v>46249.585972222223</v>
      </c>
      <c r="P635" s="2">
        <v>46249.585972222223</v>
      </c>
      <c r="Q635" s="2">
        <v>46249.585972222223</v>
      </c>
      <c r="R635" t="str">
        <f>"100009010"</f>
        <v>100009010</v>
      </c>
      <c r="S635" s="1">
        <v>47637</v>
      </c>
    </row>
    <row r="636" spans="1:19" x14ac:dyDescent="0.35">
      <c r="A636" t="s">
        <v>2182</v>
      </c>
      <c r="B636" t="s">
        <v>31</v>
      </c>
      <c r="C636" t="s">
        <v>2264</v>
      </c>
      <c r="D636" t="str">
        <f t="shared" si="105"/>
        <v>2501718110</v>
      </c>
      <c r="E636" t="s">
        <v>1536</v>
      </c>
      <c r="F636" t="str">
        <f t="shared" si="106"/>
        <v>400399</v>
      </c>
      <c r="G636" t="s">
        <v>1576</v>
      </c>
      <c r="H636" t="s">
        <v>2271</v>
      </c>
      <c r="I636" t="s">
        <v>37</v>
      </c>
      <c r="J636">
        <v>52</v>
      </c>
      <c r="K636">
        <v>156</v>
      </c>
      <c r="L636" t="str">
        <f t="shared" si="107"/>
        <v>520721</v>
      </c>
      <c r="N636" t="s">
        <v>1540</v>
      </c>
      <c r="O636" s="2">
        <v>46249.585949074077</v>
      </c>
      <c r="P636" s="2">
        <v>46249.585949074077</v>
      </c>
      <c r="Q636" s="2">
        <v>46249.585949074077</v>
      </c>
      <c r="R636" t="str">
        <f>"100009010"</f>
        <v>100009010</v>
      </c>
      <c r="S636" s="1">
        <v>47637</v>
      </c>
    </row>
    <row r="637" spans="1:19" x14ac:dyDescent="0.35">
      <c r="A637" t="s">
        <v>2182</v>
      </c>
      <c r="B637" t="s">
        <v>31</v>
      </c>
      <c r="C637" t="s">
        <v>2264</v>
      </c>
      <c r="D637" t="str">
        <f t="shared" si="105"/>
        <v>2501718110</v>
      </c>
      <c r="E637" t="s">
        <v>1536</v>
      </c>
      <c r="F637" t="str">
        <f t="shared" si="106"/>
        <v>400399</v>
      </c>
      <c r="G637" t="s">
        <v>1576</v>
      </c>
      <c r="H637" t="s">
        <v>2272</v>
      </c>
      <c r="I637" t="s">
        <v>37</v>
      </c>
      <c r="J637">
        <v>52</v>
      </c>
      <c r="K637">
        <v>156</v>
      </c>
      <c r="L637" t="str">
        <f t="shared" si="107"/>
        <v>520721</v>
      </c>
      <c r="N637" t="s">
        <v>1540</v>
      </c>
      <c r="O637" s="2">
        <v>46249.585914351854</v>
      </c>
      <c r="P637" s="2">
        <v>46249.585914351854</v>
      </c>
      <c r="Q637" s="2">
        <v>46249.585914351854</v>
      </c>
      <c r="R637" t="str">
        <f>"100009010"</f>
        <v>100009010</v>
      </c>
      <c r="S637" s="1">
        <v>47637</v>
      </c>
    </row>
    <row r="638" spans="1:19" x14ac:dyDescent="0.35">
      <c r="A638" t="s">
        <v>2182</v>
      </c>
      <c r="B638" t="s">
        <v>31</v>
      </c>
      <c r="C638" t="s">
        <v>2273</v>
      </c>
      <c r="D638" t="str">
        <f>"2501718109"</f>
        <v>2501718109</v>
      </c>
      <c r="E638" t="s">
        <v>1536</v>
      </c>
      <c r="F638" t="str">
        <f>"401047"</f>
        <v>401047</v>
      </c>
      <c r="G638" t="s">
        <v>1730</v>
      </c>
      <c r="H638" t="s">
        <v>2245</v>
      </c>
      <c r="I638" t="s">
        <v>41</v>
      </c>
      <c r="J638">
        <v>1</v>
      </c>
      <c r="K638">
        <v>4</v>
      </c>
      <c r="L638" t="str">
        <f>"521234"</f>
        <v>521234</v>
      </c>
      <c r="N638" t="s">
        <v>1583</v>
      </c>
      <c r="O638" s="2">
        <v>46249.586527777778</v>
      </c>
      <c r="P638" s="2">
        <v>46249.586527777778</v>
      </c>
      <c r="Q638" s="2">
        <v>46249.586527777778</v>
      </c>
      <c r="R638" t="str">
        <f>"153000283"</f>
        <v>153000283</v>
      </c>
      <c r="S638" s="1">
        <v>47969</v>
      </c>
    </row>
    <row r="639" spans="1:19" x14ac:dyDescent="0.35">
      <c r="A639" t="s">
        <v>2182</v>
      </c>
      <c r="B639" t="s">
        <v>31</v>
      </c>
      <c r="C639" t="s">
        <v>2273</v>
      </c>
      <c r="D639" t="str">
        <f>"2501718109"</f>
        <v>2501718109</v>
      </c>
      <c r="E639" t="s">
        <v>1536</v>
      </c>
      <c r="F639" t="str">
        <f>"401047"</f>
        <v>401047</v>
      </c>
      <c r="G639" t="s">
        <v>1730</v>
      </c>
      <c r="H639" t="s">
        <v>2245</v>
      </c>
      <c r="I639" t="s">
        <v>41</v>
      </c>
      <c r="J639">
        <v>3</v>
      </c>
      <c r="K639">
        <v>4</v>
      </c>
      <c r="L639" t="str">
        <f>"521234"</f>
        <v>521234</v>
      </c>
      <c r="N639" t="s">
        <v>1583</v>
      </c>
      <c r="O639" s="2">
        <v>46249.586493055554</v>
      </c>
      <c r="P639" s="2">
        <v>46249.586493055554</v>
      </c>
      <c r="Q639" s="2">
        <v>46249.586493055554</v>
      </c>
      <c r="R639" t="str">
        <f>"153000283"</f>
        <v>153000283</v>
      </c>
      <c r="S639" s="1">
        <v>47969</v>
      </c>
    </row>
    <row r="640" spans="1:19" x14ac:dyDescent="0.35">
      <c r="A640" t="s">
        <v>2182</v>
      </c>
      <c r="B640" t="s">
        <v>31</v>
      </c>
      <c r="C640" t="s">
        <v>2273</v>
      </c>
      <c r="D640" t="str">
        <f>"2501718109"</f>
        <v>2501718109</v>
      </c>
      <c r="E640" t="s">
        <v>1536</v>
      </c>
      <c r="F640" t="str">
        <f>"400903"</f>
        <v>400903</v>
      </c>
      <c r="G640" t="s">
        <v>1712</v>
      </c>
      <c r="H640" t="s">
        <v>2274</v>
      </c>
      <c r="I640" t="s">
        <v>41</v>
      </c>
      <c r="J640">
        <v>2</v>
      </c>
      <c r="K640">
        <v>2</v>
      </c>
      <c r="L640" t="str">
        <f>"521234"</f>
        <v>521234</v>
      </c>
      <c r="N640" t="s">
        <v>1583</v>
      </c>
      <c r="O640" s="2">
        <v>46249.586458333331</v>
      </c>
      <c r="P640" s="2">
        <v>46249.586458333331</v>
      </c>
      <c r="Q640" s="2">
        <v>46249.586458333331</v>
      </c>
      <c r="R640" t="str">
        <f>"600000971"</f>
        <v>600000971</v>
      </c>
      <c r="S640" s="1">
        <v>47897</v>
      </c>
    </row>
    <row r="641" spans="1:19" x14ac:dyDescent="0.35">
      <c r="A641" t="s">
        <v>2182</v>
      </c>
      <c r="B641" t="s">
        <v>31</v>
      </c>
      <c r="C641" t="s">
        <v>2275</v>
      </c>
      <c r="D641" t="str">
        <f>"2501718099"</f>
        <v>2501718099</v>
      </c>
      <c r="E641" t="s">
        <v>1536</v>
      </c>
      <c r="F641" t="str">
        <f>"400405"</f>
        <v>400405</v>
      </c>
      <c r="G641" t="s">
        <v>519</v>
      </c>
      <c r="H641" t="s">
        <v>2256</v>
      </c>
      <c r="I641" t="s">
        <v>37</v>
      </c>
      <c r="J641">
        <v>39</v>
      </c>
      <c r="K641">
        <v>52</v>
      </c>
      <c r="L641" t="str">
        <f>"521161"</f>
        <v>521161</v>
      </c>
      <c r="N641" t="s">
        <v>1556</v>
      </c>
      <c r="O641" s="2">
        <v>46249.586655092593</v>
      </c>
      <c r="P641" s="2">
        <v>46249.586655092593</v>
      </c>
      <c r="Q641" s="2">
        <v>46249.586655092593</v>
      </c>
      <c r="R641" t="str">
        <f>"153000440"</f>
        <v>153000440</v>
      </c>
      <c r="S641" s="1">
        <v>48036</v>
      </c>
    </row>
    <row r="642" spans="1:19" x14ac:dyDescent="0.35">
      <c r="A642" t="s">
        <v>2182</v>
      </c>
      <c r="B642" t="s">
        <v>31</v>
      </c>
      <c r="C642" t="s">
        <v>2275</v>
      </c>
      <c r="D642" t="str">
        <f>"2501718099"</f>
        <v>2501718099</v>
      </c>
      <c r="E642" t="s">
        <v>1536</v>
      </c>
      <c r="F642" t="str">
        <f>"400405"</f>
        <v>400405</v>
      </c>
      <c r="G642" t="s">
        <v>519</v>
      </c>
      <c r="H642" t="s">
        <v>2276</v>
      </c>
      <c r="I642" t="s">
        <v>37</v>
      </c>
      <c r="J642">
        <v>13</v>
      </c>
      <c r="K642">
        <v>52</v>
      </c>
      <c r="L642" t="str">
        <f>"521161"</f>
        <v>521161</v>
      </c>
      <c r="N642" t="s">
        <v>1556</v>
      </c>
      <c r="O642" s="2">
        <v>46249.58662037037</v>
      </c>
      <c r="P642" s="2">
        <v>46249.586631944447</v>
      </c>
      <c r="Q642" s="2">
        <v>46249.586631944447</v>
      </c>
      <c r="R642" t="str">
        <f>"153000440"</f>
        <v>153000440</v>
      </c>
      <c r="S642" s="1">
        <v>48036</v>
      </c>
    </row>
    <row r="643" spans="1:19" x14ac:dyDescent="0.35">
      <c r="A643" t="s">
        <v>2182</v>
      </c>
      <c r="B643" t="s">
        <v>31</v>
      </c>
      <c r="C643" t="s">
        <v>2277</v>
      </c>
      <c r="D643" t="str">
        <f>"2501718098"</f>
        <v>2501718098</v>
      </c>
      <c r="E643" t="s">
        <v>1536</v>
      </c>
      <c r="F643" t="str">
        <f>"400398"</f>
        <v>400398</v>
      </c>
      <c r="G643" t="s">
        <v>1562</v>
      </c>
      <c r="H643" t="s">
        <v>2278</v>
      </c>
      <c r="I643" t="s">
        <v>41</v>
      </c>
      <c r="J643">
        <v>4</v>
      </c>
      <c r="K643">
        <v>14</v>
      </c>
      <c r="L643" t="str">
        <f>"520801"</f>
        <v>520801</v>
      </c>
      <c r="N643" t="s">
        <v>1568</v>
      </c>
      <c r="O643" s="2">
        <v>46249.587210648147</v>
      </c>
      <c r="P643" s="2">
        <v>46249.587210648147</v>
      </c>
      <c r="Q643" s="2">
        <v>46249.587210648147</v>
      </c>
      <c r="R643" t="str">
        <f>"153000247"</f>
        <v>153000247</v>
      </c>
      <c r="S643" s="1">
        <v>47950</v>
      </c>
    </row>
    <row r="644" spans="1:19" x14ac:dyDescent="0.35">
      <c r="A644" t="s">
        <v>2182</v>
      </c>
      <c r="B644" t="s">
        <v>31</v>
      </c>
      <c r="C644" t="s">
        <v>2277</v>
      </c>
      <c r="D644" t="str">
        <f>"2501718098"</f>
        <v>2501718098</v>
      </c>
      <c r="E644" t="s">
        <v>1536</v>
      </c>
      <c r="F644" t="str">
        <f>"400398"</f>
        <v>400398</v>
      </c>
      <c r="G644" t="s">
        <v>1562</v>
      </c>
      <c r="H644" t="s">
        <v>2278</v>
      </c>
      <c r="I644" t="s">
        <v>41</v>
      </c>
      <c r="J644">
        <v>2</v>
      </c>
      <c r="K644">
        <v>14</v>
      </c>
      <c r="L644" t="str">
        <f>"520801"</f>
        <v>520801</v>
      </c>
      <c r="N644" t="s">
        <v>1568</v>
      </c>
      <c r="O644" s="2">
        <v>46249.587175925924</v>
      </c>
      <c r="P644" s="2">
        <v>46249.587175925924</v>
      </c>
      <c r="Q644" s="2">
        <v>46249.587175925924</v>
      </c>
      <c r="R644" t="str">
        <f>"153000247"</f>
        <v>153000247</v>
      </c>
      <c r="S644" s="1">
        <v>47950</v>
      </c>
    </row>
    <row r="645" spans="1:19" x14ac:dyDescent="0.35">
      <c r="A645" t="s">
        <v>2182</v>
      </c>
      <c r="B645" t="s">
        <v>31</v>
      </c>
      <c r="C645" t="s">
        <v>2277</v>
      </c>
      <c r="D645" t="str">
        <f>"2501718098"</f>
        <v>2501718098</v>
      </c>
      <c r="E645" t="s">
        <v>1536</v>
      </c>
      <c r="F645" t="str">
        <f>"400398"</f>
        <v>400398</v>
      </c>
      <c r="G645" t="s">
        <v>1562</v>
      </c>
      <c r="H645" t="s">
        <v>2278</v>
      </c>
      <c r="I645" t="s">
        <v>41</v>
      </c>
      <c r="J645">
        <v>4</v>
      </c>
      <c r="K645">
        <v>14</v>
      </c>
      <c r="L645" t="str">
        <f>"520801"</f>
        <v>520801</v>
      </c>
      <c r="N645" t="s">
        <v>1568</v>
      </c>
      <c r="O645" s="2">
        <v>46249.587152777778</v>
      </c>
      <c r="P645" s="2">
        <v>46249.587152777778</v>
      </c>
      <c r="Q645" s="2">
        <v>46249.587152777778</v>
      </c>
      <c r="R645" t="str">
        <f>"153000247"</f>
        <v>153000247</v>
      </c>
      <c r="S645" s="1">
        <v>47950</v>
      </c>
    </row>
    <row r="646" spans="1:19" x14ac:dyDescent="0.35">
      <c r="A646" t="s">
        <v>2182</v>
      </c>
      <c r="B646" t="s">
        <v>31</v>
      </c>
      <c r="C646" t="s">
        <v>2277</v>
      </c>
      <c r="D646" t="str">
        <f>"2501718098"</f>
        <v>2501718098</v>
      </c>
      <c r="E646" t="s">
        <v>1536</v>
      </c>
      <c r="F646" t="str">
        <f>"400398"</f>
        <v>400398</v>
      </c>
      <c r="G646" t="s">
        <v>1562</v>
      </c>
      <c r="H646" t="s">
        <v>2278</v>
      </c>
      <c r="I646" t="s">
        <v>41</v>
      </c>
      <c r="J646">
        <v>4</v>
      </c>
      <c r="K646">
        <v>14</v>
      </c>
      <c r="L646" t="str">
        <f>"520801"</f>
        <v>520801</v>
      </c>
      <c r="N646" t="s">
        <v>1568</v>
      </c>
      <c r="O646" s="2">
        <v>46249.587118055555</v>
      </c>
      <c r="P646" s="2">
        <v>46249.587118055555</v>
      </c>
      <c r="Q646" s="2">
        <v>46249.587118055555</v>
      </c>
      <c r="R646" t="str">
        <f>"153000247"</f>
        <v>153000247</v>
      </c>
      <c r="S646" s="1">
        <v>47950</v>
      </c>
    </row>
    <row r="647" spans="1:19" x14ac:dyDescent="0.35">
      <c r="A647" t="s">
        <v>2182</v>
      </c>
      <c r="B647" t="s">
        <v>31</v>
      </c>
      <c r="C647" t="s">
        <v>2279</v>
      </c>
      <c r="D647" t="str">
        <f>"2501718090"</f>
        <v>2501718090</v>
      </c>
      <c r="E647" t="s">
        <v>1536</v>
      </c>
      <c r="F647" t="str">
        <f>"400922"</f>
        <v>400922</v>
      </c>
      <c r="G647" t="s">
        <v>2280</v>
      </c>
      <c r="H647" t="s">
        <v>2281</v>
      </c>
      <c r="I647" t="s">
        <v>37</v>
      </c>
      <c r="J647">
        <v>18</v>
      </c>
      <c r="K647">
        <v>50</v>
      </c>
      <c r="L647" t="str">
        <f>"521022"</f>
        <v>521022</v>
      </c>
      <c r="N647" t="s">
        <v>1722</v>
      </c>
      <c r="O647" s="2">
        <v>46249.584999999999</v>
      </c>
      <c r="P647" s="2">
        <v>46249.584999999999</v>
      </c>
      <c r="Q647" s="2">
        <v>46249.584999999999</v>
      </c>
      <c r="R647" t="str">
        <f>"100011182"</f>
        <v>100011182</v>
      </c>
      <c r="S647" s="1">
        <v>47840</v>
      </c>
    </row>
    <row r="648" spans="1:19" x14ac:dyDescent="0.35">
      <c r="A648" t="s">
        <v>2182</v>
      </c>
      <c r="B648" t="s">
        <v>31</v>
      </c>
      <c r="C648" t="s">
        <v>2279</v>
      </c>
      <c r="D648" t="str">
        <f>"2501718090"</f>
        <v>2501718090</v>
      </c>
      <c r="E648" t="s">
        <v>1536</v>
      </c>
      <c r="F648" t="str">
        <f>"400922"</f>
        <v>400922</v>
      </c>
      <c r="G648" t="s">
        <v>2280</v>
      </c>
      <c r="H648" t="s">
        <v>2282</v>
      </c>
      <c r="I648" t="s">
        <v>37</v>
      </c>
      <c r="J648">
        <v>8</v>
      </c>
      <c r="K648">
        <v>50</v>
      </c>
      <c r="L648" t="str">
        <f>"521022"</f>
        <v>521022</v>
      </c>
      <c r="N648" t="s">
        <v>1722</v>
      </c>
      <c r="O648" s="2">
        <v>46249.584965277776</v>
      </c>
      <c r="P648" s="2">
        <v>46249.584965277776</v>
      </c>
      <c r="Q648" s="2">
        <v>46249.584965277776</v>
      </c>
      <c r="R648" t="str">
        <f>"100011182"</f>
        <v>100011182</v>
      </c>
      <c r="S648" s="1">
        <v>47840</v>
      </c>
    </row>
    <row r="649" spans="1:19" x14ac:dyDescent="0.35">
      <c r="A649" t="s">
        <v>2182</v>
      </c>
      <c r="B649" t="s">
        <v>31</v>
      </c>
      <c r="C649" t="s">
        <v>2279</v>
      </c>
      <c r="D649" t="str">
        <f>"2501718090"</f>
        <v>2501718090</v>
      </c>
      <c r="E649" t="s">
        <v>1536</v>
      </c>
      <c r="F649" t="str">
        <f>"400922"</f>
        <v>400922</v>
      </c>
      <c r="G649" t="s">
        <v>2280</v>
      </c>
      <c r="H649" t="s">
        <v>2283</v>
      </c>
      <c r="I649" t="s">
        <v>37</v>
      </c>
      <c r="J649">
        <v>24</v>
      </c>
      <c r="K649">
        <v>50</v>
      </c>
      <c r="L649" t="str">
        <f>"521022"</f>
        <v>521022</v>
      </c>
      <c r="N649" t="s">
        <v>1722</v>
      </c>
      <c r="O649" s="2">
        <v>46249.584791666668</v>
      </c>
      <c r="P649" s="2">
        <v>46249.584791666668</v>
      </c>
      <c r="Q649" s="2">
        <v>46249.584791666668</v>
      </c>
      <c r="R649" t="str">
        <f>"100011182"</f>
        <v>100011182</v>
      </c>
      <c r="S649" s="1">
        <v>47840</v>
      </c>
    </row>
    <row r="650" spans="1:19" x14ac:dyDescent="0.35">
      <c r="A650" t="s">
        <v>2182</v>
      </c>
      <c r="B650" t="s">
        <v>31</v>
      </c>
      <c r="C650" t="s">
        <v>2284</v>
      </c>
      <c r="D650" t="str">
        <f>"2501718087"</f>
        <v>2501718087</v>
      </c>
      <c r="E650" t="s">
        <v>1536</v>
      </c>
      <c r="F650" t="str">
        <f t="shared" ref="F650:F657" si="108">"400729"</f>
        <v>400729</v>
      </c>
      <c r="G650" t="s">
        <v>2285</v>
      </c>
      <c r="H650" t="s">
        <v>2286</v>
      </c>
      <c r="I650" t="s">
        <v>37</v>
      </c>
      <c r="J650">
        <v>20</v>
      </c>
      <c r="K650">
        <v>20</v>
      </c>
      <c r="L650" t="str">
        <f>"521161"</f>
        <v>521161</v>
      </c>
      <c r="N650" t="s">
        <v>1556</v>
      </c>
      <c r="O650" s="2">
        <v>46247.382870370369</v>
      </c>
      <c r="P650" s="2">
        <v>46247.382870370369</v>
      </c>
      <c r="Q650" s="2">
        <v>46247.382870370369</v>
      </c>
      <c r="R650" t="str">
        <f t="shared" ref="R650:R657" si="109">"0002203355"</f>
        <v>0002203355</v>
      </c>
      <c r="S650" s="1">
        <v>47329</v>
      </c>
    </row>
    <row r="651" spans="1:19" x14ac:dyDescent="0.35">
      <c r="A651" t="s">
        <v>2182</v>
      </c>
      <c r="B651" t="s">
        <v>31</v>
      </c>
      <c r="C651" t="s">
        <v>2287</v>
      </c>
      <c r="D651" t="str">
        <f t="shared" ref="D651:D657" si="110">"2501718080"</f>
        <v>2501718080</v>
      </c>
      <c r="E651" t="s">
        <v>1536</v>
      </c>
      <c r="F651" t="str">
        <f t="shared" si="108"/>
        <v>400729</v>
      </c>
      <c r="G651" t="s">
        <v>2285</v>
      </c>
      <c r="H651" t="s">
        <v>2286</v>
      </c>
      <c r="I651" t="s">
        <v>37</v>
      </c>
      <c r="J651">
        <v>18</v>
      </c>
      <c r="K651">
        <v>300</v>
      </c>
      <c r="L651" t="str">
        <f t="shared" ref="L651:L657" si="111">"521115"</f>
        <v>521115</v>
      </c>
      <c r="N651" t="s">
        <v>1852</v>
      </c>
      <c r="O651" s="2">
        <v>46246.488576388889</v>
      </c>
      <c r="P651" s="2">
        <v>46246.488576388889</v>
      </c>
      <c r="Q651" s="2">
        <v>46246.488576388889</v>
      </c>
      <c r="R651" t="str">
        <f t="shared" si="109"/>
        <v>0002203355</v>
      </c>
      <c r="S651" s="1">
        <v>47329</v>
      </c>
    </row>
    <row r="652" spans="1:19" x14ac:dyDescent="0.35">
      <c r="A652" t="s">
        <v>2182</v>
      </c>
      <c r="B652" t="s">
        <v>31</v>
      </c>
      <c r="C652" t="s">
        <v>2287</v>
      </c>
      <c r="D652" t="str">
        <f t="shared" si="110"/>
        <v>2501718080</v>
      </c>
      <c r="E652" t="s">
        <v>1536</v>
      </c>
      <c r="F652" t="str">
        <f t="shared" si="108"/>
        <v>400729</v>
      </c>
      <c r="G652" t="s">
        <v>2285</v>
      </c>
      <c r="H652" t="s">
        <v>2288</v>
      </c>
      <c r="I652" t="s">
        <v>37</v>
      </c>
      <c r="J652">
        <v>52</v>
      </c>
      <c r="K652">
        <v>300</v>
      </c>
      <c r="L652" t="str">
        <f t="shared" si="111"/>
        <v>521115</v>
      </c>
      <c r="N652" t="s">
        <v>1852</v>
      </c>
      <c r="O652" s="2">
        <v>46246.488379629627</v>
      </c>
      <c r="P652" s="2">
        <v>46246.488379629627</v>
      </c>
      <c r="Q652" s="2">
        <v>46246.488379629627</v>
      </c>
      <c r="R652" t="str">
        <f t="shared" si="109"/>
        <v>0002203355</v>
      </c>
      <c r="S652" s="1">
        <v>47329</v>
      </c>
    </row>
    <row r="653" spans="1:19" x14ac:dyDescent="0.35">
      <c r="A653" t="s">
        <v>2182</v>
      </c>
      <c r="B653" t="s">
        <v>31</v>
      </c>
      <c r="C653" t="s">
        <v>2287</v>
      </c>
      <c r="D653" t="str">
        <f t="shared" si="110"/>
        <v>2501718080</v>
      </c>
      <c r="E653" t="s">
        <v>1536</v>
      </c>
      <c r="F653" t="str">
        <f t="shared" si="108"/>
        <v>400729</v>
      </c>
      <c r="G653" t="s">
        <v>2285</v>
      </c>
      <c r="H653" t="s">
        <v>2289</v>
      </c>
      <c r="I653" t="s">
        <v>37</v>
      </c>
      <c r="J653">
        <v>52</v>
      </c>
      <c r="K653">
        <v>300</v>
      </c>
      <c r="L653" t="str">
        <f t="shared" si="111"/>
        <v>521115</v>
      </c>
      <c r="N653" t="s">
        <v>1852</v>
      </c>
      <c r="O653" s="2">
        <v>46246.488113425927</v>
      </c>
      <c r="P653" s="2">
        <v>46246.488113425927</v>
      </c>
      <c r="Q653" s="2">
        <v>46246.488113425927</v>
      </c>
      <c r="R653" t="str">
        <f t="shared" si="109"/>
        <v>0002203355</v>
      </c>
      <c r="S653" s="1">
        <v>47329</v>
      </c>
    </row>
    <row r="654" spans="1:19" x14ac:dyDescent="0.35">
      <c r="A654" t="s">
        <v>2182</v>
      </c>
      <c r="B654" t="s">
        <v>31</v>
      </c>
      <c r="C654" t="s">
        <v>2287</v>
      </c>
      <c r="D654" t="str">
        <f t="shared" si="110"/>
        <v>2501718080</v>
      </c>
      <c r="E654" t="s">
        <v>1536</v>
      </c>
      <c r="F654" t="str">
        <f t="shared" si="108"/>
        <v>400729</v>
      </c>
      <c r="G654" t="s">
        <v>2285</v>
      </c>
      <c r="H654" t="s">
        <v>2290</v>
      </c>
      <c r="I654" t="s">
        <v>37</v>
      </c>
      <c r="J654">
        <v>52</v>
      </c>
      <c r="K654">
        <v>300</v>
      </c>
      <c r="L654" t="str">
        <f t="shared" si="111"/>
        <v>521115</v>
      </c>
      <c r="N654" t="s">
        <v>1852</v>
      </c>
      <c r="O654" s="2">
        <v>46246.487743055557</v>
      </c>
      <c r="P654" s="2">
        <v>46246.487743055557</v>
      </c>
      <c r="Q654" s="2">
        <v>46246.487743055557</v>
      </c>
      <c r="R654" t="str">
        <f t="shared" si="109"/>
        <v>0002203355</v>
      </c>
      <c r="S654" s="1">
        <v>47329</v>
      </c>
    </row>
    <row r="655" spans="1:19" x14ac:dyDescent="0.35">
      <c r="A655" t="s">
        <v>2182</v>
      </c>
      <c r="B655" t="s">
        <v>31</v>
      </c>
      <c r="C655" t="s">
        <v>2287</v>
      </c>
      <c r="D655" t="str">
        <f t="shared" si="110"/>
        <v>2501718080</v>
      </c>
      <c r="E655" t="s">
        <v>1536</v>
      </c>
      <c r="F655" t="str">
        <f t="shared" si="108"/>
        <v>400729</v>
      </c>
      <c r="G655" t="s">
        <v>2285</v>
      </c>
      <c r="H655" t="s">
        <v>2291</v>
      </c>
      <c r="I655" t="s">
        <v>37</v>
      </c>
      <c r="J655">
        <v>52</v>
      </c>
      <c r="K655">
        <v>300</v>
      </c>
      <c r="L655" t="str">
        <f t="shared" si="111"/>
        <v>521115</v>
      </c>
      <c r="N655" t="s">
        <v>1852</v>
      </c>
      <c r="O655" s="2">
        <v>46246.487314814818</v>
      </c>
      <c r="P655" s="2">
        <v>46246.487326388888</v>
      </c>
      <c r="Q655" s="2">
        <v>46246.487326388888</v>
      </c>
      <c r="R655" t="str">
        <f t="shared" si="109"/>
        <v>0002203355</v>
      </c>
      <c r="S655" s="1">
        <v>47329</v>
      </c>
    </row>
    <row r="656" spans="1:19" x14ac:dyDescent="0.35">
      <c r="A656" t="s">
        <v>2182</v>
      </c>
      <c r="B656" t="s">
        <v>31</v>
      </c>
      <c r="C656" t="s">
        <v>2287</v>
      </c>
      <c r="D656" t="str">
        <f t="shared" si="110"/>
        <v>2501718080</v>
      </c>
      <c r="E656" t="s">
        <v>1536</v>
      </c>
      <c r="F656" t="str">
        <f t="shared" si="108"/>
        <v>400729</v>
      </c>
      <c r="G656" t="s">
        <v>2285</v>
      </c>
      <c r="H656" t="s">
        <v>2292</v>
      </c>
      <c r="I656" t="s">
        <v>37</v>
      </c>
      <c r="J656">
        <v>22</v>
      </c>
      <c r="K656">
        <v>300</v>
      </c>
      <c r="L656" t="str">
        <f t="shared" si="111"/>
        <v>521115</v>
      </c>
      <c r="N656" t="s">
        <v>1852</v>
      </c>
      <c r="O656" s="2">
        <v>46246.485879629632</v>
      </c>
      <c r="P656" s="2">
        <v>46246.485879629632</v>
      </c>
      <c r="Q656" s="2">
        <v>46246.485879629632</v>
      </c>
      <c r="R656" t="str">
        <f t="shared" si="109"/>
        <v>0002203355</v>
      </c>
      <c r="S656" s="1">
        <v>47329</v>
      </c>
    </row>
    <row r="657" spans="1:19" x14ac:dyDescent="0.35">
      <c r="A657" t="s">
        <v>2182</v>
      </c>
      <c r="B657" t="s">
        <v>31</v>
      </c>
      <c r="C657" t="s">
        <v>2287</v>
      </c>
      <c r="D657" t="str">
        <f t="shared" si="110"/>
        <v>2501718080</v>
      </c>
      <c r="E657" t="s">
        <v>1536</v>
      </c>
      <c r="F657" t="str">
        <f t="shared" si="108"/>
        <v>400729</v>
      </c>
      <c r="G657" t="s">
        <v>2285</v>
      </c>
      <c r="H657" t="s">
        <v>2293</v>
      </c>
      <c r="I657" t="s">
        <v>37</v>
      </c>
      <c r="J657">
        <v>52</v>
      </c>
      <c r="K657">
        <v>300</v>
      </c>
      <c r="L657" t="str">
        <f t="shared" si="111"/>
        <v>521115</v>
      </c>
      <c r="N657" t="s">
        <v>1852</v>
      </c>
      <c r="O657" s="2">
        <v>46246.484351851854</v>
      </c>
      <c r="P657" s="2">
        <v>46246.484351851854</v>
      </c>
      <c r="Q657" s="2">
        <v>46246.484351851854</v>
      </c>
      <c r="R657" t="str">
        <f t="shared" si="109"/>
        <v>0002203355</v>
      </c>
      <c r="S657" s="1">
        <v>47329</v>
      </c>
    </row>
    <row r="658" spans="1:19" x14ac:dyDescent="0.35">
      <c r="A658" t="s">
        <v>2182</v>
      </c>
      <c r="B658" t="s">
        <v>31</v>
      </c>
      <c r="C658" t="s">
        <v>2294</v>
      </c>
      <c r="D658" t="str">
        <f>"2501718077"</f>
        <v>2501718077</v>
      </c>
      <c r="E658" t="s">
        <v>1536</v>
      </c>
      <c r="F658" t="str">
        <f>"400405"</f>
        <v>400405</v>
      </c>
      <c r="G658" t="s">
        <v>519</v>
      </c>
      <c r="H658" t="s">
        <v>2276</v>
      </c>
      <c r="I658" t="s">
        <v>37</v>
      </c>
      <c r="J658">
        <v>30</v>
      </c>
      <c r="K658">
        <v>30</v>
      </c>
      <c r="L658" t="str">
        <f>"521161"</f>
        <v>521161</v>
      </c>
      <c r="N658" t="s">
        <v>1556</v>
      </c>
      <c r="O658" s="2">
        <v>46246.489803240744</v>
      </c>
      <c r="P658" s="2">
        <v>46246.489803240744</v>
      </c>
      <c r="Q658" s="2">
        <v>46246.489803240744</v>
      </c>
      <c r="R658" t="str">
        <f>"153000440"</f>
        <v>153000440</v>
      </c>
      <c r="S658" s="1">
        <v>48036</v>
      </c>
    </row>
    <row r="659" spans="1:19" x14ac:dyDescent="0.35">
      <c r="A659" t="s">
        <v>2182</v>
      </c>
      <c r="B659" t="s">
        <v>31</v>
      </c>
      <c r="C659" t="s">
        <v>2295</v>
      </c>
      <c r="D659" t="str">
        <f>"2501718075"</f>
        <v>2501718075</v>
      </c>
      <c r="E659" t="s">
        <v>1536</v>
      </c>
      <c r="F659" t="str">
        <f>"400441"</f>
        <v>400441</v>
      </c>
      <c r="G659" t="s">
        <v>65</v>
      </c>
      <c r="H659" t="s">
        <v>2211</v>
      </c>
      <c r="I659" t="s">
        <v>41</v>
      </c>
      <c r="J659">
        <v>2</v>
      </c>
      <c r="K659">
        <v>2</v>
      </c>
      <c r="L659" t="str">
        <f>"521234"</f>
        <v>521234</v>
      </c>
      <c r="N659" t="s">
        <v>1583</v>
      </c>
      <c r="O659" s="2">
        <v>46246.490312499998</v>
      </c>
      <c r="P659" s="2">
        <v>46246.490312499998</v>
      </c>
      <c r="Q659" s="2">
        <v>46246.490312499998</v>
      </c>
      <c r="R659" t="str">
        <f>"153000386"</f>
        <v>153000386</v>
      </c>
      <c r="S659" s="1">
        <v>48012</v>
      </c>
    </row>
    <row r="660" spans="1:19" x14ac:dyDescent="0.35">
      <c r="A660" t="s">
        <v>2182</v>
      </c>
      <c r="B660" t="s">
        <v>31</v>
      </c>
      <c r="C660" t="s">
        <v>2296</v>
      </c>
      <c r="D660" t="str">
        <f>"2501718063"</f>
        <v>2501718063</v>
      </c>
      <c r="E660" t="s">
        <v>1536</v>
      </c>
      <c r="F660" t="str">
        <f>"400401"</f>
        <v>400401</v>
      </c>
      <c r="G660" t="s">
        <v>2297</v>
      </c>
      <c r="H660" t="s">
        <v>2298</v>
      </c>
      <c r="I660" t="s">
        <v>41</v>
      </c>
      <c r="J660">
        <v>1</v>
      </c>
      <c r="K660">
        <v>1</v>
      </c>
      <c r="L660" t="str">
        <f>"521237"</f>
        <v>521237</v>
      </c>
      <c r="N660" t="s">
        <v>1629</v>
      </c>
      <c r="O660" s="2">
        <v>46245.438136574077</v>
      </c>
      <c r="P660" s="2">
        <v>46245.438136574077</v>
      </c>
      <c r="Q660" s="2">
        <v>46245.438136574077</v>
      </c>
      <c r="R660" t="str">
        <f>"153000119"</f>
        <v>153000119</v>
      </c>
      <c r="S660" s="1">
        <v>47892</v>
      </c>
    </row>
    <row r="661" spans="1:19" x14ac:dyDescent="0.35">
      <c r="A661" t="s">
        <v>2182</v>
      </c>
      <c r="B661" t="s">
        <v>31</v>
      </c>
      <c r="C661" t="s">
        <v>2299</v>
      </c>
      <c r="D661" t="str">
        <f>"2501718056"</f>
        <v>2501718056</v>
      </c>
      <c r="E661" t="s">
        <v>1536</v>
      </c>
      <c r="F661" t="str">
        <f>"400441"</f>
        <v>400441</v>
      </c>
      <c r="G661" t="s">
        <v>65</v>
      </c>
      <c r="H661" t="s">
        <v>2211</v>
      </c>
      <c r="I661" t="s">
        <v>41</v>
      </c>
      <c r="J661">
        <v>2</v>
      </c>
      <c r="K661">
        <v>2</v>
      </c>
      <c r="L661" t="str">
        <f>"521234"</f>
        <v>521234</v>
      </c>
      <c r="N661" t="s">
        <v>1583</v>
      </c>
      <c r="O661" s="2">
        <v>46245.437569444446</v>
      </c>
      <c r="P661" s="2">
        <v>46245.437569444446</v>
      </c>
      <c r="Q661" s="2">
        <v>46245.437569444446</v>
      </c>
      <c r="R661" t="str">
        <f>"153000386"</f>
        <v>153000386</v>
      </c>
      <c r="S661" s="1">
        <v>48012</v>
      </c>
    </row>
    <row r="662" spans="1:19" x14ac:dyDescent="0.35">
      <c r="A662" t="s">
        <v>2182</v>
      </c>
      <c r="B662" t="s">
        <v>31</v>
      </c>
      <c r="C662" t="s">
        <v>2299</v>
      </c>
      <c r="D662" t="str">
        <f>"2501718056"</f>
        <v>2501718056</v>
      </c>
      <c r="E662" t="s">
        <v>1536</v>
      </c>
      <c r="F662" t="str">
        <f>"400441"</f>
        <v>400441</v>
      </c>
      <c r="G662" t="s">
        <v>65</v>
      </c>
      <c r="H662" t="s">
        <v>2300</v>
      </c>
      <c r="I662" t="s">
        <v>41</v>
      </c>
      <c r="J662">
        <v>1</v>
      </c>
      <c r="K662">
        <v>1</v>
      </c>
      <c r="L662" t="str">
        <f>"521234"</f>
        <v>521234</v>
      </c>
      <c r="N662" t="s">
        <v>1583</v>
      </c>
      <c r="O662" s="2">
        <v>46245.4374537037</v>
      </c>
      <c r="P662" s="2">
        <v>46245.4374537037</v>
      </c>
      <c r="Q662" s="2">
        <v>46245.4374537037</v>
      </c>
      <c r="R662" t="str">
        <f>"153000271"</f>
        <v>153000271</v>
      </c>
      <c r="S662" s="1">
        <v>47965</v>
      </c>
    </row>
    <row r="663" spans="1:19" x14ac:dyDescent="0.35">
      <c r="A663" t="s">
        <v>2182</v>
      </c>
      <c r="B663" t="s">
        <v>31</v>
      </c>
      <c r="C663" t="s">
        <v>2301</v>
      </c>
      <c r="D663" t="str">
        <f t="shared" ref="D663:D680" si="112">"2501718066"</f>
        <v>2501718066</v>
      </c>
      <c r="E663" t="s">
        <v>1536</v>
      </c>
      <c r="F663" t="str">
        <f t="shared" ref="F663:F675" si="113">"400514"</f>
        <v>400514</v>
      </c>
      <c r="G663" t="s">
        <v>429</v>
      </c>
      <c r="H663" t="s">
        <v>2302</v>
      </c>
      <c r="I663" t="s">
        <v>41</v>
      </c>
      <c r="J663">
        <v>2</v>
      </c>
      <c r="K663">
        <v>50</v>
      </c>
      <c r="L663" t="str">
        <f t="shared" ref="L663:L680" si="114">"521187"</f>
        <v>521187</v>
      </c>
      <c r="N663" t="s">
        <v>1875</v>
      </c>
      <c r="O663" s="2">
        <v>46245.456435185188</v>
      </c>
      <c r="P663" s="2">
        <v>46245.456435185188</v>
      </c>
      <c r="Q663" s="2">
        <v>46245.456435185188</v>
      </c>
      <c r="R663" t="str">
        <f t="shared" ref="R663:R675" si="115">"100010764"</f>
        <v>100010764</v>
      </c>
      <c r="S663" s="1">
        <v>47805</v>
      </c>
    </row>
    <row r="664" spans="1:19" x14ac:dyDescent="0.35">
      <c r="A664" t="s">
        <v>2182</v>
      </c>
      <c r="B664" t="s">
        <v>31</v>
      </c>
      <c r="C664" t="s">
        <v>2301</v>
      </c>
      <c r="D664" t="str">
        <f t="shared" si="112"/>
        <v>2501718066</v>
      </c>
      <c r="E664" t="s">
        <v>1536</v>
      </c>
      <c r="F664" t="str">
        <f t="shared" si="113"/>
        <v>400514</v>
      </c>
      <c r="G664" t="s">
        <v>429</v>
      </c>
      <c r="H664" t="s">
        <v>2259</v>
      </c>
      <c r="I664" t="s">
        <v>41</v>
      </c>
      <c r="J664">
        <v>4</v>
      </c>
      <c r="K664">
        <v>50</v>
      </c>
      <c r="L664" t="str">
        <f t="shared" si="114"/>
        <v>521187</v>
      </c>
      <c r="N664" t="s">
        <v>1875</v>
      </c>
      <c r="O664" s="2">
        <v>46245.456400462965</v>
      </c>
      <c r="P664" s="2">
        <v>46245.456400462965</v>
      </c>
      <c r="Q664" s="2">
        <v>46245.456400462965</v>
      </c>
      <c r="R664" t="str">
        <f t="shared" si="115"/>
        <v>100010764</v>
      </c>
      <c r="S664" s="1">
        <v>47805</v>
      </c>
    </row>
    <row r="665" spans="1:19" x14ac:dyDescent="0.35">
      <c r="A665" t="s">
        <v>2182</v>
      </c>
      <c r="B665" t="s">
        <v>31</v>
      </c>
      <c r="C665" t="s">
        <v>2301</v>
      </c>
      <c r="D665" t="str">
        <f t="shared" si="112"/>
        <v>2501718066</v>
      </c>
      <c r="E665" t="s">
        <v>1536</v>
      </c>
      <c r="F665" t="str">
        <f t="shared" si="113"/>
        <v>400514</v>
      </c>
      <c r="G665" t="s">
        <v>429</v>
      </c>
      <c r="H665" t="s">
        <v>2259</v>
      </c>
      <c r="I665" t="s">
        <v>41</v>
      </c>
      <c r="J665">
        <v>4</v>
      </c>
      <c r="K665">
        <v>50</v>
      </c>
      <c r="L665" t="str">
        <f t="shared" si="114"/>
        <v>521187</v>
      </c>
      <c r="N665" t="s">
        <v>1875</v>
      </c>
      <c r="O665" s="2">
        <v>46245.456354166665</v>
      </c>
      <c r="P665" s="2">
        <v>46245.456354166665</v>
      </c>
      <c r="Q665" s="2">
        <v>46245.456354166665</v>
      </c>
      <c r="R665" t="str">
        <f t="shared" si="115"/>
        <v>100010764</v>
      </c>
      <c r="S665" s="1">
        <v>47805</v>
      </c>
    </row>
    <row r="666" spans="1:19" x14ac:dyDescent="0.35">
      <c r="A666" t="s">
        <v>2182</v>
      </c>
      <c r="B666" t="s">
        <v>31</v>
      </c>
      <c r="C666" t="s">
        <v>2301</v>
      </c>
      <c r="D666" t="str">
        <f t="shared" si="112"/>
        <v>2501718066</v>
      </c>
      <c r="E666" t="s">
        <v>1536</v>
      </c>
      <c r="F666" t="str">
        <f t="shared" si="113"/>
        <v>400514</v>
      </c>
      <c r="G666" t="s">
        <v>429</v>
      </c>
      <c r="H666" t="s">
        <v>2259</v>
      </c>
      <c r="I666" t="s">
        <v>41</v>
      </c>
      <c r="J666">
        <v>4</v>
      </c>
      <c r="K666">
        <v>50</v>
      </c>
      <c r="L666" t="str">
        <f t="shared" si="114"/>
        <v>521187</v>
      </c>
      <c r="N666" t="s">
        <v>1875</v>
      </c>
      <c r="O666" s="2">
        <v>46245.456307870372</v>
      </c>
      <c r="P666" s="2">
        <v>46245.456307870372</v>
      </c>
      <c r="Q666" s="2">
        <v>46245.456307870372</v>
      </c>
      <c r="R666" t="str">
        <f t="shared" si="115"/>
        <v>100010764</v>
      </c>
      <c r="S666" s="1">
        <v>47805</v>
      </c>
    </row>
    <row r="667" spans="1:19" x14ac:dyDescent="0.35">
      <c r="A667" t="s">
        <v>2182</v>
      </c>
      <c r="B667" t="s">
        <v>31</v>
      </c>
      <c r="C667" t="s">
        <v>2301</v>
      </c>
      <c r="D667" t="str">
        <f t="shared" si="112"/>
        <v>2501718066</v>
      </c>
      <c r="E667" t="s">
        <v>1536</v>
      </c>
      <c r="F667" t="str">
        <f t="shared" si="113"/>
        <v>400514</v>
      </c>
      <c r="G667" t="s">
        <v>429</v>
      </c>
      <c r="H667" t="s">
        <v>2259</v>
      </c>
      <c r="I667" t="s">
        <v>41</v>
      </c>
      <c r="J667">
        <v>4</v>
      </c>
      <c r="K667">
        <v>50</v>
      </c>
      <c r="L667" t="str">
        <f t="shared" si="114"/>
        <v>521187</v>
      </c>
      <c r="N667" t="s">
        <v>1875</v>
      </c>
      <c r="O667" s="2">
        <v>46245.455972222226</v>
      </c>
      <c r="P667" s="2">
        <v>46245.455972222226</v>
      </c>
      <c r="Q667" s="2">
        <v>46245.455972222226</v>
      </c>
      <c r="R667" t="str">
        <f t="shared" si="115"/>
        <v>100010764</v>
      </c>
      <c r="S667" s="1">
        <v>47805</v>
      </c>
    </row>
    <row r="668" spans="1:19" x14ac:dyDescent="0.35">
      <c r="A668" t="s">
        <v>2182</v>
      </c>
      <c r="B668" t="s">
        <v>31</v>
      </c>
      <c r="C668" t="s">
        <v>2301</v>
      </c>
      <c r="D668" t="str">
        <f t="shared" si="112"/>
        <v>2501718066</v>
      </c>
      <c r="E668" t="s">
        <v>1536</v>
      </c>
      <c r="F668" t="str">
        <f t="shared" si="113"/>
        <v>400514</v>
      </c>
      <c r="G668" t="s">
        <v>429</v>
      </c>
      <c r="H668" t="s">
        <v>2259</v>
      </c>
      <c r="I668" t="s">
        <v>41</v>
      </c>
      <c r="J668">
        <v>4</v>
      </c>
      <c r="K668">
        <v>50</v>
      </c>
      <c r="L668" t="str">
        <f t="shared" si="114"/>
        <v>521187</v>
      </c>
      <c r="N668" t="s">
        <v>1875</v>
      </c>
      <c r="O668" s="2">
        <v>46245.454629629632</v>
      </c>
      <c r="P668" s="2">
        <v>46245.454629629632</v>
      </c>
      <c r="Q668" s="2">
        <v>46245.454629629632</v>
      </c>
      <c r="R668" t="str">
        <f t="shared" si="115"/>
        <v>100010764</v>
      </c>
      <c r="S668" s="1">
        <v>47805</v>
      </c>
    </row>
    <row r="669" spans="1:19" x14ac:dyDescent="0.35">
      <c r="A669" t="s">
        <v>2182</v>
      </c>
      <c r="B669" t="s">
        <v>31</v>
      </c>
      <c r="C669" t="s">
        <v>2301</v>
      </c>
      <c r="D669" t="str">
        <f t="shared" si="112"/>
        <v>2501718066</v>
      </c>
      <c r="E669" t="s">
        <v>1536</v>
      </c>
      <c r="F669" t="str">
        <f t="shared" si="113"/>
        <v>400514</v>
      </c>
      <c r="G669" t="s">
        <v>429</v>
      </c>
      <c r="H669" t="s">
        <v>2260</v>
      </c>
      <c r="I669" t="s">
        <v>41</v>
      </c>
      <c r="J669">
        <v>4</v>
      </c>
      <c r="K669">
        <v>50</v>
      </c>
      <c r="L669" t="str">
        <f t="shared" si="114"/>
        <v>521187</v>
      </c>
      <c r="N669" t="s">
        <v>1875</v>
      </c>
      <c r="O669" s="2">
        <v>46245.454548611109</v>
      </c>
      <c r="P669" s="2">
        <v>46245.454548611109</v>
      </c>
      <c r="Q669" s="2">
        <v>46245.454548611109</v>
      </c>
      <c r="R669" t="str">
        <f t="shared" si="115"/>
        <v>100010764</v>
      </c>
      <c r="S669" s="1">
        <v>47805</v>
      </c>
    </row>
    <row r="670" spans="1:19" x14ac:dyDescent="0.35">
      <c r="A670" t="s">
        <v>2182</v>
      </c>
      <c r="B670" t="s">
        <v>31</v>
      </c>
      <c r="C670" t="s">
        <v>2301</v>
      </c>
      <c r="D670" t="str">
        <f t="shared" si="112"/>
        <v>2501718066</v>
      </c>
      <c r="E670" t="s">
        <v>1536</v>
      </c>
      <c r="F670" t="str">
        <f t="shared" si="113"/>
        <v>400514</v>
      </c>
      <c r="G670" t="s">
        <v>429</v>
      </c>
      <c r="H670" t="s">
        <v>2260</v>
      </c>
      <c r="I670" t="s">
        <v>41</v>
      </c>
      <c r="J670">
        <v>4</v>
      </c>
      <c r="K670">
        <v>50</v>
      </c>
      <c r="L670" t="str">
        <f t="shared" si="114"/>
        <v>521187</v>
      </c>
      <c r="N670" t="s">
        <v>1875</v>
      </c>
      <c r="O670" s="2">
        <v>46245.45449074074</v>
      </c>
      <c r="P670" s="2">
        <v>46245.45449074074</v>
      </c>
      <c r="Q670" s="2">
        <v>46245.45449074074</v>
      </c>
      <c r="R670" t="str">
        <f t="shared" si="115"/>
        <v>100010764</v>
      </c>
      <c r="S670" s="1">
        <v>47805</v>
      </c>
    </row>
    <row r="671" spans="1:19" x14ac:dyDescent="0.35">
      <c r="A671" t="s">
        <v>2182</v>
      </c>
      <c r="B671" t="s">
        <v>31</v>
      </c>
      <c r="C671" t="s">
        <v>2301</v>
      </c>
      <c r="D671" t="str">
        <f t="shared" si="112"/>
        <v>2501718066</v>
      </c>
      <c r="E671" t="s">
        <v>1536</v>
      </c>
      <c r="F671" t="str">
        <f t="shared" si="113"/>
        <v>400514</v>
      </c>
      <c r="G671" t="s">
        <v>429</v>
      </c>
      <c r="H671" t="s">
        <v>2260</v>
      </c>
      <c r="I671" t="s">
        <v>41</v>
      </c>
      <c r="J671">
        <v>4</v>
      </c>
      <c r="K671">
        <v>50</v>
      </c>
      <c r="L671" t="str">
        <f t="shared" si="114"/>
        <v>521187</v>
      </c>
      <c r="N671" t="s">
        <v>1875</v>
      </c>
      <c r="O671" s="2">
        <v>46245.454456018517</v>
      </c>
      <c r="P671" s="2">
        <v>46245.454456018517</v>
      </c>
      <c r="Q671" s="2">
        <v>46245.454456018517</v>
      </c>
      <c r="R671" t="str">
        <f t="shared" si="115"/>
        <v>100010764</v>
      </c>
      <c r="S671" s="1">
        <v>47805</v>
      </c>
    </row>
    <row r="672" spans="1:19" x14ac:dyDescent="0.35">
      <c r="A672" t="s">
        <v>2182</v>
      </c>
      <c r="B672" t="s">
        <v>31</v>
      </c>
      <c r="C672" t="s">
        <v>2301</v>
      </c>
      <c r="D672" t="str">
        <f t="shared" si="112"/>
        <v>2501718066</v>
      </c>
      <c r="E672" t="s">
        <v>1536</v>
      </c>
      <c r="F672" t="str">
        <f t="shared" si="113"/>
        <v>400514</v>
      </c>
      <c r="G672" t="s">
        <v>429</v>
      </c>
      <c r="H672" t="s">
        <v>2260</v>
      </c>
      <c r="I672" t="s">
        <v>41</v>
      </c>
      <c r="J672">
        <v>4</v>
      </c>
      <c r="K672">
        <v>50</v>
      </c>
      <c r="L672" t="str">
        <f t="shared" si="114"/>
        <v>521187</v>
      </c>
      <c r="N672" t="s">
        <v>1875</v>
      </c>
      <c r="O672" s="2">
        <v>46245.454409722224</v>
      </c>
      <c r="P672" s="2">
        <v>46245.454409722224</v>
      </c>
      <c r="Q672" s="2">
        <v>46245.454409722224</v>
      </c>
      <c r="R672" t="str">
        <f t="shared" si="115"/>
        <v>100010764</v>
      </c>
      <c r="S672" s="1">
        <v>47805</v>
      </c>
    </row>
    <row r="673" spans="1:19" x14ac:dyDescent="0.35">
      <c r="A673" t="s">
        <v>2182</v>
      </c>
      <c r="B673" t="s">
        <v>31</v>
      </c>
      <c r="C673" t="s">
        <v>2301</v>
      </c>
      <c r="D673" t="str">
        <f t="shared" si="112"/>
        <v>2501718066</v>
      </c>
      <c r="E673" t="s">
        <v>1536</v>
      </c>
      <c r="F673" t="str">
        <f t="shared" si="113"/>
        <v>400514</v>
      </c>
      <c r="G673" t="s">
        <v>429</v>
      </c>
      <c r="H673" t="s">
        <v>2260</v>
      </c>
      <c r="I673" t="s">
        <v>41</v>
      </c>
      <c r="J673">
        <v>4</v>
      </c>
      <c r="K673">
        <v>50</v>
      </c>
      <c r="L673" t="str">
        <f t="shared" si="114"/>
        <v>521187</v>
      </c>
      <c r="N673" t="s">
        <v>1875</v>
      </c>
      <c r="O673" s="2">
        <v>46245.454363425924</v>
      </c>
      <c r="P673" s="2">
        <v>46245.454363425924</v>
      </c>
      <c r="Q673" s="2">
        <v>46245.454363425924</v>
      </c>
      <c r="R673" t="str">
        <f t="shared" si="115"/>
        <v>100010764</v>
      </c>
      <c r="S673" s="1">
        <v>47805</v>
      </c>
    </row>
    <row r="674" spans="1:19" x14ac:dyDescent="0.35">
      <c r="A674" t="s">
        <v>2182</v>
      </c>
      <c r="B674" t="s">
        <v>31</v>
      </c>
      <c r="C674" t="s">
        <v>2301</v>
      </c>
      <c r="D674" t="str">
        <f t="shared" si="112"/>
        <v>2501718066</v>
      </c>
      <c r="E674" t="s">
        <v>1536</v>
      </c>
      <c r="F674" t="str">
        <f t="shared" si="113"/>
        <v>400514</v>
      </c>
      <c r="G674" t="s">
        <v>429</v>
      </c>
      <c r="H674" t="s">
        <v>2303</v>
      </c>
      <c r="I674" t="s">
        <v>41</v>
      </c>
      <c r="J674">
        <v>4</v>
      </c>
      <c r="K674">
        <v>50</v>
      </c>
      <c r="L674" t="str">
        <f t="shared" si="114"/>
        <v>521187</v>
      </c>
      <c r="N674" t="s">
        <v>1875</v>
      </c>
      <c r="O674" s="2">
        <v>46245.454317129632</v>
      </c>
      <c r="P674" s="2">
        <v>46245.454317129632</v>
      </c>
      <c r="Q674" s="2">
        <v>46245.454317129632</v>
      </c>
      <c r="R674" t="str">
        <f t="shared" si="115"/>
        <v>100010764</v>
      </c>
      <c r="S674" s="1">
        <v>47805</v>
      </c>
    </row>
    <row r="675" spans="1:19" x14ac:dyDescent="0.35">
      <c r="A675" t="s">
        <v>2182</v>
      </c>
      <c r="B675" t="s">
        <v>31</v>
      </c>
      <c r="C675" t="s">
        <v>2301</v>
      </c>
      <c r="D675" t="str">
        <f t="shared" si="112"/>
        <v>2501718066</v>
      </c>
      <c r="E675" t="s">
        <v>1536</v>
      </c>
      <c r="F675" t="str">
        <f t="shared" si="113"/>
        <v>400514</v>
      </c>
      <c r="G675" t="s">
        <v>429</v>
      </c>
      <c r="H675" t="s">
        <v>2261</v>
      </c>
      <c r="I675" t="s">
        <v>41</v>
      </c>
      <c r="J675">
        <v>4</v>
      </c>
      <c r="K675">
        <v>50</v>
      </c>
      <c r="L675" t="str">
        <f t="shared" si="114"/>
        <v>521187</v>
      </c>
      <c r="N675" t="s">
        <v>1875</v>
      </c>
      <c r="O675" s="2">
        <v>46245.454247685186</v>
      </c>
      <c r="P675" s="2">
        <v>46245.454247685186</v>
      </c>
      <c r="Q675" s="2">
        <v>46245.454247685186</v>
      </c>
      <c r="R675" t="str">
        <f t="shared" si="115"/>
        <v>100010764</v>
      </c>
      <c r="S675" s="1">
        <v>47805</v>
      </c>
    </row>
    <row r="676" spans="1:19" x14ac:dyDescent="0.35">
      <c r="A676" t="s">
        <v>2182</v>
      </c>
      <c r="B676" t="s">
        <v>31</v>
      </c>
      <c r="C676" t="s">
        <v>2301</v>
      </c>
      <c r="D676" t="str">
        <f t="shared" si="112"/>
        <v>2501718066</v>
      </c>
      <c r="E676" t="s">
        <v>1536</v>
      </c>
      <c r="F676" t="str">
        <f>"400441"</f>
        <v>400441</v>
      </c>
      <c r="G676" t="s">
        <v>65</v>
      </c>
      <c r="H676" t="s">
        <v>2300</v>
      </c>
      <c r="I676" t="s">
        <v>41</v>
      </c>
      <c r="J676">
        <v>2</v>
      </c>
      <c r="K676">
        <v>4</v>
      </c>
      <c r="L676" t="str">
        <f t="shared" si="114"/>
        <v>521187</v>
      </c>
      <c r="N676" t="s">
        <v>1875</v>
      </c>
      <c r="O676" s="2">
        <v>46245.454201388886</v>
      </c>
      <c r="P676" s="2">
        <v>46245.454201388886</v>
      </c>
      <c r="Q676" s="2">
        <v>46245.454201388886</v>
      </c>
      <c r="R676" t="str">
        <f>"153000271"</f>
        <v>153000271</v>
      </c>
      <c r="S676" s="1">
        <v>47965</v>
      </c>
    </row>
    <row r="677" spans="1:19" x14ac:dyDescent="0.35">
      <c r="A677" t="s">
        <v>2182</v>
      </c>
      <c r="B677" t="s">
        <v>31</v>
      </c>
      <c r="C677" t="s">
        <v>2301</v>
      </c>
      <c r="D677" t="str">
        <f t="shared" si="112"/>
        <v>2501718066</v>
      </c>
      <c r="E677" t="s">
        <v>1536</v>
      </c>
      <c r="F677" t="str">
        <f>"400441"</f>
        <v>400441</v>
      </c>
      <c r="G677" t="s">
        <v>65</v>
      </c>
      <c r="H677" t="s">
        <v>2300</v>
      </c>
      <c r="I677" t="s">
        <v>41</v>
      </c>
      <c r="J677">
        <v>2</v>
      </c>
      <c r="K677">
        <v>4</v>
      </c>
      <c r="L677" t="str">
        <f t="shared" si="114"/>
        <v>521187</v>
      </c>
      <c r="N677" t="s">
        <v>1875</v>
      </c>
      <c r="O677" s="2">
        <v>46245.454155092593</v>
      </c>
      <c r="P677" s="2">
        <v>46245.454155092593</v>
      </c>
      <c r="Q677" s="2">
        <v>46245.454155092593</v>
      </c>
      <c r="R677" t="str">
        <f>"153000271"</f>
        <v>153000271</v>
      </c>
      <c r="S677" s="1">
        <v>47965</v>
      </c>
    </row>
    <row r="678" spans="1:19" x14ac:dyDescent="0.35">
      <c r="A678" t="s">
        <v>2182</v>
      </c>
      <c r="B678" t="s">
        <v>31</v>
      </c>
      <c r="C678" t="s">
        <v>2301</v>
      </c>
      <c r="D678" t="str">
        <f t="shared" si="112"/>
        <v>2501718066</v>
      </c>
      <c r="E678" t="s">
        <v>1536</v>
      </c>
      <c r="F678" t="str">
        <f>"400479"</f>
        <v>400479</v>
      </c>
      <c r="G678" t="s">
        <v>2304</v>
      </c>
      <c r="H678" t="s">
        <v>2305</v>
      </c>
      <c r="I678" t="s">
        <v>41</v>
      </c>
      <c r="J678">
        <v>2</v>
      </c>
      <c r="K678">
        <v>2</v>
      </c>
      <c r="L678" t="str">
        <f t="shared" si="114"/>
        <v>521187</v>
      </c>
      <c r="N678" t="s">
        <v>1875</v>
      </c>
      <c r="O678" s="2">
        <v>46245.454108796293</v>
      </c>
      <c r="P678" s="2">
        <v>46245.454108796293</v>
      </c>
      <c r="Q678" s="2">
        <v>46245.454108796293</v>
      </c>
      <c r="R678" t="str">
        <f>"100011172"</f>
        <v>100011172</v>
      </c>
      <c r="S678" s="1">
        <v>47839</v>
      </c>
    </row>
    <row r="679" spans="1:19" x14ac:dyDescent="0.35">
      <c r="A679" t="s">
        <v>2182</v>
      </c>
      <c r="B679" t="s">
        <v>31</v>
      </c>
      <c r="C679" t="s">
        <v>2301</v>
      </c>
      <c r="D679" t="str">
        <f t="shared" si="112"/>
        <v>2501718066</v>
      </c>
      <c r="E679" t="s">
        <v>1536</v>
      </c>
      <c r="F679" t="str">
        <f>"400903"</f>
        <v>400903</v>
      </c>
      <c r="G679" t="s">
        <v>1712</v>
      </c>
      <c r="H679" t="s">
        <v>2274</v>
      </c>
      <c r="I679" t="s">
        <v>41</v>
      </c>
      <c r="J679">
        <v>1</v>
      </c>
      <c r="K679">
        <v>1</v>
      </c>
      <c r="L679" t="str">
        <f t="shared" si="114"/>
        <v>521187</v>
      </c>
      <c r="N679" t="s">
        <v>1875</v>
      </c>
      <c r="O679" s="2">
        <v>46245.454050925924</v>
      </c>
      <c r="P679" s="2">
        <v>46245.454062500001</v>
      </c>
      <c r="Q679" s="2">
        <v>46245.454062500001</v>
      </c>
      <c r="R679" t="str">
        <f>"600000971"</f>
        <v>600000971</v>
      </c>
      <c r="S679" s="1">
        <v>47897</v>
      </c>
    </row>
    <row r="680" spans="1:19" x14ac:dyDescent="0.35">
      <c r="A680" t="s">
        <v>2182</v>
      </c>
      <c r="B680" t="s">
        <v>31</v>
      </c>
      <c r="C680" t="s">
        <v>2301</v>
      </c>
      <c r="D680" t="str">
        <f t="shared" si="112"/>
        <v>2501718066</v>
      </c>
      <c r="E680" t="s">
        <v>1536</v>
      </c>
      <c r="F680" t="str">
        <f>"400912"</f>
        <v>400912</v>
      </c>
      <c r="G680" t="s">
        <v>174</v>
      </c>
      <c r="H680" t="s">
        <v>2306</v>
      </c>
      <c r="I680" t="s">
        <v>41</v>
      </c>
      <c r="J680">
        <v>1</v>
      </c>
      <c r="K680">
        <v>1</v>
      </c>
      <c r="L680" t="str">
        <f t="shared" si="114"/>
        <v>521187</v>
      </c>
      <c r="N680" t="s">
        <v>1875</v>
      </c>
      <c r="O680" s="2">
        <v>46245.454004629632</v>
      </c>
      <c r="P680" s="2">
        <v>46245.454004629632</v>
      </c>
      <c r="Q680" s="2">
        <v>46245.454004629632</v>
      </c>
      <c r="R680" t="str">
        <f>"400004247"</f>
        <v>400004247</v>
      </c>
      <c r="S680" s="1">
        <v>47924</v>
      </c>
    </row>
    <row r="681" spans="1:19" x14ac:dyDescent="0.35">
      <c r="A681" t="s">
        <v>2182</v>
      </c>
      <c r="B681" t="s">
        <v>31</v>
      </c>
      <c r="C681" t="s">
        <v>2307</v>
      </c>
      <c r="D681" t="str">
        <f t="shared" ref="D681:D686" si="116">"2501718051"</f>
        <v>2501718051</v>
      </c>
      <c r="E681" t="s">
        <v>1536</v>
      </c>
      <c r="F681" t="str">
        <f t="shared" ref="F681:F686" si="117">"400464"</f>
        <v>400464</v>
      </c>
      <c r="G681" t="s">
        <v>1669</v>
      </c>
      <c r="H681" t="s">
        <v>2252</v>
      </c>
      <c r="I681" t="s">
        <v>41</v>
      </c>
      <c r="J681">
        <v>4</v>
      </c>
      <c r="K681">
        <v>4</v>
      </c>
      <c r="L681" t="str">
        <f t="shared" ref="L681:L686" si="118">"520202"</f>
        <v>520202</v>
      </c>
      <c r="N681" t="s">
        <v>2105</v>
      </c>
      <c r="O681" s="2">
        <v>46244.397847222222</v>
      </c>
      <c r="P681" s="2">
        <v>46244.397847222222</v>
      </c>
      <c r="Q681" s="2">
        <v>46244.397847222222</v>
      </c>
      <c r="R681" t="str">
        <f>"100011197"</f>
        <v>100011197</v>
      </c>
      <c r="S681" s="1">
        <v>47841</v>
      </c>
    </row>
    <row r="682" spans="1:19" x14ac:dyDescent="0.35">
      <c r="A682" t="s">
        <v>2182</v>
      </c>
      <c r="B682" t="s">
        <v>31</v>
      </c>
      <c r="C682" t="s">
        <v>2307</v>
      </c>
      <c r="D682" t="str">
        <f t="shared" si="116"/>
        <v>2501718051</v>
      </c>
      <c r="E682" t="s">
        <v>1536</v>
      </c>
      <c r="F682" t="str">
        <f t="shared" si="117"/>
        <v>400464</v>
      </c>
      <c r="G682" t="s">
        <v>1669</v>
      </c>
      <c r="H682" t="s">
        <v>2308</v>
      </c>
      <c r="I682" t="s">
        <v>41</v>
      </c>
      <c r="J682">
        <v>4</v>
      </c>
      <c r="K682">
        <v>20</v>
      </c>
      <c r="L682" t="str">
        <f t="shared" si="118"/>
        <v>520202</v>
      </c>
      <c r="N682" t="s">
        <v>2105</v>
      </c>
      <c r="O682" s="2">
        <v>46244.397523148145</v>
      </c>
      <c r="P682" s="2">
        <v>46244.397523148145</v>
      </c>
      <c r="Q682" s="2">
        <v>46244.397523148145</v>
      </c>
      <c r="R682" t="str">
        <f>"100009904"</f>
        <v>100009904</v>
      </c>
      <c r="S682" s="1">
        <v>47841</v>
      </c>
    </row>
    <row r="683" spans="1:19" x14ac:dyDescent="0.35">
      <c r="A683" t="s">
        <v>2182</v>
      </c>
      <c r="B683" t="s">
        <v>31</v>
      </c>
      <c r="C683" t="s">
        <v>2307</v>
      </c>
      <c r="D683" t="str">
        <f t="shared" si="116"/>
        <v>2501718051</v>
      </c>
      <c r="E683" t="s">
        <v>1536</v>
      </c>
      <c r="F683" t="str">
        <f t="shared" si="117"/>
        <v>400464</v>
      </c>
      <c r="G683" t="s">
        <v>1669</v>
      </c>
      <c r="H683" t="s">
        <v>2308</v>
      </c>
      <c r="I683" t="s">
        <v>41</v>
      </c>
      <c r="J683">
        <v>4</v>
      </c>
      <c r="K683">
        <v>20</v>
      </c>
      <c r="L683" t="str">
        <f t="shared" si="118"/>
        <v>520202</v>
      </c>
      <c r="N683" t="s">
        <v>2105</v>
      </c>
      <c r="O683" s="2">
        <v>46244.397175925929</v>
      </c>
      <c r="P683" s="2">
        <v>46244.397175925929</v>
      </c>
      <c r="Q683" s="2">
        <v>46244.397175925929</v>
      </c>
      <c r="R683" t="str">
        <f>"100009904"</f>
        <v>100009904</v>
      </c>
      <c r="S683" s="1">
        <v>47841</v>
      </c>
    </row>
    <row r="684" spans="1:19" x14ac:dyDescent="0.35">
      <c r="A684" t="s">
        <v>2182</v>
      </c>
      <c r="B684" t="s">
        <v>31</v>
      </c>
      <c r="C684" t="s">
        <v>2307</v>
      </c>
      <c r="D684" t="str">
        <f t="shared" si="116"/>
        <v>2501718051</v>
      </c>
      <c r="E684" t="s">
        <v>1536</v>
      </c>
      <c r="F684" t="str">
        <f t="shared" si="117"/>
        <v>400464</v>
      </c>
      <c r="G684" t="s">
        <v>1669</v>
      </c>
      <c r="H684" t="s">
        <v>2308</v>
      </c>
      <c r="I684" t="s">
        <v>41</v>
      </c>
      <c r="J684">
        <v>4</v>
      </c>
      <c r="K684">
        <v>20</v>
      </c>
      <c r="L684" t="str">
        <f t="shared" si="118"/>
        <v>520202</v>
      </c>
      <c r="N684" t="s">
        <v>2105</v>
      </c>
      <c r="O684" s="2">
        <v>46244.396805555552</v>
      </c>
      <c r="P684" s="2">
        <v>46244.396805555552</v>
      </c>
      <c r="Q684" s="2">
        <v>46244.396805555552</v>
      </c>
      <c r="R684" t="str">
        <f>"100009904"</f>
        <v>100009904</v>
      </c>
      <c r="S684" s="1">
        <v>47841</v>
      </c>
    </row>
    <row r="685" spans="1:19" x14ac:dyDescent="0.35">
      <c r="A685" t="s">
        <v>2182</v>
      </c>
      <c r="B685" t="s">
        <v>31</v>
      </c>
      <c r="C685" t="s">
        <v>2307</v>
      </c>
      <c r="D685" t="str">
        <f t="shared" si="116"/>
        <v>2501718051</v>
      </c>
      <c r="E685" t="s">
        <v>1536</v>
      </c>
      <c r="F685" t="str">
        <f t="shared" si="117"/>
        <v>400464</v>
      </c>
      <c r="G685" t="s">
        <v>1669</v>
      </c>
      <c r="H685" t="s">
        <v>2308</v>
      </c>
      <c r="I685" t="s">
        <v>41</v>
      </c>
      <c r="J685">
        <v>4</v>
      </c>
      <c r="K685">
        <v>20</v>
      </c>
      <c r="L685" t="str">
        <f t="shared" si="118"/>
        <v>520202</v>
      </c>
      <c r="N685" t="s">
        <v>2105</v>
      </c>
      <c r="O685" s="2">
        <v>46244.39640046296</v>
      </c>
      <c r="P685" s="2">
        <v>46244.39640046296</v>
      </c>
      <c r="Q685" s="2">
        <v>46244.39640046296</v>
      </c>
      <c r="R685" t="str">
        <f>"100009904"</f>
        <v>100009904</v>
      </c>
      <c r="S685" s="1">
        <v>47841</v>
      </c>
    </row>
    <row r="686" spans="1:19" x14ac:dyDescent="0.35">
      <c r="A686" t="s">
        <v>2182</v>
      </c>
      <c r="B686" t="s">
        <v>31</v>
      </c>
      <c r="C686" t="s">
        <v>2307</v>
      </c>
      <c r="D686" t="str">
        <f t="shared" si="116"/>
        <v>2501718051</v>
      </c>
      <c r="E686" t="s">
        <v>1536</v>
      </c>
      <c r="F686" t="str">
        <f t="shared" si="117"/>
        <v>400464</v>
      </c>
      <c r="G686" t="s">
        <v>1669</v>
      </c>
      <c r="H686" t="s">
        <v>2308</v>
      </c>
      <c r="I686" t="s">
        <v>41</v>
      </c>
      <c r="J686">
        <v>4</v>
      </c>
      <c r="K686">
        <v>20</v>
      </c>
      <c r="L686" t="str">
        <f t="shared" si="118"/>
        <v>520202</v>
      </c>
      <c r="N686" t="s">
        <v>2105</v>
      </c>
      <c r="O686" s="2">
        <v>46244.395995370367</v>
      </c>
      <c r="P686" s="2">
        <v>46244.395995370367</v>
      </c>
      <c r="Q686" s="2">
        <v>46244.395995370367</v>
      </c>
      <c r="R686" t="str">
        <f>"100009904"</f>
        <v>100009904</v>
      </c>
      <c r="S686" s="1">
        <v>47841</v>
      </c>
    </row>
    <row r="687" spans="1:19" x14ac:dyDescent="0.35">
      <c r="A687" t="s">
        <v>2182</v>
      </c>
      <c r="B687" t="s">
        <v>31</v>
      </c>
      <c r="C687" t="s">
        <v>2309</v>
      </c>
      <c r="D687" t="str">
        <f>"2501718048"</f>
        <v>2501718048</v>
      </c>
      <c r="E687" t="s">
        <v>1536</v>
      </c>
      <c r="F687" t="str">
        <f>"400424"</f>
        <v>400424</v>
      </c>
      <c r="G687" t="s">
        <v>1704</v>
      </c>
      <c r="H687" t="s">
        <v>2310</v>
      </c>
      <c r="I687" t="s">
        <v>41</v>
      </c>
      <c r="J687">
        <v>3</v>
      </c>
      <c r="K687">
        <v>5</v>
      </c>
      <c r="L687" t="str">
        <f>"521234"</f>
        <v>521234</v>
      </c>
      <c r="N687" t="s">
        <v>1583</v>
      </c>
      <c r="O687" s="2">
        <v>46242.330821759257</v>
      </c>
      <c r="P687" s="2">
        <v>46242.330821759257</v>
      </c>
      <c r="Q687" s="2">
        <v>46242.330821759257</v>
      </c>
      <c r="R687" t="str">
        <f>"153000354"</f>
        <v>153000354</v>
      </c>
      <c r="S687" s="1">
        <v>48004</v>
      </c>
    </row>
    <row r="688" spans="1:19" x14ac:dyDescent="0.35">
      <c r="A688" t="s">
        <v>2182</v>
      </c>
      <c r="B688" t="s">
        <v>31</v>
      </c>
      <c r="C688" t="s">
        <v>2309</v>
      </c>
      <c r="D688" t="str">
        <f>"2501718048"</f>
        <v>2501718048</v>
      </c>
      <c r="E688" t="s">
        <v>1536</v>
      </c>
      <c r="F688" t="str">
        <f>"400424"</f>
        <v>400424</v>
      </c>
      <c r="G688" t="s">
        <v>1704</v>
      </c>
      <c r="H688" t="s">
        <v>2262</v>
      </c>
      <c r="I688" t="s">
        <v>41</v>
      </c>
      <c r="J688">
        <v>2</v>
      </c>
      <c r="K688">
        <v>5</v>
      </c>
      <c r="L688" t="str">
        <f>"521234"</f>
        <v>521234</v>
      </c>
      <c r="N688" t="s">
        <v>1583</v>
      </c>
      <c r="O688" s="2">
        <v>46242.330636574072</v>
      </c>
      <c r="P688" s="2">
        <v>46242.330636574072</v>
      </c>
      <c r="Q688" s="2">
        <v>46242.330636574072</v>
      </c>
      <c r="R688" t="str">
        <f>"153000354"</f>
        <v>153000354</v>
      </c>
      <c r="S688" s="1">
        <v>48004</v>
      </c>
    </row>
    <row r="689" spans="1:19" x14ac:dyDescent="0.35">
      <c r="A689" t="s">
        <v>2182</v>
      </c>
      <c r="B689" t="s">
        <v>31</v>
      </c>
      <c r="C689" t="s">
        <v>2309</v>
      </c>
      <c r="D689" t="str">
        <f>"2501718048"</f>
        <v>2501718048</v>
      </c>
      <c r="E689" t="s">
        <v>1536</v>
      </c>
      <c r="F689" t="str">
        <f>"400541"</f>
        <v>400541</v>
      </c>
      <c r="G689" t="s">
        <v>127</v>
      </c>
      <c r="H689" t="s">
        <v>2311</v>
      </c>
      <c r="I689" t="s">
        <v>41</v>
      </c>
      <c r="J689">
        <v>1</v>
      </c>
      <c r="K689">
        <v>1</v>
      </c>
      <c r="L689" t="str">
        <f>"521234"</f>
        <v>521234</v>
      </c>
      <c r="N689" t="s">
        <v>1583</v>
      </c>
      <c r="O689" s="2">
        <v>46242.330405092594</v>
      </c>
      <c r="P689" s="2">
        <v>46242.330405092594</v>
      </c>
      <c r="Q689" s="2">
        <v>46242.330405092594</v>
      </c>
      <c r="R689" t="str">
        <f>"153000229"</f>
        <v>153000229</v>
      </c>
      <c r="S689" s="1">
        <v>47943</v>
      </c>
    </row>
    <row r="690" spans="1:19" x14ac:dyDescent="0.35">
      <c r="A690" t="s">
        <v>2182</v>
      </c>
      <c r="B690" t="s">
        <v>31</v>
      </c>
      <c r="C690" t="s">
        <v>2312</v>
      </c>
      <c r="D690" t="str">
        <f>"2501718043"</f>
        <v>2501718043</v>
      </c>
      <c r="E690" t="s">
        <v>1536</v>
      </c>
      <c r="F690" t="str">
        <f>"400542"</f>
        <v>400542</v>
      </c>
      <c r="G690" t="s">
        <v>2313</v>
      </c>
      <c r="H690" t="s">
        <v>2314</v>
      </c>
      <c r="I690" t="s">
        <v>378</v>
      </c>
      <c r="J690">
        <v>2</v>
      </c>
      <c r="K690">
        <v>2</v>
      </c>
      <c r="L690" t="str">
        <f>"521234"</f>
        <v>521234</v>
      </c>
      <c r="N690" t="s">
        <v>1583</v>
      </c>
      <c r="O690" s="2">
        <v>46242.329571759263</v>
      </c>
      <c r="P690" s="2">
        <v>46242.329571759263</v>
      </c>
      <c r="Q690" s="2">
        <v>46242.329571759263</v>
      </c>
      <c r="R690" t="str">
        <f>"153000401"</f>
        <v>153000401</v>
      </c>
      <c r="S690" s="1">
        <v>48016</v>
      </c>
    </row>
    <row r="691" spans="1:19" x14ac:dyDescent="0.35">
      <c r="A691" t="s">
        <v>2182</v>
      </c>
      <c r="B691" t="s">
        <v>31</v>
      </c>
      <c r="C691" t="s">
        <v>2315</v>
      </c>
      <c r="D691" t="str">
        <f>"2501718038"</f>
        <v>2501718038</v>
      </c>
      <c r="E691" t="s">
        <v>1536</v>
      </c>
      <c r="F691" t="str">
        <f>"400729"</f>
        <v>400729</v>
      </c>
      <c r="G691" t="s">
        <v>2285</v>
      </c>
      <c r="H691" t="s">
        <v>2292</v>
      </c>
      <c r="I691" t="s">
        <v>37</v>
      </c>
      <c r="J691">
        <v>30</v>
      </c>
      <c r="K691">
        <v>30</v>
      </c>
      <c r="L691" t="str">
        <f>"521147"</f>
        <v>521147</v>
      </c>
      <c r="N691" t="s">
        <v>2110</v>
      </c>
      <c r="O691" s="2">
        <v>46240.353622685187</v>
      </c>
      <c r="P691" s="2">
        <v>46240.353622685187</v>
      </c>
      <c r="Q691" s="2">
        <v>46240.353622685187</v>
      </c>
      <c r="R691" t="str">
        <f>"0002203355"</f>
        <v>0002203355</v>
      </c>
      <c r="S691" s="1">
        <v>47329</v>
      </c>
    </row>
    <row r="692" spans="1:19" x14ac:dyDescent="0.35">
      <c r="A692" t="s">
        <v>2182</v>
      </c>
      <c r="B692" t="s">
        <v>31</v>
      </c>
      <c r="C692" t="s">
        <v>2316</v>
      </c>
      <c r="D692" t="str">
        <f>"2501718036"</f>
        <v>2501718036</v>
      </c>
      <c r="E692" t="s">
        <v>1536</v>
      </c>
      <c r="F692" t="str">
        <f t="shared" ref="F692:F697" si="119">"400405"</f>
        <v>400405</v>
      </c>
      <c r="G692" t="s">
        <v>519</v>
      </c>
      <c r="H692" t="s">
        <v>2276</v>
      </c>
      <c r="I692" t="s">
        <v>37</v>
      </c>
      <c r="J692">
        <v>9</v>
      </c>
      <c r="K692">
        <v>104</v>
      </c>
      <c r="L692" t="str">
        <f t="shared" ref="L692:L697" si="120">"521161"</f>
        <v>521161</v>
      </c>
      <c r="N692" t="s">
        <v>1556</v>
      </c>
      <c r="O692" s="2">
        <v>46240.349340277775</v>
      </c>
      <c r="P692" s="2">
        <v>46240.349340277775</v>
      </c>
      <c r="Q692" s="2">
        <v>46240.349340277775</v>
      </c>
      <c r="R692" t="str">
        <f t="shared" ref="R692:R697" si="121">"153000440"</f>
        <v>153000440</v>
      </c>
      <c r="S692" s="1">
        <v>48036</v>
      </c>
    </row>
    <row r="693" spans="1:19" x14ac:dyDescent="0.35">
      <c r="A693" t="s">
        <v>2182</v>
      </c>
      <c r="B693" t="s">
        <v>31</v>
      </c>
      <c r="C693" t="s">
        <v>2316</v>
      </c>
      <c r="D693" t="str">
        <f>"2501718036"</f>
        <v>2501718036</v>
      </c>
      <c r="E693" t="s">
        <v>1536</v>
      </c>
      <c r="F693" t="str">
        <f t="shared" si="119"/>
        <v>400405</v>
      </c>
      <c r="G693" t="s">
        <v>519</v>
      </c>
      <c r="H693" t="s">
        <v>2317</v>
      </c>
      <c r="I693" t="s">
        <v>37</v>
      </c>
      <c r="J693">
        <v>19</v>
      </c>
      <c r="K693">
        <v>104</v>
      </c>
      <c r="L693" t="str">
        <f t="shared" si="120"/>
        <v>521161</v>
      </c>
      <c r="N693" t="s">
        <v>1556</v>
      </c>
      <c r="O693" s="2">
        <v>46240.348819444444</v>
      </c>
      <c r="P693" s="2">
        <v>46240.348819444444</v>
      </c>
      <c r="Q693" s="2">
        <v>46240.348819444444</v>
      </c>
      <c r="R693" t="str">
        <f t="shared" si="121"/>
        <v>153000440</v>
      </c>
      <c r="S693" s="1">
        <v>48036</v>
      </c>
    </row>
    <row r="694" spans="1:19" x14ac:dyDescent="0.35">
      <c r="A694" t="s">
        <v>2182</v>
      </c>
      <c r="B694" t="s">
        <v>31</v>
      </c>
      <c r="C694" t="s">
        <v>2316</v>
      </c>
      <c r="D694" t="str">
        <f>"2501718036"</f>
        <v>2501718036</v>
      </c>
      <c r="E694" t="s">
        <v>1536</v>
      </c>
      <c r="F694" t="str">
        <f t="shared" si="119"/>
        <v>400405</v>
      </c>
      <c r="G694" t="s">
        <v>519</v>
      </c>
      <c r="H694" t="s">
        <v>2318</v>
      </c>
      <c r="I694" t="s">
        <v>37</v>
      </c>
      <c r="J694">
        <v>52</v>
      </c>
      <c r="K694">
        <v>104</v>
      </c>
      <c r="L694" t="str">
        <f t="shared" si="120"/>
        <v>521161</v>
      </c>
      <c r="N694" t="s">
        <v>1556</v>
      </c>
      <c r="O694" s="2">
        <v>46240.348576388889</v>
      </c>
      <c r="P694" s="2">
        <v>46240.348576388889</v>
      </c>
      <c r="Q694" s="2">
        <v>46240.348576388889</v>
      </c>
      <c r="R694" t="str">
        <f t="shared" si="121"/>
        <v>153000440</v>
      </c>
      <c r="S694" s="1">
        <v>48036</v>
      </c>
    </row>
    <row r="695" spans="1:19" x14ac:dyDescent="0.35">
      <c r="A695" t="s">
        <v>2182</v>
      </c>
      <c r="B695" t="s">
        <v>31</v>
      </c>
      <c r="C695" t="s">
        <v>2316</v>
      </c>
      <c r="D695" t="str">
        <f>"2501718036"</f>
        <v>2501718036</v>
      </c>
      <c r="E695" t="s">
        <v>1536</v>
      </c>
      <c r="F695" t="str">
        <f t="shared" si="119"/>
        <v>400405</v>
      </c>
      <c r="G695" t="s">
        <v>519</v>
      </c>
      <c r="H695" t="s">
        <v>2319</v>
      </c>
      <c r="I695" t="s">
        <v>37</v>
      </c>
      <c r="J695">
        <v>24</v>
      </c>
      <c r="K695">
        <v>104</v>
      </c>
      <c r="L695" t="str">
        <f t="shared" si="120"/>
        <v>521161</v>
      </c>
      <c r="N695" t="s">
        <v>1556</v>
      </c>
      <c r="O695" s="2">
        <v>46240.34815972222</v>
      </c>
      <c r="P695" s="2">
        <v>46240.34815972222</v>
      </c>
      <c r="Q695" s="2">
        <v>46240.34815972222</v>
      </c>
      <c r="R695" t="str">
        <f t="shared" si="121"/>
        <v>153000440</v>
      </c>
      <c r="S695" s="1">
        <v>48036</v>
      </c>
    </row>
    <row r="696" spans="1:19" x14ac:dyDescent="0.35">
      <c r="A696" t="s">
        <v>2182</v>
      </c>
      <c r="B696" t="s">
        <v>31</v>
      </c>
      <c r="C696" t="s">
        <v>2320</v>
      </c>
      <c r="D696" t="str">
        <f>"2501718035"</f>
        <v>2501718035</v>
      </c>
      <c r="E696" t="s">
        <v>1536</v>
      </c>
      <c r="F696" t="str">
        <f t="shared" si="119"/>
        <v>400405</v>
      </c>
      <c r="G696" t="s">
        <v>519</v>
      </c>
      <c r="H696" t="s">
        <v>2319</v>
      </c>
      <c r="I696" t="s">
        <v>37</v>
      </c>
      <c r="J696">
        <v>28</v>
      </c>
      <c r="K696">
        <v>52</v>
      </c>
      <c r="L696" t="str">
        <f t="shared" si="120"/>
        <v>521161</v>
      </c>
      <c r="N696" t="s">
        <v>1556</v>
      </c>
      <c r="O696" s="2">
        <v>46240.346747685187</v>
      </c>
      <c r="P696" s="2">
        <v>46240.346747685187</v>
      </c>
      <c r="Q696" s="2">
        <v>46240.346747685187</v>
      </c>
      <c r="R696" t="str">
        <f t="shared" si="121"/>
        <v>153000440</v>
      </c>
      <c r="S696" s="1">
        <v>48036</v>
      </c>
    </row>
    <row r="697" spans="1:19" x14ac:dyDescent="0.35">
      <c r="A697" t="s">
        <v>2182</v>
      </c>
      <c r="B697" t="s">
        <v>31</v>
      </c>
      <c r="C697" t="s">
        <v>2320</v>
      </c>
      <c r="D697" t="str">
        <f>"2501718035"</f>
        <v>2501718035</v>
      </c>
      <c r="E697" t="s">
        <v>1536</v>
      </c>
      <c r="F697" t="str">
        <f t="shared" si="119"/>
        <v>400405</v>
      </c>
      <c r="G697" t="s">
        <v>519</v>
      </c>
      <c r="H697" t="s">
        <v>2289</v>
      </c>
      <c r="I697" t="s">
        <v>37</v>
      </c>
      <c r="J697">
        <v>24</v>
      </c>
      <c r="K697">
        <v>52</v>
      </c>
      <c r="L697" t="str">
        <f t="shared" si="120"/>
        <v>521161</v>
      </c>
      <c r="N697" t="s">
        <v>1556</v>
      </c>
      <c r="O697" s="2">
        <v>46240.346585648149</v>
      </c>
      <c r="P697" s="2">
        <v>46240.346585648149</v>
      </c>
      <c r="Q697" s="2">
        <v>46240.346585648149</v>
      </c>
      <c r="R697" t="str">
        <f t="shared" si="121"/>
        <v>153000440</v>
      </c>
      <c r="S697" s="1">
        <v>48036</v>
      </c>
    </row>
    <row r="698" spans="1:19" x14ac:dyDescent="0.35">
      <c r="A698" t="s">
        <v>2182</v>
      </c>
      <c r="B698" t="s">
        <v>31</v>
      </c>
      <c r="C698" t="s">
        <v>2321</v>
      </c>
      <c r="D698" t="str">
        <f>"2501718034"</f>
        <v>2501718034</v>
      </c>
      <c r="E698" t="s">
        <v>1536</v>
      </c>
      <c r="F698" t="str">
        <f>"400402"</f>
        <v>400402</v>
      </c>
      <c r="G698" t="s">
        <v>1665</v>
      </c>
      <c r="H698" t="s">
        <v>2322</v>
      </c>
      <c r="I698" t="s">
        <v>37</v>
      </c>
      <c r="J698">
        <v>30</v>
      </c>
      <c r="K698">
        <v>50</v>
      </c>
      <c r="L698" t="str">
        <f>"521147"</f>
        <v>521147</v>
      </c>
      <c r="N698" t="s">
        <v>2110</v>
      </c>
      <c r="O698" s="2">
        <v>46240.347546296296</v>
      </c>
      <c r="P698" s="2">
        <v>46240.347546296296</v>
      </c>
      <c r="Q698" s="2">
        <v>46240.347546296296</v>
      </c>
      <c r="R698" t="str">
        <f>"153000363"</f>
        <v>153000363</v>
      </c>
      <c r="S698" s="1">
        <v>48006</v>
      </c>
    </row>
    <row r="699" spans="1:19" x14ac:dyDescent="0.35">
      <c r="A699" t="s">
        <v>2182</v>
      </c>
      <c r="B699" t="s">
        <v>31</v>
      </c>
      <c r="C699" t="s">
        <v>2321</v>
      </c>
      <c r="D699" t="str">
        <f>"2501718034"</f>
        <v>2501718034</v>
      </c>
      <c r="E699" t="s">
        <v>1536</v>
      </c>
      <c r="F699" t="str">
        <f>"400402"</f>
        <v>400402</v>
      </c>
      <c r="G699" t="s">
        <v>1665</v>
      </c>
      <c r="H699" t="s">
        <v>2323</v>
      </c>
      <c r="I699" t="s">
        <v>37</v>
      </c>
      <c r="J699">
        <v>20</v>
      </c>
      <c r="K699">
        <v>50</v>
      </c>
      <c r="L699" t="str">
        <f>"521147"</f>
        <v>521147</v>
      </c>
      <c r="N699" t="s">
        <v>2110</v>
      </c>
      <c r="O699" s="2">
        <v>46240.347337962965</v>
      </c>
      <c r="P699" s="2">
        <v>46240.347337962965</v>
      </c>
      <c r="Q699" s="2">
        <v>46240.347337962965</v>
      </c>
      <c r="R699" t="str">
        <f>"153000363"</f>
        <v>153000363</v>
      </c>
      <c r="S699" s="1">
        <v>48006</v>
      </c>
    </row>
    <row r="700" spans="1:19" x14ac:dyDescent="0.35">
      <c r="A700" t="s">
        <v>2182</v>
      </c>
      <c r="B700" t="s">
        <v>31</v>
      </c>
      <c r="C700" t="s">
        <v>2324</v>
      </c>
      <c r="D700" t="str">
        <f>"2501718030"</f>
        <v>2501718030</v>
      </c>
      <c r="E700" t="s">
        <v>1536</v>
      </c>
      <c r="F700" t="str">
        <f>"400441"</f>
        <v>400441</v>
      </c>
      <c r="G700" t="s">
        <v>65</v>
      </c>
      <c r="H700" t="s">
        <v>2300</v>
      </c>
      <c r="I700" t="s">
        <v>41</v>
      </c>
      <c r="J700">
        <v>1</v>
      </c>
      <c r="K700">
        <v>1</v>
      </c>
      <c r="L700" t="str">
        <f>"521115"</f>
        <v>521115</v>
      </c>
      <c r="N700" t="s">
        <v>1852</v>
      </c>
      <c r="O700" s="2">
        <v>46240.336689814816</v>
      </c>
      <c r="P700" s="2">
        <v>46240.336689814816</v>
      </c>
      <c r="Q700" s="2">
        <v>46240.336689814816</v>
      </c>
      <c r="R700" t="str">
        <f>"153000271"</f>
        <v>153000271</v>
      </c>
      <c r="S700" s="1">
        <v>47965</v>
      </c>
    </row>
    <row r="701" spans="1:19" x14ac:dyDescent="0.35">
      <c r="A701" t="s">
        <v>2182</v>
      </c>
      <c r="B701" t="s">
        <v>31</v>
      </c>
      <c r="C701" t="s">
        <v>2325</v>
      </c>
      <c r="D701" t="str">
        <f t="shared" ref="D701:D706" si="122">"2501718029"</f>
        <v>2501718029</v>
      </c>
      <c r="E701" t="s">
        <v>1536</v>
      </c>
      <c r="F701" t="str">
        <f t="shared" ref="F701:F706" si="123">"400464"</f>
        <v>400464</v>
      </c>
      <c r="G701" t="s">
        <v>1669</v>
      </c>
      <c r="H701" t="s">
        <v>2326</v>
      </c>
      <c r="I701" t="s">
        <v>41</v>
      </c>
      <c r="J701">
        <v>4</v>
      </c>
      <c r="K701">
        <v>20</v>
      </c>
      <c r="L701" t="str">
        <f t="shared" ref="L701:L706" si="124">"520202"</f>
        <v>520202</v>
      </c>
      <c r="N701" t="s">
        <v>2105</v>
      </c>
      <c r="O701" s="2">
        <v>46240.351574074077</v>
      </c>
      <c r="P701" s="2">
        <v>46240.351574074077</v>
      </c>
      <c r="Q701" s="2">
        <v>46240.351574074077</v>
      </c>
      <c r="R701" t="str">
        <f>"100011197"</f>
        <v>100011197</v>
      </c>
      <c r="S701" s="1">
        <v>47841</v>
      </c>
    </row>
    <row r="702" spans="1:19" x14ac:dyDescent="0.35">
      <c r="A702" t="s">
        <v>2182</v>
      </c>
      <c r="B702" t="s">
        <v>31</v>
      </c>
      <c r="C702" t="s">
        <v>2325</v>
      </c>
      <c r="D702" t="str">
        <f t="shared" si="122"/>
        <v>2501718029</v>
      </c>
      <c r="E702" t="s">
        <v>1536</v>
      </c>
      <c r="F702" t="str">
        <f t="shared" si="123"/>
        <v>400464</v>
      </c>
      <c r="G702" t="s">
        <v>1669</v>
      </c>
      <c r="H702" t="s">
        <v>2326</v>
      </c>
      <c r="I702" t="s">
        <v>41</v>
      </c>
      <c r="J702">
        <v>4</v>
      </c>
      <c r="K702">
        <v>20</v>
      </c>
      <c r="L702" t="str">
        <f t="shared" si="124"/>
        <v>520202</v>
      </c>
      <c r="N702" t="s">
        <v>2105</v>
      </c>
      <c r="O702" s="2">
        <v>46240.351400462961</v>
      </c>
      <c r="P702" s="2">
        <v>46240.351400462961</v>
      </c>
      <c r="Q702" s="2">
        <v>46240.351400462961</v>
      </c>
      <c r="R702" t="str">
        <f>"100011197"</f>
        <v>100011197</v>
      </c>
      <c r="S702" s="1">
        <v>47841</v>
      </c>
    </row>
    <row r="703" spans="1:19" x14ac:dyDescent="0.35">
      <c r="A703" t="s">
        <v>2182</v>
      </c>
      <c r="B703" t="s">
        <v>31</v>
      </c>
      <c r="C703" t="s">
        <v>2325</v>
      </c>
      <c r="D703" t="str">
        <f t="shared" si="122"/>
        <v>2501718029</v>
      </c>
      <c r="E703" t="s">
        <v>1536</v>
      </c>
      <c r="F703" t="str">
        <f t="shared" si="123"/>
        <v>400464</v>
      </c>
      <c r="G703" t="s">
        <v>1669</v>
      </c>
      <c r="H703" t="s">
        <v>2326</v>
      </c>
      <c r="I703" t="s">
        <v>41</v>
      </c>
      <c r="J703">
        <v>4</v>
      </c>
      <c r="K703">
        <v>20</v>
      </c>
      <c r="L703" t="str">
        <f t="shared" si="124"/>
        <v>520202</v>
      </c>
      <c r="N703" t="s">
        <v>2105</v>
      </c>
      <c r="O703" s="2">
        <v>46240.350763888891</v>
      </c>
      <c r="P703" s="2">
        <v>46240.350763888891</v>
      </c>
      <c r="Q703" s="2">
        <v>46240.350763888891</v>
      </c>
      <c r="R703" t="str">
        <f>"100011197"</f>
        <v>100011197</v>
      </c>
      <c r="S703" s="1">
        <v>47841</v>
      </c>
    </row>
    <row r="704" spans="1:19" x14ac:dyDescent="0.35">
      <c r="A704" t="s">
        <v>2182</v>
      </c>
      <c r="B704" t="s">
        <v>31</v>
      </c>
      <c r="C704" t="s">
        <v>2325</v>
      </c>
      <c r="D704" t="str">
        <f t="shared" si="122"/>
        <v>2501718029</v>
      </c>
      <c r="E704" t="s">
        <v>1536</v>
      </c>
      <c r="F704" t="str">
        <f t="shared" si="123"/>
        <v>400464</v>
      </c>
      <c r="G704" t="s">
        <v>1669</v>
      </c>
      <c r="H704" t="s">
        <v>2326</v>
      </c>
      <c r="I704" t="s">
        <v>41</v>
      </c>
      <c r="J704">
        <v>4</v>
      </c>
      <c r="K704">
        <v>20</v>
      </c>
      <c r="L704" t="str">
        <f t="shared" si="124"/>
        <v>520202</v>
      </c>
      <c r="N704" t="s">
        <v>2105</v>
      </c>
      <c r="O704" s="2">
        <v>46240.350474537037</v>
      </c>
      <c r="P704" s="2">
        <v>46240.350474537037</v>
      </c>
      <c r="Q704" s="2">
        <v>46240.350474537037</v>
      </c>
      <c r="R704" t="str">
        <f>"100011197"</f>
        <v>100011197</v>
      </c>
      <c r="S704" s="1">
        <v>47841</v>
      </c>
    </row>
    <row r="705" spans="1:19" x14ac:dyDescent="0.35">
      <c r="A705" t="s">
        <v>2182</v>
      </c>
      <c r="B705" t="s">
        <v>31</v>
      </c>
      <c r="C705" t="s">
        <v>2325</v>
      </c>
      <c r="D705" t="str">
        <f t="shared" si="122"/>
        <v>2501718029</v>
      </c>
      <c r="E705" t="s">
        <v>1536</v>
      </c>
      <c r="F705" t="str">
        <f t="shared" si="123"/>
        <v>400464</v>
      </c>
      <c r="G705" t="s">
        <v>1669</v>
      </c>
      <c r="H705" t="s">
        <v>2326</v>
      </c>
      <c r="I705" t="s">
        <v>41</v>
      </c>
      <c r="J705">
        <v>4</v>
      </c>
      <c r="K705">
        <v>20</v>
      </c>
      <c r="L705" t="str">
        <f t="shared" si="124"/>
        <v>520202</v>
      </c>
      <c r="N705" t="s">
        <v>2105</v>
      </c>
      <c r="O705" s="2">
        <v>46240.350312499999</v>
      </c>
      <c r="P705" s="2">
        <v>46240.350312499999</v>
      </c>
      <c r="Q705" s="2">
        <v>46240.350312499999</v>
      </c>
      <c r="R705" t="str">
        <f>"100011197"</f>
        <v>100011197</v>
      </c>
      <c r="S705" s="1">
        <v>47841</v>
      </c>
    </row>
    <row r="706" spans="1:19" x14ac:dyDescent="0.35">
      <c r="A706" t="s">
        <v>2182</v>
      </c>
      <c r="B706" t="s">
        <v>31</v>
      </c>
      <c r="C706" t="s">
        <v>2325</v>
      </c>
      <c r="D706" t="str">
        <f t="shared" si="122"/>
        <v>2501718029</v>
      </c>
      <c r="E706" t="s">
        <v>1536</v>
      </c>
      <c r="F706" t="str">
        <f t="shared" si="123"/>
        <v>400464</v>
      </c>
      <c r="G706" t="s">
        <v>1669</v>
      </c>
      <c r="H706" t="s">
        <v>2327</v>
      </c>
      <c r="I706" t="s">
        <v>41</v>
      </c>
      <c r="J706">
        <v>4</v>
      </c>
      <c r="K706">
        <v>4</v>
      </c>
      <c r="L706" t="str">
        <f t="shared" si="124"/>
        <v>520202</v>
      </c>
      <c r="N706" t="s">
        <v>2105</v>
      </c>
      <c r="O706" s="2">
        <v>46240.349976851852</v>
      </c>
      <c r="P706" s="2">
        <v>46240.349976851852</v>
      </c>
      <c r="Q706" s="2">
        <v>46240.349976851852</v>
      </c>
      <c r="R706" t="str">
        <f>"100010746"</f>
        <v>100010746</v>
      </c>
      <c r="S706" s="1">
        <v>47841</v>
      </c>
    </row>
    <row r="707" spans="1:19" x14ac:dyDescent="0.35">
      <c r="A707" t="s">
        <v>2182</v>
      </c>
      <c r="B707" t="s">
        <v>31</v>
      </c>
      <c r="C707" t="s">
        <v>2328</v>
      </c>
      <c r="D707" t="str">
        <f>"2501718021"</f>
        <v>2501718021</v>
      </c>
      <c r="E707" t="s">
        <v>1536</v>
      </c>
      <c r="F707" t="str">
        <f>"400420"</f>
        <v>400420</v>
      </c>
      <c r="G707" t="s">
        <v>1661</v>
      </c>
      <c r="H707" t="s">
        <v>2214</v>
      </c>
      <c r="I707" t="s">
        <v>37</v>
      </c>
      <c r="J707">
        <v>10</v>
      </c>
      <c r="K707">
        <v>10</v>
      </c>
      <c r="L707" t="str">
        <f>"521161"</f>
        <v>521161</v>
      </c>
      <c r="N707" t="s">
        <v>1556</v>
      </c>
      <c r="O707" s="2">
        <v>46238.606666666667</v>
      </c>
      <c r="P707" s="2">
        <v>46238.606666666667</v>
      </c>
      <c r="Q707" s="2">
        <v>46238.606666666667</v>
      </c>
      <c r="R707" t="str">
        <f>"153000420"</f>
        <v>153000420</v>
      </c>
      <c r="S707" s="1">
        <v>48025</v>
      </c>
    </row>
    <row r="708" spans="1:19" x14ac:dyDescent="0.35">
      <c r="A708" t="s">
        <v>2182</v>
      </c>
      <c r="B708" t="s">
        <v>31</v>
      </c>
      <c r="C708" t="s">
        <v>2329</v>
      </c>
      <c r="D708" t="str">
        <f>"2501718020"</f>
        <v>2501718020</v>
      </c>
      <c r="E708" t="s">
        <v>1536</v>
      </c>
      <c r="F708" t="str">
        <f>"400405"</f>
        <v>400405</v>
      </c>
      <c r="G708" t="s">
        <v>519</v>
      </c>
      <c r="H708" t="s">
        <v>2289</v>
      </c>
      <c r="I708" t="s">
        <v>37</v>
      </c>
      <c r="J708">
        <v>28</v>
      </c>
      <c r="K708">
        <v>40</v>
      </c>
      <c r="L708" t="str">
        <f>"521161"</f>
        <v>521161</v>
      </c>
      <c r="N708" t="s">
        <v>1556</v>
      </c>
      <c r="O708" s="2">
        <v>46238.606041666666</v>
      </c>
      <c r="P708" s="2">
        <v>46238.606041666666</v>
      </c>
      <c r="Q708" s="2">
        <v>46238.606041666666</v>
      </c>
      <c r="R708" t="str">
        <f>"153000440"</f>
        <v>153000440</v>
      </c>
      <c r="S708" s="1">
        <v>48036</v>
      </c>
    </row>
    <row r="709" spans="1:19" x14ac:dyDescent="0.35">
      <c r="A709" t="s">
        <v>2182</v>
      </c>
      <c r="B709" t="s">
        <v>31</v>
      </c>
      <c r="C709" t="s">
        <v>2329</v>
      </c>
      <c r="D709" t="str">
        <f>"2501718020"</f>
        <v>2501718020</v>
      </c>
      <c r="E709" t="s">
        <v>1536</v>
      </c>
      <c r="F709" t="str">
        <f>"400405"</f>
        <v>400405</v>
      </c>
      <c r="G709" t="s">
        <v>519</v>
      </c>
      <c r="H709" t="s">
        <v>2293</v>
      </c>
      <c r="I709" t="s">
        <v>37</v>
      </c>
      <c r="J709">
        <v>12</v>
      </c>
      <c r="K709">
        <v>40</v>
      </c>
      <c r="L709" t="str">
        <f>"521161"</f>
        <v>521161</v>
      </c>
      <c r="N709" t="s">
        <v>1556</v>
      </c>
      <c r="O709" s="2">
        <v>46238.605925925927</v>
      </c>
      <c r="P709" s="2">
        <v>46238.605925925927</v>
      </c>
      <c r="Q709" s="2">
        <v>46238.605925925927</v>
      </c>
      <c r="R709" t="str">
        <f>"153000440"</f>
        <v>153000440</v>
      </c>
      <c r="S709" s="1">
        <v>48036</v>
      </c>
    </row>
    <row r="710" spans="1:19" x14ac:dyDescent="0.35">
      <c r="A710" t="s">
        <v>2182</v>
      </c>
      <c r="B710" t="s">
        <v>31</v>
      </c>
      <c r="C710" t="s">
        <v>2330</v>
      </c>
      <c r="D710" t="str">
        <f>"2501718019"</f>
        <v>2501718019</v>
      </c>
      <c r="E710" t="s">
        <v>1536</v>
      </c>
      <c r="F710" t="str">
        <f>"400479"</f>
        <v>400479</v>
      </c>
      <c r="G710" t="s">
        <v>2304</v>
      </c>
      <c r="H710" t="s">
        <v>2305</v>
      </c>
      <c r="I710" t="s">
        <v>41</v>
      </c>
      <c r="J710">
        <v>2</v>
      </c>
      <c r="K710">
        <v>4</v>
      </c>
      <c r="L710" t="str">
        <f>"521187"</f>
        <v>521187</v>
      </c>
      <c r="N710" t="s">
        <v>1875</v>
      </c>
      <c r="O710" s="2">
        <v>46238.439340277779</v>
      </c>
      <c r="P710" s="2">
        <v>46238.439340277779</v>
      </c>
      <c r="Q710" s="2">
        <v>46238.439340277779</v>
      </c>
      <c r="R710" t="str">
        <f>"100011172"</f>
        <v>100011172</v>
      </c>
      <c r="S710" s="1">
        <v>47839</v>
      </c>
    </row>
    <row r="711" spans="1:19" x14ac:dyDescent="0.35">
      <c r="A711" t="s">
        <v>2182</v>
      </c>
      <c r="B711" t="s">
        <v>31</v>
      </c>
      <c r="C711" t="s">
        <v>2330</v>
      </c>
      <c r="D711" t="str">
        <f>"2501718019"</f>
        <v>2501718019</v>
      </c>
      <c r="E711" t="s">
        <v>1536</v>
      </c>
      <c r="F711" t="str">
        <f>"400479"</f>
        <v>400479</v>
      </c>
      <c r="G711" t="s">
        <v>2304</v>
      </c>
      <c r="H711" t="s">
        <v>2331</v>
      </c>
      <c r="I711" t="s">
        <v>41</v>
      </c>
      <c r="J711">
        <v>2</v>
      </c>
      <c r="K711">
        <v>4</v>
      </c>
      <c r="L711" t="str">
        <f>"521187"</f>
        <v>521187</v>
      </c>
      <c r="N711" t="s">
        <v>1875</v>
      </c>
      <c r="O711" s="2">
        <v>46238.439155092594</v>
      </c>
      <c r="P711" s="2">
        <v>46238.439155092594</v>
      </c>
      <c r="Q711" s="2">
        <v>46238.439155092594</v>
      </c>
      <c r="R711" t="str">
        <f>"100011172"</f>
        <v>100011172</v>
      </c>
      <c r="S711" s="1">
        <v>47839</v>
      </c>
    </row>
    <row r="712" spans="1:19" x14ac:dyDescent="0.35">
      <c r="A712" t="s">
        <v>2182</v>
      </c>
      <c r="B712" t="s">
        <v>31</v>
      </c>
      <c r="C712" t="s">
        <v>2332</v>
      </c>
      <c r="D712" t="str">
        <f>"2501718009"</f>
        <v>2501718009</v>
      </c>
      <c r="E712" t="s">
        <v>1536</v>
      </c>
      <c r="F712" t="str">
        <f>"400903"</f>
        <v>400903</v>
      </c>
      <c r="G712" t="s">
        <v>1712</v>
      </c>
      <c r="H712" t="s">
        <v>2274</v>
      </c>
      <c r="I712" t="s">
        <v>41</v>
      </c>
      <c r="J712">
        <v>1</v>
      </c>
      <c r="K712">
        <v>1</v>
      </c>
      <c r="L712" t="str">
        <f>"520617"</f>
        <v>520617</v>
      </c>
      <c r="N712" t="s">
        <v>1715</v>
      </c>
      <c r="O712" s="2">
        <v>46237.375648148147</v>
      </c>
      <c r="P712" s="2">
        <v>46237.375648148147</v>
      </c>
      <c r="Q712" s="2">
        <v>46237.375648148147</v>
      </c>
      <c r="R712" t="str">
        <f>"600000971"</f>
        <v>600000971</v>
      </c>
      <c r="S712" s="1">
        <v>47897</v>
      </c>
    </row>
    <row r="713" spans="1:19" x14ac:dyDescent="0.35">
      <c r="A713" t="s">
        <v>2182</v>
      </c>
      <c r="B713" t="s">
        <v>31</v>
      </c>
      <c r="C713" t="s">
        <v>2332</v>
      </c>
      <c r="D713" t="str">
        <f>"2501718009"</f>
        <v>2501718009</v>
      </c>
      <c r="E713" t="s">
        <v>1536</v>
      </c>
      <c r="F713" t="str">
        <f>"400903"</f>
        <v>400903</v>
      </c>
      <c r="G713" t="s">
        <v>1712</v>
      </c>
      <c r="H713" t="s">
        <v>2333</v>
      </c>
      <c r="I713" t="s">
        <v>41</v>
      </c>
      <c r="J713">
        <v>4</v>
      </c>
      <c r="K713">
        <v>4</v>
      </c>
      <c r="L713" t="str">
        <f>"520617"</f>
        <v>520617</v>
      </c>
      <c r="N713" t="s">
        <v>1715</v>
      </c>
      <c r="O713" s="2">
        <v>46237.375601851854</v>
      </c>
      <c r="P713" s="2">
        <v>46237.375601851854</v>
      </c>
      <c r="Q713" s="2">
        <v>46237.375601851854</v>
      </c>
      <c r="R713" t="str">
        <f>"600000986"</f>
        <v>600000986</v>
      </c>
      <c r="S713" s="1">
        <v>47897</v>
      </c>
    </row>
    <row r="714" spans="1:19" x14ac:dyDescent="0.35">
      <c r="A714" t="s">
        <v>2182</v>
      </c>
      <c r="B714" t="s">
        <v>31</v>
      </c>
      <c r="C714" t="s">
        <v>2332</v>
      </c>
      <c r="D714" t="str">
        <f>"2501718009"</f>
        <v>2501718009</v>
      </c>
      <c r="E714" t="s">
        <v>1536</v>
      </c>
      <c r="F714" t="str">
        <f>"400903"</f>
        <v>400903</v>
      </c>
      <c r="G714" t="s">
        <v>1712</v>
      </c>
      <c r="H714" t="s">
        <v>2334</v>
      </c>
      <c r="I714" t="s">
        <v>41</v>
      </c>
      <c r="J714">
        <v>4</v>
      </c>
      <c r="K714">
        <v>4</v>
      </c>
      <c r="L714" t="str">
        <f>"520617"</f>
        <v>520617</v>
      </c>
      <c r="N714" t="s">
        <v>1715</v>
      </c>
      <c r="O714" s="2">
        <v>46237.375543981485</v>
      </c>
      <c r="P714" s="2">
        <v>46237.375543981485</v>
      </c>
      <c r="Q714" s="2">
        <v>46237.375543981485</v>
      </c>
      <c r="R714" t="str">
        <f>"600000994"</f>
        <v>600000994</v>
      </c>
      <c r="S714" s="1">
        <v>47897</v>
      </c>
    </row>
    <row r="715" spans="1:19" x14ac:dyDescent="0.35">
      <c r="A715" t="s">
        <v>2182</v>
      </c>
      <c r="B715" t="s">
        <v>31</v>
      </c>
      <c r="C715" t="s">
        <v>2332</v>
      </c>
      <c r="D715" t="str">
        <f>"2501718009"</f>
        <v>2501718009</v>
      </c>
      <c r="E715" t="s">
        <v>1536</v>
      </c>
      <c r="F715" t="str">
        <f>"400903"</f>
        <v>400903</v>
      </c>
      <c r="G715" t="s">
        <v>1712</v>
      </c>
      <c r="H715" t="s">
        <v>2335</v>
      </c>
      <c r="I715" t="s">
        <v>41</v>
      </c>
      <c r="J715">
        <v>1</v>
      </c>
      <c r="K715">
        <v>1</v>
      </c>
      <c r="L715" t="str">
        <f>"520617"</f>
        <v>520617</v>
      </c>
      <c r="N715" t="s">
        <v>1715</v>
      </c>
      <c r="O715" s="2">
        <v>46237.375462962962</v>
      </c>
      <c r="P715" s="2">
        <v>46237.375462962962</v>
      </c>
      <c r="Q715" s="2">
        <v>46237.375462962962</v>
      </c>
      <c r="R715" t="str">
        <f>"600000995"</f>
        <v>600000995</v>
      </c>
      <c r="S715" s="1">
        <v>47897</v>
      </c>
    </row>
    <row r="716" spans="1:19" x14ac:dyDescent="0.35">
      <c r="A716" t="s">
        <v>2182</v>
      </c>
      <c r="B716" t="s">
        <v>31</v>
      </c>
      <c r="C716" t="s">
        <v>2336</v>
      </c>
      <c r="D716" t="str">
        <f>"2501718003"</f>
        <v>2501718003</v>
      </c>
      <c r="E716" t="s">
        <v>1536</v>
      </c>
      <c r="F716" t="str">
        <f>"400402"</f>
        <v>400402</v>
      </c>
      <c r="G716" t="s">
        <v>1665</v>
      </c>
      <c r="H716" t="s">
        <v>2323</v>
      </c>
      <c r="I716" t="s">
        <v>37</v>
      </c>
      <c r="J716">
        <v>32</v>
      </c>
      <c r="K716">
        <v>50</v>
      </c>
      <c r="L716" t="str">
        <f>"521152"</f>
        <v>521152</v>
      </c>
      <c r="N716" t="s">
        <v>1681</v>
      </c>
      <c r="O716" s="2">
        <v>46237.376226851855</v>
      </c>
      <c r="P716" s="2">
        <v>46237.376226851855</v>
      </c>
      <c r="Q716" s="2">
        <v>46237.376226851855</v>
      </c>
      <c r="R716" t="str">
        <f>"153000363"</f>
        <v>153000363</v>
      </c>
      <c r="S716" s="1">
        <v>48006</v>
      </c>
    </row>
    <row r="717" spans="1:19" x14ac:dyDescent="0.35">
      <c r="A717" t="s">
        <v>2182</v>
      </c>
      <c r="B717" t="s">
        <v>31</v>
      </c>
      <c r="C717" t="s">
        <v>2336</v>
      </c>
      <c r="D717" t="str">
        <f>"2501718003"</f>
        <v>2501718003</v>
      </c>
      <c r="E717" t="s">
        <v>1536</v>
      </c>
      <c r="F717" t="str">
        <f>"400402"</f>
        <v>400402</v>
      </c>
      <c r="G717" t="s">
        <v>1665</v>
      </c>
      <c r="H717" t="s">
        <v>2337</v>
      </c>
      <c r="I717" t="s">
        <v>37</v>
      </c>
      <c r="J717">
        <v>18</v>
      </c>
      <c r="K717">
        <v>50</v>
      </c>
      <c r="L717" t="str">
        <f>"521152"</f>
        <v>521152</v>
      </c>
      <c r="N717" t="s">
        <v>1681</v>
      </c>
      <c r="O717" s="2">
        <v>46237.376099537039</v>
      </c>
      <c r="P717" s="2">
        <v>46237.376099537039</v>
      </c>
      <c r="Q717" s="2">
        <v>46237.376099537039</v>
      </c>
      <c r="R717" t="str">
        <f>"153000363"</f>
        <v>153000363</v>
      </c>
      <c r="S717" s="1">
        <v>48006</v>
      </c>
    </row>
    <row r="718" spans="1:19" x14ac:dyDescent="0.35">
      <c r="A718" t="s">
        <v>2182</v>
      </c>
      <c r="B718" t="s">
        <v>31</v>
      </c>
      <c r="C718" t="s">
        <v>2338</v>
      </c>
      <c r="D718" t="str">
        <f>"2501717987"</f>
        <v>2501717987</v>
      </c>
      <c r="E718" t="s">
        <v>1536</v>
      </c>
      <c r="F718" t="str">
        <f>"400904"</f>
        <v>400904</v>
      </c>
      <c r="G718" t="s">
        <v>167</v>
      </c>
      <c r="H718" t="s">
        <v>2339</v>
      </c>
      <c r="I718" t="s">
        <v>41</v>
      </c>
      <c r="J718">
        <v>1</v>
      </c>
      <c r="K718">
        <v>1</v>
      </c>
      <c r="L718" t="str">
        <f>"521234"</f>
        <v>521234</v>
      </c>
      <c r="N718" t="s">
        <v>1583</v>
      </c>
      <c r="O718" s="2">
        <v>46237.370208333334</v>
      </c>
      <c r="P718" s="2">
        <v>46237.370208333334</v>
      </c>
      <c r="Q718" s="2">
        <v>46237.370208333334</v>
      </c>
      <c r="R718" t="str">
        <f>"400003955"</f>
        <v>400003955</v>
      </c>
      <c r="S718" s="1">
        <v>47839</v>
      </c>
    </row>
    <row r="719" spans="1:19" x14ac:dyDescent="0.35">
      <c r="A719" t="s">
        <v>2182</v>
      </c>
      <c r="B719" t="s">
        <v>31</v>
      </c>
      <c r="C719" t="s">
        <v>2338</v>
      </c>
      <c r="D719" t="str">
        <f>"2501717987"</f>
        <v>2501717987</v>
      </c>
      <c r="E719" t="s">
        <v>1536</v>
      </c>
      <c r="F719" t="str">
        <f>"401093"</f>
        <v>401093</v>
      </c>
      <c r="G719" t="s">
        <v>2340</v>
      </c>
      <c r="H719" t="s">
        <v>2341</v>
      </c>
      <c r="I719" t="s">
        <v>41</v>
      </c>
      <c r="J719">
        <v>2</v>
      </c>
      <c r="K719">
        <v>4</v>
      </c>
      <c r="L719" t="str">
        <f>"521234"</f>
        <v>521234</v>
      </c>
      <c r="N719" t="s">
        <v>1583</v>
      </c>
      <c r="O719" s="2">
        <v>46237.369953703703</v>
      </c>
      <c r="P719" s="2">
        <v>46237.369953703703</v>
      </c>
      <c r="Q719" s="2">
        <v>46237.369953703703</v>
      </c>
      <c r="R719" t="str">
        <f>"100010457"</f>
        <v>100010457</v>
      </c>
      <c r="S719" s="1">
        <v>47775</v>
      </c>
    </row>
    <row r="720" spans="1:19" x14ac:dyDescent="0.35">
      <c r="A720" t="s">
        <v>2182</v>
      </c>
      <c r="B720" t="s">
        <v>31</v>
      </c>
      <c r="C720" t="s">
        <v>2338</v>
      </c>
      <c r="D720" t="str">
        <f>"2501717987"</f>
        <v>2501717987</v>
      </c>
      <c r="E720" t="s">
        <v>1536</v>
      </c>
      <c r="F720" t="str">
        <f>"401093"</f>
        <v>401093</v>
      </c>
      <c r="G720" t="s">
        <v>2340</v>
      </c>
      <c r="H720" t="s">
        <v>2342</v>
      </c>
      <c r="I720" t="s">
        <v>41</v>
      </c>
      <c r="J720">
        <v>2</v>
      </c>
      <c r="K720">
        <v>4</v>
      </c>
      <c r="L720" t="str">
        <f>"521234"</f>
        <v>521234</v>
      </c>
      <c r="N720" t="s">
        <v>1583</v>
      </c>
      <c r="O720" s="2">
        <v>46237.369849537034</v>
      </c>
      <c r="P720" s="2">
        <v>46237.369849537034</v>
      </c>
      <c r="Q720" s="2">
        <v>46237.369849537034</v>
      </c>
      <c r="R720" t="str">
        <f>"100010457"</f>
        <v>100010457</v>
      </c>
      <c r="S720" s="1">
        <v>47775</v>
      </c>
    </row>
    <row r="721" spans="1:19" x14ac:dyDescent="0.35">
      <c r="A721" t="s">
        <v>2182</v>
      </c>
      <c r="B721" t="s">
        <v>31</v>
      </c>
      <c r="C721" t="s">
        <v>2343</v>
      </c>
      <c r="D721" t="str">
        <f t="shared" ref="D721:D739" si="125">"2501718010"</f>
        <v>2501718010</v>
      </c>
      <c r="E721" t="s">
        <v>1536</v>
      </c>
      <c r="F721" t="str">
        <f>"400398"</f>
        <v>400398</v>
      </c>
      <c r="G721" t="s">
        <v>1562</v>
      </c>
      <c r="H721" t="s">
        <v>2278</v>
      </c>
      <c r="I721" t="s">
        <v>41</v>
      </c>
      <c r="J721">
        <v>2</v>
      </c>
      <c r="K721">
        <v>6</v>
      </c>
      <c r="L721" t="str">
        <f t="shared" ref="L721:L739" si="126">"520192"</f>
        <v>520192</v>
      </c>
      <c r="N721" t="s">
        <v>1678</v>
      </c>
      <c r="O721" s="2">
        <v>46237.377326388887</v>
      </c>
      <c r="P721" s="2">
        <v>46237.377326388887</v>
      </c>
      <c r="Q721" s="2">
        <v>46237.377326388887</v>
      </c>
      <c r="R721" t="str">
        <f>"153000247"</f>
        <v>153000247</v>
      </c>
      <c r="S721" s="1">
        <v>47950</v>
      </c>
    </row>
    <row r="722" spans="1:19" x14ac:dyDescent="0.35">
      <c r="A722" t="s">
        <v>2182</v>
      </c>
      <c r="B722" t="s">
        <v>31</v>
      </c>
      <c r="C722" t="s">
        <v>2343</v>
      </c>
      <c r="D722" t="str">
        <f t="shared" si="125"/>
        <v>2501718010</v>
      </c>
      <c r="E722" t="s">
        <v>1536</v>
      </c>
      <c r="F722" t="str">
        <f>"400398"</f>
        <v>400398</v>
      </c>
      <c r="G722" t="s">
        <v>1562</v>
      </c>
      <c r="H722" t="s">
        <v>2344</v>
      </c>
      <c r="I722" t="s">
        <v>41</v>
      </c>
      <c r="J722">
        <v>4</v>
      </c>
      <c r="K722">
        <v>6</v>
      </c>
      <c r="L722" t="str">
        <f t="shared" si="126"/>
        <v>520192</v>
      </c>
      <c r="N722" t="s">
        <v>1678</v>
      </c>
      <c r="O722" s="2">
        <v>46237.377291666664</v>
      </c>
      <c r="P722" s="2">
        <v>46237.377291666664</v>
      </c>
      <c r="Q722" s="2">
        <v>46237.377291666664</v>
      </c>
      <c r="R722" t="str">
        <f>"153000247"</f>
        <v>153000247</v>
      </c>
      <c r="S722" s="1">
        <v>47950</v>
      </c>
    </row>
    <row r="723" spans="1:19" x14ac:dyDescent="0.35">
      <c r="A723" t="s">
        <v>2182</v>
      </c>
      <c r="B723" t="s">
        <v>31</v>
      </c>
      <c r="C723" t="s">
        <v>2343</v>
      </c>
      <c r="D723" t="str">
        <f t="shared" si="125"/>
        <v>2501718010</v>
      </c>
      <c r="E723" t="s">
        <v>1536</v>
      </c>
      <c r="F723" t="str">
        <f>"400398"</f>
        <v>400398</v>
      </c>
      <c r="G723" t="s">
        <v>1562</v>
      </c>
      <c r="H723" t="s">
        <v>2345</v>
      </c>
      <c r="I723" t="s">
        <v>41</v>
      </c>
      <c r="J723">
        <v>2</v>
      </c>
      <c r="K723">
        <v>2</v>
      </c>
      <c r="L723" t="str">
        <f t="shared" si="126"/>
        <v>520192</v>
      </c>
      <c r="N723" t="s">
        <v>1678</v>
      </c>
      <c r="O723" s="2">
        <v>46237.377245370371</v>
      </c>
      <c r="P723" s="2">
        <v>46237.377256944441</v>
      </c>
      <c r="Q723" s="2">
        <v>46237.377256944441</v>
      </c>
      <c r="R723" t="str">
        <f>"100011196"</f>
        <v>100011196</v>
      </c>
      <c r="S723" s="1">
        <v>47857</v>
      </c>
    </row>
    <row r="724" spans="1:19" x14ac:dyDescent="0.35">
      <c r="A724" t="s">
        <v>2182</v>
      </c>
      <c r="B724" t="s">
        <v>31</v>
      </c>
      <c r="C724" t="s">
        <v>2343</v>
      </c>
      <c r="D724" t="str">
        <f t="shared" si="125"/>
        <v>2501718010</v>
      </c>
      <c r="E724" t="s">
        <v>1536</v>
      </c>
      <c r="F724" t="str">
        <f>"400398"</f>
        <v>400398</v>
      </c>
      <c r="G724" t="s">
        <v>1562</v>
      </c>
      <c r="H724" t="s">
        <v>2346</v>
      </c>
      <c r="I724" t="s">
        <v>41</v>
      </c>
      <c r="J724">
        <v>4</v>
      </c>
      <c r="K724">
        <v>4</v>
      </c>
      <c r="L724" t="str">
        <f t="shared" si="126"/>
        <v>520192</v>
      </c>
      <c r="N724" t="s">
        <v>1678</v>
      </c>
      <c r="O724" s="2">
        <v>46237.377210648148</v>
      </c>
      <c r="P724" s="2">
        <v>46237.377210648148</v>
      </c>
      <c r="Q724" s="2">
        <v>46237.377210648148</v>
      </c>
      <c r="R724" t="str">
        <f>"153000010"</f>
        <v>153000010</v>
      </c>
      <c r="S724" s="1">
        <v>47857</v>
      </c>
    </row>
    <row r="725" spans="1:19" x14ac:dyDescent="0.35">
      <c r="A725" t="s">
        <v>2182</v>
      </c>
      <c r="B725" t="s">
        <v>31</v>
      </c>
      <c r="C725" t="s">
        <v>2343</v>
      </c>
      <c r="D725" t="str">
        <f t="shared" si="125"/>
        <v>2501718010</v>
      </c>
      <c r="E725" t="s">
        <v>1536</v>
      </c>
      <c r="F725" t="str">
        <f>"400903"</f>
        <v>400903</v>
      </c>
      <c r="G725" t="s">
        <v>1712</v>
      </c>
      <c r="H725" t="s">
        <v>2335</v>
      </c>
      <c r="I725" t="s">
        <v>41</v>
      </c>
      <c r="J725">
        <v>3</v>
      </c>
      <c r="K725">
        <v>3</v>
      </c>
      <c r="L725" t="str">
        <f t="shared" si="126"/>
        <v>520192</v>
      </c>
      <c r="N725" t="s">
        <v>1678</v>
      </c>
      <c r="O725" s="2">
        <v>46237.377175925925</v>
      </c>
      <c r="P725" s="2">
        <v>46237.377175925925</v>
      </c>
      <c r="Q725" s="2">
        <v>46237.377175925925</v>
      </c>
      <c r="R725" t="str">
        <f>"600000995"</f>
        <v>600000995</v>
      </c>
      <c r="S725" s="1">
        <v>47897</v>
      </c>
    </row>
    <row r="726" spans="1:19" x14ac:dyDescent="0.35">
      <c r="A726" t="s">
        <v>2182</v>
      </c>
      <c r="B726" t="s">
        <v>31</v>
      </c>
      <c r="C726" t="s">
        <v>2343</v>
      </c>
      <c r="D726" t="str">
        <f t="shared" si="125"/>
        <v>2501718010</v>
      </c>
      <c r="E726" t="s">
        <v>1536</v>
      </c>
      <c r="F726" t="str">
        <f>"400903"</f>
        <v>400903</v>
      </c>
      <c r="G726" t="s">
        <v>1712</v>
      </c>
      <c r="H726" t="s">
        <v>2347</v>
      </c>
      <c r="I726" t="s">
        <v>41</v>
      </c>
      <c r="J726">
        <v>4</v>
      </c>
      <c r="K726">
        <v>7</v>
      </c>
      <c r="L726" t="str">
        <f t="shared" si="126"/>
        <v>520192</v>
      </c>
      <c r="N726" t="s">
        <v>1678</v>
      </c>
      <c r="O726" s="2">
        <v>46237.377129629633</v>
      </c>
      <c r="P726" s="2">
        <v>46237.377129629633</v>
      </c>
      <c r="Q726" s="2">
        <v>46237.377129629633</v>
      </c>
      <c r="R726" t="str">
        <f>"600000986"</f>
        <v>600000986</v>
      </c>
      <c r="S726" s="1">
        <v>47897</v>
      </c>
    </row>
    <row r="727" spans="1:19" x14ac:dyDescent="0.35">
      <c r="A727" t="s">
        <v>2182</v>
      </c>
      <c r="B727" t="s">
        <v>31</v>
      </c>
      <c r="C727" t="s">
        <v>2343</v>
      </c>
      <c r="D727" t="str">
        <f t="shared" si="125"/>
        <v>2501718010</v>
      </c>
      <c r="E727" t="s">
        <v>1536</v>
      </c>
      <c r="F727" t="str">
        <f>"400903"</f>
        <v>400903</v>
      </c>
      <c r="G727" t="s">
        <v>1712</v>
      </c>
      <c r="H727" t="s">
        <v>2237</v>
      </c>
      <c r="I727" t="s">
        <v>41</v>
      </c>
      <c r="J727">
        <v>3</v>
      </c>
      <c r="K727">
        <v>7</v>
      </c>
      <c r="L727" t="str">
        <f t="shared" si="126"/>
        <v>520192</v>
      </c>
      <c r="N727" t="s">
        <v>1678</v>
      </c>
      <c r="O727" s="2">
        <v>46237.37709490741</v>
      </c>
      <c r="P727" s="2">
        <v>46237.37709490741</v>
      </c>
      <c r="Q727" s="2">
        <v>46237.37709490741</v>
      </c>
      <c r="R727" t="str">
        <f>"600000986"</f>
        <v>600000986</v>
      </c>
      <c r="S727" s="1">
        <v>47897</v>
      </c>
    </row>
    <row r="728" spans="1:19" x14ac:dyDescent="0.35">
      <c r="A728" t="s">
        <v>2182</v>
      </c>
      <c r="B728" t="s">
        <v>31</v>
      </c>
      <c r="C728" t="s">
        <v>2343</v>
      </c>
      <c r="D728" t="str">
        <f t="shared" si="125"/>
        <v>2501718010</v>
      </c>
      <c r="E728" t="s">
        <v>1536</v>
      </c>
      <c r="F728" t="str">
        <f>"400903"</f>
        <v>400903</v>
      </c>
      <c r="G728" t="s">
        <v>1712</v>
      </c>
      <c r="H728" t="s">
        <v>2238</v>
      </c>
      <c r="I728" t="s">
        <v>41</v>
      </c>
      <c r="J728">
        <v>2</v>
      </c>
      <c r="K728">
        <v>2</v>
      </c>
      <c r="L728" t="str">
        <f t="shared" si="126"/>
        <v>520192</v>
      </c>
      <c r="N728" t="s">
        <v>1678</v>
      </c>
      <c r="O728" s="2">
        <v>46237.37704861111</v>
      </c>
      <c r="P728" s="2">
        <v>46237.37704861111</v>
      </c>
      <c r="Q728" s="2">
        <v>46237.37704861111</v>
      </c>
      <c r="R728" t="str">
        <f>"600000994"</f>
        <v>600000994</v>
      </c>
      <c r="S728" s="1">
        <v>47897</v>
      </c>
    </row>
    <row r="729" spans="1:19" x14ac:dyDescent="0.35">
      <c r="A729" t="s">
        <v>2182</v>
      </c>
      <c r="B729" t="s">
        <v>31</v>
      </c>
      <c r="C729" t="s">
        <v>2343</v>
      </c>
      <c r="D729" t="str">
        <f t="shared" si="125"/>
        <v>2501718010</v>
      </c>
      <c r="E729" t="s">
        <v>1536</v>
      </c>
      <c r="F729" t="str">
        <f>"400411"</f>
        <v>400411</v>
      </c>
      <c r="G729" t="s">
        <v>1537</v>
      </c>
      <c r="H729" t="s">
        <v>2348</v>
      </c>
      <c r="I729" t="s">
        <v>41</v>
      </c>
      <c r="J729">
        <v>4</v>
      </c>
      <c r="K729">
        <v>4</v>
      </c>
      <c r="L729" t="str">
        <f t="shared" si="126"/>
        <v>520192</v>
      </c>
      <c r="N729" t="s">
        <v>1678</v>
      </c>
      <c r="O729" s="2">
        <v>46237.377013888887</v>
      </c>
      <c r="P729" s="2">
        <v>46237.377013888887</v>
      </c>
      <c r="Q729" s="2">
        <v>46237.377013888887</v>
      </c>
      <c r="R729" t="str">
        <f>"153000352"</f>
        <v>153000352</v>
      </c>
      <c r="S729" s="1">
        <v>48002</v>
      </c>
    </row>
    <row r="730" spans="1:19" x14ac:dyDescent="0.35">
      <c r="A730" t="s">
        <v>2182</v>
      </c>
      <c r="B730" t="s">
        <v>31</v>
      </c>
      <c r="C730" t="s">
        <v>2343</v>
      </c>
      <c r="D730" t="str">
        <f t="shared" si="125"/>
        <v>2501718010</v>
      </c>
      <c r="E730" t="s">
        <v>1536</v>
      </c>
      <c r="F730" t="str">
        <f>"400902"</f>
        <v>400902</v>
      </c>
      <c r="G730" t="s">
        <v>1627</v>
      </c>
      <c r="H730" t="s">
        <v>2349</v>
      </c>
      <c r="I730" t="s">
        <v>37</v>
      </c>
      <c r="J730">
        <v>26</v>
      </c>
      <c r="K730">
        <v>50</v>
      </c>
      <c r="L730" t="str">
        <f t="shared" si="126"/>
        <v>520192</v>
      </c>
      <c r="N730" t="s">
        <v>1678</v>
      </c>
      <c r="O730" s="2">
        <v>46237.376979166664</v>
      </c>
      <c r="P730" s="2">
        <v>46237.376979166664</v>
      </c>
      <c r="Q730" s="2">
        <v>46237.376979166664</v>
      </c>
      <c r="R730" t="str">
        <f>"950001504"</f>
        <v>950001504</v>
      </c>
      <c r="S730" s="1">
        <v>48042</v>
      </c>
    </row>
    <row r="731" spans="1:19" x14ac:dyDescent="0.35">
      <c r="A731" t="s">
        <v>2182</v>
      </c>
      <c r="B731" t="s">
        <v>31</v>
      </c>
      <c r="C731" t="s">
        <v>2343</v>
      </c>
      <c r="D731" t="str">
        <f t="shared" si="125"/>
        <v>2501718010</v>
      </c>
      <c r="E731" t="s">
        <v>1536</v>
      </c>
      <c r="F731" t="str">
        <f>"400902"</f>
        <v>400902</v>
      </c>
      <c r="G731" t="s">
        <v>1627</v>
      </c>
      <c r="H731" t="s">
        <v>2350</v>
      </c>
      <c r="I731" t="s">
        <v>37</v>
      </c>
      <c r="J731">
        <v>24</v>
      </c>
      <c r="K731">
        <v>50</v>
      </c>
      <c r="L731" t="str">
        <f t="shared" si="126"/>
        <v>520192</v>
      </c>
      <c r="N731" t="s">
        <v>1678</v>
      </c>
      <c r="O731" s="2">
        <v>46237.376932870371</v>
      </c>
      <c r="P731" s="2">
        <v>46237.376932870371</v>
      </c>
      <c r="Q731" s="2">
        <v>46237.376932870371</v>
      </c>
      <c r="R731" t="str">
        <f>"950001504"</f>
        <v>950001504</v>
      </c>
      <c r="S731" s="1">
        <v>48042</v>
      </c>
    </row>
    <row r="732" spans="1:19" x14ac:dyDescent="0.35">
      <c r="A732" t="s">
        <v>2182</v>
      </c>
      <c r="B732" t="s">
        <v>31</v>
      </c>
      <c r="C732" t="s">
        <v>2343</v>
      </c>
      <c r="D732" t="str">
        <f t="shared" si="125"/>
        <v>2501718010</v>
      </c>
      <c r="E732" t="s">
        <v>1536</v>
      </c>
      <c r="F732" t="str">
        <f t="shared" ref="F732:F737" si="127">"400426"</f>
        <v>400426</v>
      </c>
      <c r="G732" t="s">
        <v>34</v>
      </c>
      <c r="H732" t="s">
        <v>2234</v>
      </c>
      <c r="I732" t="s">
        <v>37</v>
      </c>
      <c r="J732">
        <v>2</v>
      </c>
      <c r="K732">
        <v>50</v>
      </c>
      <c r="L732" t="str">
        <f t="shared" si="126"/>
        <v>520192</v>
      </c>
      <c r="N732" t="s">
        <v>1678</v>
      </c>
      <c r="O732" s="2">
        <v>46237.376898148148</v>
      </c>
      <c r="P732" s="2">
        <v>46237.376898148148</v>
      </c>
      <c r="Q732" s="2">
        <v>46237.376898148148</v>
      </c>
      <c r="R732" t="str">
        <f>"153000404"</f>
        <v>153000404</v>
      </c>
      <c r="S732" s="1">
        <v>48018</v>
      </c>
    </row>
    <row r="733" spans="1:19" x14ac:dyDescent="0.35">
      <c r="A733" t="s">
        <v>2182</v>
      </c>
      <c r="B733" t="s">
        <v>31</v>
      </c>
      <c r="C733" t="s">
        <v>2343</v>
      </c>
      <c r="D733" t="str">
        <f t="shared" si="125"/>
        <v>2501718010</v>
      </c>
      <c r="E733" t="s">
        <v>1536</v>
      </c>
      <c r="F733" t="str">
        <f t="shared" si="127"/>
        <v>400426</v>
      </c>
      <c r="G733" t="s">
        <v>34</v>
      </c>
      <c r="H733" t="s">
        <v>2351</v>
      </c>
      <c r="I733" t="s">
        <v>37</v>
      </c>
      <c r="J733">
        <v>24</v>
      </c>
      <c r="K733">
        <v>50</v>
      </c>
      <c r="L733" t="str">
        <f t="shared" si="126"/>
        <v>520192</v>
      </c>
      <c r="N733" t="s">
        <v>1678</v>
      </c>
      <c r="O733" s="2">
        <v>46237.376863425925</v>
      </c>
      <c r="P733" s="2">
        <v>46237.376863425925</v>
      </c>
      <c r="Q733" s="2">
        <v>46237.376863425925</v>
      </c>
      <c r="R733" t="str">
        <f>"153000404"</f>
        <v>153000404</v>
      </c>
      <c r="S733" s="1">
        <v>48018</v>
      </c>
    </row>
    <row r="734" spans="1:19" x14ac:dyDescent="0.35">
      <c r="A734" t="s">
        <v>2182</v>
      </c>
      <c r="B734" t="s">
        <v>31</v>
      </c>
      <c r="C734" t="s">
        <v>2343</v>
      </c>
      <c r="D734" t="str">
        <f t="shared" si="125"/>
        <v>2501718010</v>
      </c>
      <c r="E734" t="s">
        <v>1536</v>
      </c>
      <c r="F734" t="str">
        <f t="shared" si="127"/>
        <v>400426</v>
      </c>
      <c r="G734" t="s">
        <v>34</v>
      </c>
      <c r="H734" t="s">
        <v>2352</v>
      </c>
      <c r="I734" t="s">
        <v>37</v>
      </c>
      <c r="J734">
        <v>24</v>
      </c>
      <c r="K734">
        <v>50</v>
      </c>
      <c r="L734" t="str">
        <f t="shared" si="126"/>
        <v>520192</v>
      </c>
      <c r="N734" t="s">
        <v>1678</v>
      </c>
      <c r="O734" s="2">
        <v>46237.376817129632</v>
      </c>
      <c r="P734" s="2">
        <v>46237.376817129632</v>
      </c>
      <c r="Q734" s="2">
        <v>46237.376817129632</v>
      </c>
      <c r="R734" t="str">
        <f>"153000404"</f>
        <v>153000404</v>
      </c>
      <c r="S734" s="1">
        <v>48018</v>
      </c>
    </row>
    <row r="735" spans="1:19" x14ac:dyDescent="0.35">
      <c r="A735" t="s">
        <v>2182</v>
      </c>
      <c r="B735" t="s">
        <v>31</v>
      </c>
      <c r="C735" t="s">
        <v>2343</v>
      </c>
      <c r="D735" t="str">
        <f t="shared" si="125"/>
        <v>2501718010</v>
      </c>
      <c r="E735" t="s">
        <v>1536</v>
      </c>
      <c r="F735" t="str">
        <f t="shared" si="127"/>
        <v>400426</v>
      </c>
      <c r="G735" t="s">
        <v>34</v>
      </c>
      <c r="H735" t="s">
        <v>2353</v>
      </c>
      <c r="I735" t="s">
        <v>37</v>
      </c>
      <c r="J735">
        <v>24</v>
      </c>
      <c r="K735">
        <v>24</v>
      </c>
      <c r="L735" t="str">
        <f t="shared" si="126"/>
        <v>520192</v>
      </c>
      <c r="N735" t="s">
        <v>1678</v>
      </c>
      <c r="O735" s="2">
        <v>46237.376770833333</v>
      </c>
      <c r="P735" s="2">
        <v>46237.376770833333</v>
      </c>
      <c r="Q735" s="2">
        <v>46237.376770833333</v>
      </c>
      <c r="R735" t="str">
        <f>"153000403"</f>
        <v>153000403</v>
      </c>
      <c r="S735" s="1">
        <v>48018</v>
      </c>
    </row>
    <row r="736" spans="1:19" x14ac:dyDescent="0.35">
      <c r="A736" t="s">
        <v>2182</v>
      </c>
      <c r="B736" t="s">
        <v>31</v>
      </c>
      <c r="C736" t="s">
        <v>2343</v>
      </c>
      <c r="D736" t="str">
        <f t="shared" si="125"/>
        <v>2501718010</v>
      </c>
      <c r="E736" t="s">
        <v>1536</v>
      </c>
      <c r="F736" t="str">
        <f t="shared" si="127"/>
        <v>400426</v>
      </c>
      <c r="G736" t="s">
        <v>34</v>
      </c>
      <c r="H736" t="s">
        <v>2354</v>
      </c>
      <c r="I736" t="s">
        <v>37</v>
      </c>
      <c r="J736">
        <v>24</v>
      </c>
      <c r="K736">
        <v>26</v>
      </c>
      <c r="L736" t="str">
        <f t="shared" si="126"/>
        <v>520192</v>
      </c>
      <c r="N736" t="s">
        <v>1678</v>
      </c>
      <c r="O736" s="2">
        <v>46237.37672453704</v>
      </c>
      <c r="P736" s="2">
        <v>46237.37672453704</v>
      </c>
      <c r="Q736" s="2">
        <v>46237.37672453704</v>
      </c>
      <c r="R736" t="str">
        <f>"153000400"</f>
        <v>153000400</v>
      </c>
      <c r="S736" s="1">
        <v>48015</v>
      </c>
    </row>
    <row r="737" spans="1:19" x14ac:dyDescent="0.35">
      <c r="A737" t="s">
        <v>2182</v>
      </c>
      <c r="B737" t="s">
        <v>31</v>
      </c>
      <c r="C737" t="s">
        <v>2343</v>
      </c>
      <c r="D737" t="str">
        <f t="shared" si="125"/>
        <v>2501718010</v>
      </c>
      <c r="E737" t="s">
        <v>1536</v>
      </c>
      <c r="F737" t="str">
        <f t="shared" si="127"/>
        <v>400426</v>
      </c>
      <c r="G737" t="s">
        <v>34</v>
      </c>
      <c r="H737" t="s">
        <v>2272</v>
      </c>
      <c r="I737" t="s">
        <v>37</v>
      </c>
      <c r="J737">
        <v>2</v>
      </c>
      <c r="K737">
        <v>26</v>
      </c>
      <c r="L737" t="str">
        <f t="shared" si="126"/>
        <v>520192</v>
      </c>
      <c r="N737" t="s">
        <v>1678</v>
      </c>
      <c r="O737" s="2">
        <v>46237.37667824074</v>
      </c>
      <c r="P737" s="2">
        <v>46237.37667824074</v>
      </c>
      <c r="Q737" s="2">
        <v>46237.37667824074</v>
      </c>
      <c r="R737" t="str">
        <f>"153000400"</f>
        <v>153000400</v>
      </c>
      <c r="S737" s="1">
        <v>48015</v>
      </c>
    </row>
    <row r="738" spans="1:19" x14ac:dyDescent="0.35">
      <c r="A738" t="s">
        <v>2182</v>
      </c>
      <c r="B738" t="s">
        <v>31</v>
      </c>
      <c r="C738" t="s">
        <v>2343</v>
      </c>
      <c r="D738" t="str">
        <f t="shared" si="125"/>
        <v>2501718010</v>
      </c>
      <c r="E738" t="s">
        <v>1536</v>
      </c>
      <c r="F738" t="str">
        <f>"400409"</f>
        <v>400409</v>
      </c>
      <c r="G738" t="s">
        <v>1888</v>
      </c>
      <c r="H738" t="s">
        <v>2355</v>
      </c>
      <c r="I738" t="s">
        <v>37</v>
      </c>
      <c r="J738">
        <v>40</v>
      </c>
      <c r="K738">
        <v>80</v>
      </c>
      <c r="L738" t="str">
        <f t="shared" si="126"/>
        <v>520192</v>
      </c>
      <c r="N738" t="s">
        <v>1678</v>
      </c>
      <c r="O738" s="2">
        <v>46237.376643518517</v>
      </c>
      <c r="P738" s="2">
        <v>46237.376643518517</v>
      </c>
      <c r="Q738" s="2">
        <v>46237.376643518517</v>
      </c>
      <c r="R738" t="str">
        <f>"153000333"</f>
        <v>153000333</v>
      </c>
      <c r="S738" s="1">
        <v>47986</v>
      </c>
    </row>
    <row r="739" spans="1:19" x14ac:dyDescent="0.35">
      <c r="A739" t="s">
        <v>2182</v>
      </c>
      <c r="B739" t="s">
        <v>31</v>
      </c>
      <c r="C739" t="s">
        <v>2343</v>
      </c>
      <c r="D739" t="str">
        <f t="shared" si="125"/>
        <v>2501718010</v>
      </c>
      <c r="E739" t="s">
        <v>1536</v>
      </c>
      <c r="F739" t="str">
        <f>"400409"</f>
        <v>400409</v>
      </c>
      <c r="G739" t="s">
        <v>1888</v>
      </c>
      <c r="H739" t="s">
        <v>2356</v>
      </c>
      <c r="I739" t="s">
        <v>37</v>
      </c>
      <c r="J739">
        <v>40</v>
      </c>
      <c r="K739">
        <v>80</v>
      </c>
      <c r="L739" t="str">
        <f t="shared" si="126"/>
        <v>520192</v>
      </c>
      <c r="N739" t="s">
        <v>1678</v>
      </c>
      <c r="O739" s="2">
        <v>46237.376574074071</v>
      </c>
      <c r="P739" s="2">
        <v>46237.376574074071</v>
      </c>
      <c r="Q739" s="2">
        <v>46237.376574074071</v>
      </c>
      <c r="R739" t="str">
        <f>"153000333"</f>
        <v>153000333</v>
      </c>
      <c r="S739" s="1">
        <v>47986</v>
      </c>
    </row>
    <row r="740" spans="1:19" x14ac:dyDescent="0.35">
      <c r="A740" t="s">
        <v>2182</v>
      </c>
      <c r="B740" t="s">
        <v>31</v>
      </c>
      <c r="C740" t="s">
        <v>2357</v>
      </c>
      <c r="D740" t="str">
        <f t="shared" ref="D740:D773" si="128">"2501717986"</f>
        <v>2501717986</v>
      </c>
      <c r="E740" t="s">
        <v>1536</v>
      </c>
      <c r="F740" t="str">
        <f t="shared" ref="F740:F747" si="129">"400514"</f>
        <v>400514</v>
      </c>
      <c r="G740" t="s">
        <v>429</v>
      </c>
      <c r="H740" t="s">
        <v>2358</v>
      </c>
      <c r="I740" t="s">
        <v>41</v>
      </c>
      <c r="J740">
        <v>4</v>
      </c>
      <c r="K740">
        <v>32</v>
      </c>
      <c r="L740" t="str">
        <f t="shared" ref="L740:L773" si="130">"520609"</f>
        <v>520609</v>
      </c>
      <c r="N740" t="s">
        <v>1693</v>
      </c>
      <c r="O740" s="2">
        <v>46237.37909722222</v>
      </c>
      <c r="P740" s="2">
        <v>46237.37909722222</v>
      </c>
      <c r="Q740" s="2">
        <v>46237.37909722222</v>
      </c>
      <c r="R740" t="str">
        <f t="shared" ref="R740:R747" si="131">"100010764"</f>
        <v>100010764</v>
      </c>
      <c r="S740" s="1">
        <v>47805</v>
      </c>
    </row>
    <row r="741" spans="1:19" x14ac:dyDescent="0.35">
      <c r="A741" t="s">
        <v>2182</v>
      </c>
      <c r="B741" t="s">
        <v>31</v>
      </c>
      <c r="C741" t="s">
        <v>2357</v>
      </c>
      <c r="D741" t="str">
        <f t="shared" si="128"/>
        <v>2501717986</v>
      </c>
      <c r="E741" t="s">
        <v>1536</v>
      </c>
      <c r="F741" t="str">
        <f t="shared" si="129"/>
        <v>400514</v>
      </c>
      <c r="G741" t="s">
        <v>429</v>
      </c>
      <c r="H741" t="s">
        <v>2358</v>
      </c>
      <c r="I741" t="s">
        <v>41</v>
      </c>
      <c r="J741">
        <v>4</v>
      </c>
      <c r="K741">
        <v>32</v>
      </c>
      <c r="L741" t="str">
        <f t="shared" si="130"/>
        <v>520609</v>
      </c>
      <c r="N741" t="s">
        <v>1693</v>
      </c>
      <c r="O741" s="2">
        <v>46237.379050925927</v>
      </c>
      <c r="P741" s="2">
        <v>46237.379050925927</v>
      </c>
      <c r="Q741" s="2">
        <v>46237.379050925927</v>
      </c>
      <c r="R741" t="str">
        <f t="shared" si="131"/>
        <v>100010764</v>
      </c>
      <c r="S741" s="1">
        <v>47805</v>
      </c>
    </row>
    <row r="742" spans="1:19" x14ac:dyDescent="0.35">
      <c r="A742" t="s">
        <v>2182</v>
      </c>
      <c r="B742" t="s">
        <v>31</v>
      </c>
      <c r="C742" t="s">
        <v>2357</v>
      </c>
      <c r="D742" t="str">
        <f t="shared" si="128"/>
        <v>2501717986</v>
      </c>
      <c r="E742" t="s">
        <v>1536</v>
      </c>
      <c r="F742" t="str">
        <f t="shared" si="129"/>
        <v>400514</v>
      </c>
      <c r="G742" t="s">
        <v>429</v>
      </c>
      <c r="H742" t="s">
        <v>2358</v>
      </c>
      <c r="I742" t="s">
        <v>41</v>
      </c>
      <c r="J742">
        <v>4</v>
      </c>
      <c r="K742">
        <v>32</v>
      </c>
      <c r="L742" t="str">
        <f t="shared" si="130"/>
        <v>520609</v>
      </c>
      <c r="N742" t="s">
        <v>1693</v>
      </c>
      <c r="O742" s="2">
        <v>46237.379016203704</v>
      </c>
      <c r="P742" s="2">
        <v>46237.379016203704</v>
      </c>
      <c r="Q742" s="2">
        <v>46237.379016203704</v>
      </c>
      <c r="R742" t="str">
        <f t="shared" si="131"/>
        <v>100010764</v>
      </c>
      <c r="S742" s="1">
        <v>47805</v>
      </c>
    </row>
    <row r="743" spans="1:19" x14ac:dyDescent="0.35">
      <c r="A743" t="s">
        <v>2182</v>
      </c>
      <c r="B743" t="s">
        <v>31</v>
      </c>
      <c r="C743" t="s">
        <v>2357</v>
      </c>
      <c r="D743" t="str">
        <f t="shared" si="128"/>
        <v>2501717986</v>
      </c>
      <c r="E743" t="s">
        <v>1536</v>
      </c>
      <c r="F743" t="str">
        <f t="shared" si="129"/>
        <v>400514</v>
      </c>
      <c r="G743" t="s">
        <v>429</v>
      </c>
      <c r="H743" t="s">
        <v>2359</v>
      </c>
      <c r="I743" t="s">
        <v>41</v>
      </c>
      <c r="J743">
        <v>4</v>
      </c>
      <c r="K743">
        <v>32</v>
      </c>
      <c r="L743" t="str">
        <f t="shared" si="130"/>
        <v>520609</v>
      </c>
      <c r="N743" t="s">
        <v>1693</v>
      </c>
      <c r="O743" s="2">
        <v>46237.378969907404</v>
      </c>
      <c r="P743" s="2">
        <v>46237.378969907404</v>
      </c>
      <c r="Q743" s="2">
        <v>46237.378969907404</v>
      </c>
      <c r="R743" t="str">
        <f t="shared" si="131"/>
        <v>100010764</v>
      </c>
      <c r="S743" s="1">
        <v>47805</v>
      </c>
    </row>
    <row r="744" spans="1:19" x14ac:dyDescent="0.35">
      <c r="A744" t="s">
        <v>2182</v>
      </c>
      <c r="B744" t="s">
        <v>31</v>
      </c>
      <c r="C744" t="s">
        <v>2357</v>
      </c>
      <c r="D744" t="str">
        <f t="shared" si="128"/>
        <v>2501717986</v>
      </c>
      <c r="E744" t="s">
        <v>1536</v>
      </c>
      <c r="F744" t="str">
        <f t="shared" si="129"/>
        <v>400514</v>
      </c>
      <c r="G744" t="s">
        <v>429</v>
      </c>
      <c r="H744" t="s">
        <v>2359</v>
      </c>
      <c r="I744" t="s">
        <v>41</v>
      </c>
      <c r="J744">
        <v>4</v>
      </c>
      <c r="K744">
        <v>32</v>
      </c>
      <c r="L744" t="str">
        <f t="shared" si="130"/>
        <v>520609</v>
      </c>
      <c r="N744" t="s">
        <v>1693</v>
      </c>
      <c r="O744" s="2">
        <v>46237.378923611112</v>
      </c>
      <c r="P744" s="2">
        <v>46237.378923611112</v>
      </c>
      <c r="Q744" s="2">
        <v>46237.378923611112</v>
      </c>
      <c r="R744" t="str">
        <f t="shared" si="131"/>
        <v>100010764</v>
      </c>
      <c r="S744" s="1">
        <v>47805</v>
      </c>
    </row>
    <row r="745" spans="1:19" x14ac:dyDescent="0.35">
      <c r="A745" t="s">
        <v>2182</v>
      </c>
      <c r="B745" t="s">
        <v>31</v>
      </c>
      <c r="C745" t="s">
        <v>2357</v>
      </c>
      <c r="D745" t="str">
        <f t="shared" si="128"/>
        <v>2501717986</v>
      </c>
      <c r="E745" t="s">
        <v>1536</v>
      </c>
      <c r="F745" t="str">
        <f t="shared" si="129"/>
        <v>400514</v>
      </c>
      <c r="G745" t="s">
        <v>429</v>
      </c>
      <c r="H745" t="s">
        <v>2359</v>
      </c>
      <c r="I745" t="s">
        <v>41</v>
      </c>
      <c r="J745">
        <v>4</v>
      </c>
      <c r="K745">
        <v>32</v>
      </c>
      <c r="L745" t="str">
        <f t="shared" si="130"/>
        <v>520609</v>
      </c>
      <c r="N745" t="s">
        <v>1693</v>
      </c>
      <c r="O745" s="2">
        <v>46237.378877314812</v>
      </c>
      <c r="P745" s="2">
        <v>46237.378877314812</v>
      </c>
      <c r="Q745" s="2">
        <v>46237.378877314812</v>
      </c>
      <c r="R745" t="str">
        <f t="shared" si="131"/>
        <v>100010764</v>
      </c>
      <c r="S745" s="1">
        <v>47805</v>
      </c>
    </row>
    <row r="746" spans="1:19" x14ac:dyDescent="0.35">
      <c r="A746" t="s">
        <v>2182</v>
      </c>
      <c r="B746" t="s">
        <v>31</v>
      </c>
      <c r="C746" t="s">
        <v>2357</v>
      </c>
      <c r="D746" t="str">
        <f t="shared" si="128"/>
        <v>2501717986</v>
      </c>
      <c r="E746" t="s">
        <v>1536</v>
      </c>
      <c r="F746" t="str">
        <f t="shared" si="129"/>
        <v>400514</v>
      </c>
      <c r="G746" t="s">
        <v>429</v>
      </c>
      <c r="H746" t="s">
        <v>2359</v>
      </c>
      <c r="I746" t="s">
        <v>41</v>
      </c>
      <c r="J746">
        <v>4</v>
      </c>
      <c r="K746">
        <v>32</v>
      </c>
      <c r="L746" t="str">
        <f t="shared" si="130"/>
        <v>520609</v>
      </c>
      <c r="N746" t="s">
        <v>1693</v>
      </c>
      <c r="O746" s="2">
        <v>46237.378842592596</v>
      </c>
      <c r="P746" s="2">
        <v>46237.378842592596</v>
      </c>
      <c r="Q746" s="2">
        <v>46237.378842592596</v>
      </c>
      <c r="R746" t="str">
        <f t="shared" si="131"/>
        <v>100010764</v>
      </c>
      <c r="S746" s="1">
        <v>47805</v>
      </c>
    </row>
    <row r="747" spans="1:19" x14ac:dyDescent="0.35">
      <c r="A747" t="s">
        <v>2182</v>
      </c>
      <c r="B747" t="s">
        <v>31</v>
      </c>
      <c r="C747" t="s">
        <v>2357</v>
      </c>
      <c r="D747" t="str">
        <f t="shared" si="128"/>
        <v>2501717986</v>
      </c>
      <c r="E747" t="s">
        <v>1536</v>
      </c>
      <c r="F747" t="str">
        <f t="shared" si="129"/>
        <v>400514</v>
      </c>
      <c r="G747" t="s">
        <v>429</v>
      </c>
      <c r="H747" t="s">
        <v>2359</v>
      </c>
      <c r="I747" t="s">
        <v>41</v>
      </c>
      <c r="J747">
        <v>4</v>
      </c>
      <c r="K747">
        <v>32</v>
      </c>
      <c r="L747" t="str">
        <f t="shared" si="130"/>
        <v>520609</v>
      </c>
      <c r="N747" t="s">
        <v>1693</v>
      </c>
      <c r="O747" s="2">
        <v>46237.378807870373</v>
      </c>
      <c r="P747" s="2">
        <v>46237.378807870373</v>
      </c>
      <c r="Q747" s="2">
        <v>46237.378807870373</v>
      </c>
      <c r="R747" t="str">
        <f t="shared" si="131"/>
        <v>100010764</v>
      </c>
      <c r="S747" s="1">
        <v>47805</v>
      </c>
    </row>
    <row r="748" spans="1:19" x14ac:dyDescent="0.35">
      <c r="A748" t="s">
        <v>2182</v>
      </c>
      <c r="B748" t="s">
        <v>31</v>
      </c>
      <c r="C748" t="s">
        <v>2357</v>
      </c>
      <c r="D748" t="str">
        <f t="shared" si="128"/>
        <v>2501717986</v>
      </c>
      <c r="E748" t="s">
        <v>1536</v>
      </c>
      <c r="F748" t="str">
        <f t="shared" ref="F748:F758" si="132">"400511"</f>
        <v>400511</v>
      </c>
      <c r="G748" t="s">
        <v>2360</v>
      </c>
      <c r="H748" t="s">
        <v>2346</v>
      </c>
      <c r="I748" t="s">
        <v>41</v>
      </c>
      <c r="J748">
        <v>1</v>
      </c>
      <c r="K748">
        <v>25</v>
      </c>
      <c r="L748" t="str">
        <f t="shared" si="130"/>
        <v>520609</v>
      </c>
      <c r="N748" t="s">
        <v>1693</v>
      </c>
      <c r="O748" s="2">
        <v>46237.378761574073</v>
      </c>
      <c r="P748" s="2">
        <v>46237.378761574073</v>
      </c>
      <c r="Q748" s="2">
        <v>46237.378761574073</v>
      </c>
      <c r="R748" t="str">
        <f>"100010288"</f>
        <v>100010288</v>
      </c>
      <c r="S748" s="1">
        <v>47761</v>
      </c>
    </row>
    <row r="749" spans="1:19" x14ac:dyDescent="0.35">
      <c r="A749" t="s">
        <v>2182</v>
      </c>
      <c r="B749" t="s">
        <v>31</v>
      </c>
      <c r="C749" t="s">
        <v>2357</v>
      </c>
      <c r="D749" t="str">
        <f t="shared" si="128"/>
        <v>2501717986</v>
      </c>
      <c r="E749" t="s">
        <v>1536</v>
      </c>
      <c r="F749" t="str">
        <f t="shared" si="132"/>
        <v>400511</v>
      </c>
      <c r="G749" t="s">
        <v>2360</v>
      </c>
      <c r="H749" t="s">
        <v>2361</v>
      </c>
      <c r="I749" t="s">
        <v>41</v>
      </c>
      <c r="J749">
        <v>4</v>
      </c>
      <c r="K749">
        <v>25</v>
      </c>
      <c r="L749" t="str">
        <f t="shared" si="130"/>
        <v>520609</v>
      </c>
      <c r="N749" t="s">
        <v>1693</v>
      </c>
      <c r="O749" s="2">
        <v>46237.37871527778</v>
      </c>
      <c r="P749" s="2">
        <v>46237.37871527778</v>
      </c>
      <c r="Q749" s="2">
        <v>46237.37871527778</v>
      </c>
      <c r="R749" t="str">
        <f>"100010288"</f>
        <v>100010288</v>
      </c>
      <c r="S749" s="1">
        <v>47761</v>
      </c>
    </row>
    <row r="750" spans="1:19" x14ac:dyDescent="0.35">
      <c r="A750" t="s">
        <v>2182</v>
      </c>
      <c r="B750" t="s">
        <v>31</v>
      </c>
      <c r="C750" t="s">
        <v>2357</v>
      </c>
      <c r="D750" t="str">
        <f t="shared" si="128"/>
        <v>2501717986</v>
      </c>
      <c r="E750" t="s">
        <v>1536</v>
      </c>
      <c r="F750" t="str">
        <f t="shared" si="132"/>
        <v>400511</v>
      </c>
      <c r="G750" t="s">
        <v>2360</v>
      </c>
      <c r="H750" t="s">
        <v>2361</v>
      </c>
      <c r="I750" t="s">
        <v>41</v>
      </c>
      <c r="J750">
        <v>4</v>
      </c>
      <c r="K750">
        <v>25</v>
      </c>
      <c r="L750" t="str">
        <f t="shared" si="130"/>
        <v>520609</v>
      </c>
      <c r="N750" t="s">
        <v>1693</v>
      </c>
      <c r="O750" s="2">
        <v>46237.378680555557</v>
      </c>
      <c r="P750" s="2">
        <v>46237.378680555557</v>
      </c>
      <c r="Q750" s="2">
        <v>46237.378680555557</v>
      </c>
      <c r="R750" t="str">
        <f>"100010288"</f>
        <v>100010288</v>
      </c>
      <c r="S750" s="1">
        <v>47761</v>
      </c>
    </row>
    <row r="751" spans="1:19" x14ac:dyDescent="0.35">
      <c r="A751" t="s">
        <v>2182</v>
      </c>
      <c r="B751" t="s">
        <v>31</v>
      </c>
      <c r="C751" t="s">
        <v>2357</v>
      </c>
      <c r="D751" t="str">
        <f t="shared" si="128"/>
        <v>2501717986</v>
      </c>
      <c r="E751" t="s">
        <v>1536</v>
      </c>
      <c r="F751" t="str">
        <f t="shared" si="132"/>
        <v>400511</v>
      </c>
      <c r="G751" t="s">
        <v>2360</v>
      </c>
      <c r="H751" t="s">
        <v>2361</v>
      </c>
      <c r="I751" t="s">
        <v>41</v>
      </c>
      <c r="J751">
        <v>4</v>
      </c>
      <c r="K751">
        <v>25</v>
      </c>
      <c r="L751" t="str">
        <f t="shared" si="130"/>
        <v>520609</v>
      </c>
      <c r="N751" t="s">
        <v>1693</v>
      </c>
      <c r="O751" s="2">
        <v>46237.378645833334</v>
      </c>
      <c r="P751" s="2">
        <v>46237.378645833334</v>
      </c>
      <c r="Q751" s="2">
        <v>46237.378645833334</v>
      </c>
      <c r="R751" t="str">
        <f>"100010288"</f>
        <v>100010288</v>
      </c>
      <c r="S751" s="1">
        <v>47761</v>
      </c>
    </row>
    <row r="752" spans="1:19" x14ac:dyDescent="0.35">
      <c r="A752" t="s">
        <v>2182</v>
      </c>
      <c r="B752" t="s">
        <v>31</v>
      </c>
      <c r="C752" t="s">
        <v>2357</v>
      </c>
      <c r="D752" t="str">
        <f t="shared" si="128"/>
        <v>2501717986</v>
      </c>
      <c r="E752" t="s">
        <v>1536</v>
      </c>
      <c r="F752" t="str">
        <f t="shared" si="132"/>
        <v>400511</v>
      </c>
      <c r="G752" t="s">
        <v>2360</v>
      </c>
      <c r="H752" t="s">
        <v>2362</v>
      </c>
      <c r="I752" t="s">
        <v>41</v>
      </c>
      <c r="J752">
        <v>1</v>
      </c>
      <c r="K752">
        <v>3</v>
      </c>
      <c r="L752" t="str">
        <f t="shared" si="130"/>
        <v>520609</v>
      </c>
      <c r="N752" t="s">
        <v>1693</v>
      </c>
      <c r="O752" s="2">
        <v>46237.378599537034</v>
      </c>
      <c r="P752" s="2">
        <v>46237.378599537034</v>
      </c>
      <c r="Q752" s="2">
        <v>46237.378599537034</v>
      </c>
      <c r="R752" t="str">
        <f>"100008094"</f>
        <v>100008094</v>
      </c>
      <c r="S752" s="1">
        <v>47761</v>
      </c>
    </row>
    <row r="753" spans="1:19" x14ac:dyDescent="0.35">
      <c r="A753" t="s">
        <v>2182</v>
      </c>
      <c r="B753" t="s">
        <v>31</v>
      </c>
      <c r="C753" t="s">
        <v>2357</v>
      </c>
      <c r="D753" t="str">
        <f t="shared" si="128"/>
        <v>2501717986</v>
      </c>
      <c r="E753" t="s">
        <v>1536</v>
      </c>
      <c r="F753" t="str">
        <f t="shared" si="132"/>
        <v>400511</v>
      </c>
      <c r="G753" t="s">
        <v>2360</v>
      </c>
      <c r="H753" t="s">
        <v>2363</v>
      </c>
      <c r="I753" t="s">
        <v>41</v>
      </c>
      <c r="J753">
        <v>2</v>
      </c>
      <c r="K753">
        <v>2</v>
      </c>
      <c r="L753" t="str">
        <f t="shared" si="130"/>
        <v>520609</v>
      </c>
      <c r="N753" t="s">
        <v>1693</v>
      </c>
      <c r="O753" s="2">
        <v>46237.378564814811</v>
      </c>
      <c r="P753" s="2">
        <v>46237.378564814811</v>
      </c>
      <c r="Q753" s="2">
        <v>46237.378564814811</v>
      </c>
      <c r="R753" t="str">
        <f>"100008889"</f>
        <v>100008889</v>
      </c>
      <c r="S753" s="1">
        <v>47761</v>
      </c>
    </row>
    <row r="754" spans="1:19" x14ac:dyDescent="0.35">
      <c r="A754" t="s">
        <v>2182</v>
      </c>
      <c r="B754" t="s">
        <v>31</v>
      </c>
      <c r="C754" t="s">
        <v>2357</v>
      </c>
      <c r="D754" t="str">
        <f t="shared" si="128"/>
        <v>2501717986</v>
      </c>
      <c r="E754" t="s">
        <v>1536</v>
      </c>
      <c r="F754" t="str">
        <f t="shared" si="132"/>
        <v>400511</v>
      </c>
      <c r="G754" t="s">
        <v>2360</v>
      </c>
      <c r="H754" t="s">
        <v>2364</v>
      </c>
      <c r="I754" t="s">
        <v>41</v>
      </c>
      <c r="J754">
        <v>4</v>
      </c>
      <c r="K754">
        <v>25</v>
      </c>
      <c r="L754" t="str">
        <f t="shared" si="130"/>
        <v>520609</v>
      </c>
      <c r="N754" t="s">
        <v>1693</v>
      </c>
      <c r="O754" s="2">
        <v>46237.378506944442</v>
      </c>
      <c r="P754" s="2">
        <v>46237.378506944442</v>
      </c>
      <c r="Q754" s="2">
        <v>46237.378506944442</v>
      </c>
      <c r="R754" t="str">
        <f>"100010288"</f>
        <v>100010288</v>
      </c>
      <c r="S754" s="1">
        <v>47761</v>
      </c>
    </row>
    <row r="755" spans="1:19" x14ac:dyDescent="0.35">
      <c r="A755" t="s">
        <v>2182</v>
      </c>
      <c r="B755" t="s">
        <v>31</v>
      </c>
      <c r="C755" t="s">
        <v>2357</v>
      </c>
      <c r="D755" t="str">
        <f t="shared" si="128"/>
        <v>2501717986</v>
      </c>
      <c r="E755" t="s">
        <v>1536</v>
      </c>
      <c r="F755" t="str">
        <f t="shared" si="132"/>
        <v>400511</v>
      </c>
      <c r="G755" t="s">
        <v>2360</v>
      </c>
      <c r="H755" t="s">
        <v>2365</v>
      </c>
      <c r="I755" t="s">
        <v>41</v>
      </c>
      <c r="J755">
        <v>4</v>
      </c>
      <c r="K755">
        <v>25</v>
      </c>
      <c r="L755" t="str">
        <f t="shared" si="130"/>
        <v>520609</v>
      </c>
      <c r="N755" t="s">
        <v>1693</v>
      </c>
      <c r="O755" s="2">
        <v>46237.378472222219</v>
      </c>
      <c r="P755" s="2">
        <v>46237.378472222219</v>
      </c>
      <c r="Q755" s="2">
        <v>46237.378472222219</v>
      </c>
      <c r="R755" t="str">
        <f>"100010288"</f>
        <v>100010288</v>
      </c>
      <c r="S755" s="1">
        <v>47761</v>
      </c>
    </row>
    <row r="756" spans="1:19" x14ac:dyDescent="0.35">
      <c r="A756" t="s">
        <v>2182</v>
      </c>
      <c r="B756" t="s">
        <v>31</v>
      </c>
      <c r="C756" t="s">
        <v>2357</v>
      </c>
      <c r="D756" t="str">
        <f t="shared" si="128"/>
        <v>2501717986</v>
      </c>
      <c r="E756" t="s">
        <v>1536</v>
      </c>
      <c r="F756" t="str">
        <f t="shared" si="132"/>
        <v>400511</v>
      </c>
      <c r="G756" t="s">
        <v>2360</v>
      </c>
      <c r="H756" t="s">
        <v>2366</v>
      </c>
      <c r="I756" t="s">
        <v>41</v>
      </c>
      <c r="J756">
        <v>4</v>
      </c>
      <c r="K756">
        <v>25</v>
      </c>
      <c r="L756" t="str">
        <f t="shared" si="130"/>
        <v>520609</v>
      </c>
      <c r="N756" t="s">
        <v>1693</v>
      </c>
      <c r="O756" s="2">
        <v>46237.378437500003</v>
      </c>
      <c r="P756" s="2">
        <v>46237.378437500003</v>
      </c>
      <c r="Q756" s="2">
        <v>46237.378437500003</v>
      </c>
      <c r="R756" t="str">
        <f>"100010288"</f>
        <v>100010288</v>
      </c>
      <c r="S756" s="1">
        <v>47761</v>
      </c>
    </row>
    <row r="757" spans="1:19" x14ac:dyDescent="0.35">
      <c r="A757" t="s">
        <v>2182</v>
      </c>
      <c r="B757" t="s">
        <v>31</v>
      </c>
      <c r="C757" t="s">
        <v>2357</v>
      </c>
      <c r="D757" t="str">
        <f t="shared" si="128"/>
        <v>2501717986</v>
      </c>
      <c r="E757" t="s">
        <v>1536</v>
      </c>
      <c r="F757" t="str">
        <f t="shared" si="132"/>
        <v>400511</v>
      </c>
      <c r="G757" t="s">
        <v>2360</v>
      </c>
      <c r="H757" t="s">
        <v>2367</v>
      </c>
      <c r="I757" t="s">
        <v>41</v>
      </c>
      <c r="J757">
        <v>2</v>
      </c>
      <c r="K757">
        <v>3</v>
      </c>
      <c r="L757" t="str">
        <f t="shared" si="130"/>
        <v>520609</v>
      </c>
      <c r="N757" t="s">
        <v>1693</v>
      </c>
      <c r="O757" s="2">
        <v>46237.378391203703</v>
      </c>
      <c r="P757" s="2">
        <v>46237.378391203703</v>
      </c>
      <c r="Q757" s="2">
        <v>46237.378391203703</v>
      </c>
      <c r="R757" t="str">
        <f>"100008094"</f>
        <v>100008094</v>
      </c>
      <c r="S757" s="1">
        <v>47761</v>
      </c>
    </row>
    <row r="758" spans="1:19" x14ac:dyDescent="0.35">
      <c r="A758" t="s">
        <v>2182</v>
      </c>
      <c r="B758" t="s">
        <v>31</v>
      </c>
      <c r="C758" t="s">
        <v>2357</v>
      </c>
      <c r="D758" t="str">
        <f t="shared" si="128"/>
        <v>2501717986</v>
      </c>
      <c r="E758" t="s">
        <v>1536</v>
      </c>
      <c r="F758" t="str">
        <f t="shared" si="132"/>
        <v>400511</v>
      </c>
      <c r="G758" t="s">
        <v>2360</v>
      </c>
      <c r="H758" t="s">
        <v>2368</v>
      </c>
      <c r="I758" t="s">
        <v>41</v>
      </c>
      <c r="J758">
        <v>2</v>
      </c>
      <c r="K758">
        <v>2</v>
      </c>
      <c r="L758" t="str">
        <f t="shared" si="130"/>
        <v>520609</v>
      </c>
      <c r="N758" t="s">
        <v>1693</v>
      </c>
      <c r="O758" s="2">
        <v>46237.378344907411</v>
      </c>
      <c r="P758" s="2">
        <v>46237.378344907411</v>
      </c>
      <c r="Q758" s="2">
        <v>46237.378344907411</v>
      </c>
      <c r="R758" t="str">
        <f>"100010032"</f>
        <v>100010032</v>
      </c>
      <c r="S758" s="1">
        <v>47761</v>
      </c>
    </row>
    <row r="759" spans="1:19" x14ac:dyDescent="0.35">
      <c r="A759" t="s">
        <v>2182</v>
      </c>
      <c r="B759" t="s">
        <v>31</v>
      </c>
      <c r="C759" t="s">
        <v>2357</v>
      </c>
      <c r="D759" t="str">
        <f t="shared" si="128"/>
        <v>2501717986</v>
      </c>
      <c r="E759" t="s">
        <v>1536</v>
      </c>
      <c r="F759" t="str">
        <f t="shared" ref="F759:F773" si="133">"400441"</f>
        <v>400441</v>
      </c>
      <c r="G759" t="s">
        <v>65</v>
      </c>
      <c r="H759" t="s">
        <v>2300</v>
      </c>
      <c r="I759" t="s">
        <v>41</v>
      </c>
      <c r="J759">
        <v>2</v>
      </c>
      <c r="K759">
        <v>56</v>
      </c>
      <c r="L759" t="str">
        <f t="shared" si="130"/>
        <v>520609</v>
      </c>
      <c r="N759" t="s">
        <v>1693</v>
      </c>
      <c r="O759" s="2">
        <v>46237.378310185188</v>
      </c>
      <c r="P759" s="2">
        <v>46237.378310185188</v>
      </c>
      <c r="Q759" s="2">
        <v>46237.378310185188</v>
      </c>
      <c r="R759" t="str">
        <f t="shared" ref="R759:R773" si="134">"153000271"</f>
        <v>153000271</v>
      </c>
      <c r="S759" s="1">
        <v>47965</v>
      </c>
    </row>
    <row r="760" spans="1:19" x14ac:dyDescent="0.35">
      <c r="A760" t="s">
        <v>2182</v>
      </c>
      <c r="B760" t="s">
        <v>31</v>
      </c>
      <c r="C760" t="s">
        <v>2357</v>
      </c>
      <c r="D760" t="str">
        <f t="shared" si="128"/>
        <v>2501717986</v>
      </c>
      <c r="E760" t="s">
        <v>1536</v>
      </c>
      <c r="F760" t="str">
        <f t="shared" si="133"/>
        <v>400441</v>
      </c>
      <c r="G760" t="s">
        <v>65</v>
      </c>
      <c r="H760" t="s">
        <v>2300</v>
      </c>
      <c r="I760" t="s">
        <v>41</v>
      </c>
      <c r="J760">
        <v>4</v>
      </c>
      <c r="K760">
        <v>56</v>
      </c>
      <c r="L760" t="str">
        <f t="shared" si="130"/>
        <v>520609</v>
      </c>
      <c r="N760" t="s">
        <v>1693</v>
      </c>
      <c r="O760" s="2">
        <v>46237.378275462965</v>
      </c>
      <c r="P760" s="2">
        <v>46237.378275462965</v>
      </c>
      <c r="Q760" s="2">
        <v>46237.378275462965</v>
      </c>
      <c r="R760" t="str">
        <f t="shared" si="134"/>
        <v>153000271</v>
      </c>
      <c r="S760" s="1">
        <v>47965</v>
      </c>
    </row>
    <row r="761" spans="1:19" x14ac:dyDescent="0.35">
      <c r="A761" t="s">
        <v>2182</v>
      </c>
      <c r="B761" t="s">
        <v>31</v>
      </c>
      <c r="C761" t="s">
        <v>2357</v>
      </c>
      <c r="D761" t="str">
        <f t="shared" si="128"/>
        <v>2501717986</v>
      </c>
      <c r="E761" t="s">
        <v>1536</v>
      </c>
      <c r="F761" t="str">
        <f t="shared" si="133"/>
        <v>400441</v>
      </c>
      <c r="G761" t="s">
        <v>65</v>
      </c>
      <c r="H761" t="s">
        <v>2369</v>
      </c>
      <c r="I761" t="s">
        <v>41</v>
      </c>
      <c r="J761">
        <v>4</v>
      </c>
      <c r="K761">
        <v>56</v>
      </c>
      <c r="L761" t="str">
        <f t="shared" si="130"/>
        <v>520609</v>
      </c>
      <c r="N761" t="s">
        <v>1693</v>
      </c>
      <c r="O761" s="2">
        <v>46237.378229166665</v>
      </c>
      <c r="P761" s="2">
        <v>46237.378229166665</v>
      </c>
      <c r="Q761" s="2">
        <v>46237.378229166665</v>
      </c>
      <c r="R761" t="str">
        <f t="shared" si="134"/>
        <v>153000271</v>
      </c>
      <c r="S761" s="1">
        <v>47965</v>
      </c>
    </row>
    <row r="762" spans="1:19" x14ac:dyDescent="0.35">
      <c r="A762" t="s">
        <v>2182</v>
      </c>
      <c r="B762" t="s">
        <v>31</v>
      </c>
      <c r="C762" t="s">
        <v>2357</v>
      </c>
      <c r="D762" t="str">
        <f t="shared" si="128"/>
        <v>2501717986</v>
      </c>
      <c r="E762" t="s">
        <v>1536</v>
      </c>
      <c r="F762" t="str">
        <f t="shared" si="133"/>
        <v>400441</v>
      </c>
      <c r="G762" t="s">
        <v>65</v>
      </c>
      <c r="H762" t="s">
        <v>2369</v>
      </c>
      <c r="I762" t="s">
        <v>41</v>
      </c>
      <c r="J762">
        <v>4</v>
      </c>
      <c r="K762">
        <v>56</v>
      </c>
      <c r="L762" t="str">
        <f t="shared" si="130"/>
        <v>520609</v>
      </c>
      <c r="N762" t="s">
        <v>1693</v>
      </c>
      <c r="O762" s="2">
        <v>46237.378194444442</v>
      </c>
      <c r="P762" s="2">
        <v>46237.378194444442</v>
      </c>
      <c r="Q762" s="2">
        <v>46237.378194444442</v>
      </c>
      <c r="R762" t="str">
        <f t="shared" si="134"/>
        <v>153000271</v>
      </c>
      <c r="S762" s="1">
        <v>47965</v>
      </c>
    </row>
    <row r="763" spans="1:19" x14ac:dyDescent="0.35">
      <c r="A763" t="s">
        <v>2182</v>
      </c>
      <c r="B763" t="s">
        <v>31</v>
      </c>
      <c r="C763" t="s">
        <v>2357</v>
      </c>
      <c r="D763" t="str">
        <f t="shared" si="128"/>
        <v>2501717986</v>
      </c>
      <c r="E763" t="s">
        <v>1536</v>
      </c>
      <c r="F763" t="str">
        <f t="shared" si="133"/>
        <v>400441</v>
      </c>
      <c r="G763" t="s">
        <v>65</v>
      </c>
      <c r="H763" t="s">
        <v>2370</v>
      </c>
      <c r="I763" t="s">
        <v>41</v>
      </c>
      <c r="J763">
        <v>4</v>
      </c>
      <c r="K763">
        <v>56</v>
      </c>
      <c r="L763" t="str">
        <f t="shared" si="130"/>
        <v>520609</v>
      </c>
      <c r="N763" t="s">
        <v>1693</v>
      </c>
      <c r="O763" s="2">
        <v>46237.378159722219</v>
      </c>
      <c r="P763" s="2">
        <v>46237.378159722219</v>
      </c>
      <c r="Q763" s="2">
        <v>46237.378159722219</v>
      </c>
      <c r="R763" t="str">
        <f t="shared" si="134"/>
        <v>153000271</v>
      </c>
      <c r="S763" s="1">
        <v>47965</v>
      </c>
    </row>
    <row r="764" spans="1:19" x14ac:dyDescent="0.35">
      <c r="A764" t="s">
        <v>2182</v>
      </c>
      <c r="B764" t="s">
        <v>31</v>
      </c>
      <c r="C764" t="s">
        <v>2357</v>
      </c>
      <c r="D764" t="str">
        <f t="shared" si="128"/>
        <v>2501717986</v>
      </c>
      <c r="E764" t="s">
        <v>1536</v>
      </c>
      <c r="F764" t="str">
        <f t="shared" si="133"/>
        <v>400441</v>
      </c>
      <c r="G764" t="s">
        <v>65</v>
      </c>
      <c r="H764" t="s">
        <v>2371</v>
      </c>
      <c r="I764" t="s">
        <v>41</v>
      </c>
      <c r="J764">
        <v>4</v>
      </c>
      <c r="K764">
        <v>56</v>
      </c>
      <c r="L764" t="str">
        <f t="shared" si="130"/>
        <v>520609</v>
      </c>
      <c r="N764" t="s">
        <v>1693</v>
      </c>
      <c r="O764" s="2">
        <v>46237.378113425926</v>
      </c>
      <c r="P764" s="2">
        <v>46237.378113425926</v>
      </c>
      <c r="Q764" s="2">
        <v>46237.378113425926</v>
      </c>
      <c r="R764" t="str">
        <f t="shared" si="134"/>
        <v>153000271</v>
      </c>
      <c r="S764" s="1">
        <v>47965</v>
      </c>
    </row>
    <row r="765" spans="1:19" x14ac:dyDescent="0.35">
      <c r="A765" t="s">
        <v>2182</v>
      </c>
      <c r="B765" t="s">
        <v>31</v>
      </c>
      <c r="C765" t="s">
        <v>2357</v>
      </c>
      <c r="D765" t="str">
        <f t="shared" si="128"/>
        <v>2501717986</v>
      </c>
      <c r="E765" t="s">
        <v>1536</v>
      </c>
      <c r="F765" t="str">
        <f t="shared" si="133"/>
        <v>400441</v>
      </c>
      <c r="G765" t="s">
        <v>65</v>
      </c>
      <c r="H765" t="s">
        <v>2372</v>
      </c>
      <c r="I765" t="s">
        <v>41</v>
      </c>
      <c r="J765">
        <v>4</v>
      </c>
      <c r="K765">
        <v>56</v>
      </c>
      <c r="L765" t="str">
        <f t="shared" si="130"/>
        <v>520609</v>
      </c>
      <c r="N765" t="s">
        <v>1693</v>
      </c>
      <c r="O765" s="2">
        <v>46237.378078703703</v>
      </c>
      <c r="P765" s="2">
        <v>46237.378078703703</v>
      </c>
      <c r="Q765" s="2">
        <v>46237.378078703703</v>
      </c>
      <c r="R765" t="str">
        <f t="shared" si="134"/>
        <v>153000271</v>
      </c>
      <c r="S765" s="1">
        <v>47965</v>
      </c>
    </row>
    <row r="766" spans="1:19" x14ac:dyDescent="0.35">
      <c r="A766" t="s">
        <v>2182</v>
      </c>
      <c r="B766" t="s">
        <v>31</v>
      </c>
      <c r="C766" t="s">
        <v>2357</v>
      </c>
      <c r="D766" t="str">
        <f t="shared" si="128"/>
        <v>2501717986</v>
      </c>
      <c r="E766" t="s">
        <v>1536</v>
      </c>
      <c r="F766" t="str">
        <f t="shared" si="133"/>
        <v>400441</v>
      </c>
      <c r="G766" t="s">
        <v>65</v>
      </c>
      <c r="H766" t="s">
        <v>2373</v>
      </c>
      <c r="I766" t="s">
        <v>41</v>
      </c>
      <c r="J766">
        <v>4</v>
      </c>
      <c r="K766">
        <v>56</v>
      </c>
      <c r="L766" t="str">
        <f t="shared" si="130"/>
        <v>520609</v>
      </c>
      <c r="N766" t="s">
        <v>1693</v>
      </c>
      <c r="O766" s="2">
        <v>46237.37804398148</v>
      </c>
      <c r="P766" s="2">
        <v>46237.37804398148</v>
      </c>
      <c r="Q766" s="2">
        <v>46237.37804398148</v>
      </c>
      <c r="R766" t="str">
        <f t="shared" si="134"/>
        <v>153000271</v>
      </c>
      <c r="S766" s="1">
        <v>47965</v>
      </c>
    </row>
    <row r="767" spans="1:19" x14ac:dyDescent="0.35">
      <c r="A767" t="s">
        <v>2182</v>
      </c>
      <c r="B767" t="s">
        <v>31</v>
      </c>
      <c r="C767" t="s">
        <v>2357</v>
      </c>
      <c r="D767" t="str">
        <f t="shared" si="128"/>
        <v>2501717986</v>
      </c>
      <c r="E767" t="s">
        <v>1536</v>
      </c>
      <c r="F767" t="str">
        <f t="shared" si="133"/>
        <v>400441</v>
      </c>
      <c r="G767" t="s">
        <v>65</v>
      </c>
      <c r="H767" t="s">
        <v>2374</v>
      </c>
      <c r="I767" t="s">
        <v>41</v>
      </c>
      <c r="J767">
        <v>4</v>
      </c>
      <c r="K767">
        <v>56</v>
      </c>
      <c r="L767" t="str">
        <f t="shared" si="130"/>
        <v>520609</v>
      </c>
      <c r="N767" t="s">
        <v>1693</v>
      </c>
      <c r="O767" s="2">
        <v>46237.377997685187</v>
      </c>
      <c r="P767" s="2">
        <v>46237.377997685187</v>
      </c>
      <c r="Q767" s="2">
        <v>46237.377997685187</v>
      </c>
      <c r="R767" t="str">
        <f t="shared" si="134"/>
        <v>153000271</v>
      </c>
      <c r="S767" s="1">
        <v>47965</v>
      </c>
    </row>
    <row r="768" spans="1:19" x14ac:dyDescent="0.35">
      <c r="A768" t="s">
        <v>2182</v>
      </c>
      <c r="B768" t="s">
        <v>31</v>
      </c>
      <c r="C768" t="s">
        <v>2357</v>
      </c>
      <c r="D768" t="str">
        <f t="shared" si="128"/>
        <v>2501717986</v>
      </c>
      <c r="E768" t="s">
        <v>1536</v>
      </c>
      <c r="F768" t="str">
        <f t="shared" si="133"/>
        <v>400441</v>
      </c>
      <c r="G768" t="s">
        <v>65</v>
      </c>
      <c r="H768" t="s">
        <v>2375</v>
      </c>
      <c r="I768" t="s">
        <v>41</v>
      </c>
      <c r="J768">
        <v>4</v>
      </c>
      <c r="K768">
        <v>56</v>
      </c>
      <c r="L768" t="str">
        <f t="shared" si="130"/>
        <v>520609</v>
      </c>
      <c r="N768" t="s">
        <v>1693</v>
      </c>
      <c r="O768" s="2">
        <v>46237.377962962964</v>
      </c>
      <c r="P768" s="2">
        <v>46237.377962962964</v>
      </c>
      <c r="Q768" s="2">
        <v>46237.377962962964</v>
      </c>
      <c r="R768" t="str">
        <f t="shared" si="134"/>
        <v>153000271</v>
      </c>
      <c r="S768" s="1">
        <v>47965</v>
      </c>
    </row>
    <row r="769" spans="1:19" x14ac:dyDescent="0.35">
      <c r="A769" t="s">
        <v>2182</v>
      </c>
      <c r="B769" t="s">
        <v>31</v>
      </c>
      <c r="C769" t="s">
        <v>2357</v>
      </c>
      <c r="D769" t="str">
        <f t="shared" si="128"/>
        <v>2501717986</v>
      </c>
      <c r="E769" t="s">
        <v>1536</v>
      </c>
      <c r="F769" t="str">
        <f t="shared" si="133"/>
        <v>400441</v>
      </c>
      <c r="G769" t="s">
        <v>65</v>
      </c>
      <c r="H769" t="s">
        <v>2376</v>
      </c>
      <c r="I769" t="s">
        <v>41</v>
      </c>
      <c r="J769">
        <v>4</v>
      </c>
      <c r="K769">
        <v>56</v>
      </c>
      <c r="L769" t="str">
        <f t="shared" si="130"/>
        <v>520609</v>
      </c>
      <c r="N769" t="s">
        <v>1693</v>
      </c>
      <c r="O769" s="2">
        <v>46237.377939814818</v>
      </c>
      <c r="P769" s="2">
        <v>46237.377939814818</v>
      </c>
      <c r="Q769" s="2">
        <v>46237.377939814818</v>
      </c>
      <c r="R769" t="str">
        <f t="shared" si="134"/>
        <v>153000271</v>
      </c>
      <c r="S769" s="1">
        <v>47965</v>
      </c>
    </row>
    <row r="770" spans="1:19" x14ac:dyDescent="0.35">
      <c r="A770" t="s">
        <v>2182</v>
      </c>
      <c r="B770" t="s">
        <v>31</v>
      </c>
      <c r="C770" t="s">
        <v>2357</v>
      </c>
      <c r="D770" t="str">
        <f t="shared" si="128"/>
        <v>2501717986</v>
      </c>
      <c r="E770" t="s">
        <v>1536</v>
      </c>
      <c r="F770" t="str">
        <f t="shared" si="133"/>
        <v>400441</v>
      </c>
      <c r="G770" t="s">
        <v>65</v>
      </c>
      <c r="H770" t="s">
        <v>2303</v>
      </c>
      <c r="I770" t="s">
        <v>41</v>
      </c>
      <c r="J770">
        <v>4</v>
      </c>
      <c r="K770">
        <v>56</v>
      </c>
      <c r="L770" t="str">
        <f t="shared" si="130"/>
        <v>520609</v>
      </c>
      <c r="N770" t="s">
        <v>1693</v>
      </c>
      <c r="O770" s="2">
        <v>46237.377905092595</v>
      </c>
      <c r="P770" s="2">
        <v>46237.377905092595</v>
      </c>
      <c r="Q770" s="2">
        <v>46237.377905092595</v>
      </c>
      <c r="R770" t="str">
        <f t="shared" si="134"/>
        <v>153000271</v>
      </c>
      <c r="S770" s="1">
        <v>47965</v>
      </c>
    </row>
    <row r="771" spans="1:19" x14ac:dyDescent="0.35">
      <c r="A771" t="s">
        <v>2182</v>
      </c>
      <c r="B771" t="s">
        <v>31</v>
      </c>
      <c r="C771" t="s">
        <v>2357</v>
      </c>
      <c r="D771" t="str">
        <f t="shared" si="128"/>
        <v>2501717986</v>
      </c>
      <c r="E771" t="s">
        <v>1536</v>
      </c>
      <c r="F771" t="str">
        <f t="shared" si="133"/>
        <v>400441</v>
      </c>
      <c r="G771" t="s">
        <v>65</v>
      </c>
      <c r="H771" t="s">
        <v>2261</v>
      </c>
      <c r="I771" t="s">
        <v>41</v>
      </c>
      <c r="J771">
        <v>4</v>
      </c>
      <c r="K771">
        <v>56</v>
      </c>
      <c r="L771" t="str">
        <f t="shared" si="130"/>
        <v>520609</v>
      </c>
      <c r="N771" t="s">
        <v>1693</v>
      </c>
      <c r="O771" s="2">
        <v>46237.377858796295</v>
      </c>
      <c r="P771" s="2">
        <v>46237.377858796295</v>
      </c>
      <c r="Q771" s="2">
        <v>46237.377858796295</v>
      </c>
      <c r="R771" t="str">
        <f t="shared" si="134"/>
        <v>153000271</v>
      </c>
      <c r="S771" s="1">
        <v>47965</v>
      </c>
    </row>
    <row r="772" spans="1:19" x14ac:dyDescent="0.35">
      <c r="A772" t="s">
        <v>2182</v>
      </c>
      <c r="B772" t="s">
        <v>31</v>
      </c>
      <c r="C772" t="s">
        <v>2357</v>
      </c>
      <c r="D772" t="str">
        <f t="shared" si="128"/>
        <v>2501717986</v>
      </c>
      <c r="E772" t="s">
        <v>1536</v>
      </c>
      <c r="F772" t="str">
        <f t="shared" si="133"/>
        <v>400441</v>
      </c>
      <c r="G772" t="s">
        <v>65</v>
      </c>
      <c r="H772" t="s">
        <v>2377</v>
      </c>
      <c r="I772" t="s">
        <v>41</v>
      </c>
      <c r="J772">
        <v>4</v>
      </c>
      <c r="K772">
        <v>56</v>
      </c>
      <c r="L772" t="str">
        <f t="shared" si="130"/>
        <v>520609</v>
      </c>
      <c r="N772" t="s">
        <v>1693</v>
      </c>
      <c r="O772" s="2">
        <v>46237.377824074072</v>
      </c>
      <c r="P772" s="2">
        <v>46237.377824074072</v>
      </c>
      <c r="Q772" s="2">
        <v>46237.377824074072</v>
      </c>
      <c r="R772" t="str">
        <f t="shared" si="134"/>
        <v>153000271</v>
      </c>
      <c r="S772" s="1">
        <v>47965</v>
      </c>
    </row>
    <row r="773" spans="1:19" x14ac:dyDescent="0.35">
      <c r="A773" t="s">
        <v>2182</v>
      </c>
      <c r="B773" t="s">
        <v>31</v>
      </c>
      <c r="C773" t="s">
        <v>2357</v>
      </c>
      <c r="D773" t="str">
        <f t="shared" si="128"/>
        <v>2501717986</v>
      </c>
      <c r="E773" t="s">
        <v>1536</v>
      </c>
      <c r="F773" t="str">
        <f t="shared" si="133"/>
        <v>400441</v>
      </c>
      <c r="G773" t="s">
        <v>65</v>
      </c>
      <c r="H773" t="s">
        <v>2378</v>
      </c>
      <c r="I773" t="s">
        <v>41</v>
      </c>
      <c r="J773">
        <v>2</v>
      </c>
      <c r="K773">
        <v>56</v>
      </c>
      <c r="L773" t="str">
        <f t="shared" si="130"/>
        <v>520609</v>
      </c>
      <c r="N773" t="s">
        <v>1693</v>
      </c>
      <c r="O773" s="2">
        <v>46237.377754629626</v>
      </c>
      <c r="P773" s="2">
        <v>46237.377754629626</v>
      </c>
      <c r="Q773" s="2">
        <v>46237.377754629626</v>
      </c>
      <c r="R773" t="str">
        <f t="shared" si="134"/>
        <v>153000271</v>
      </c>
      <c r="S773" s="1">
        <v>47965</v>
      </c>
    </row>
    <row r="774" spans="1:19" x14ac:dyDescent="0.35">
      <c r="A774" t="s">
        <v>2182</v>
      </c>
      <c r="B774" t="s">
        <v>31</v>
      </c>
      <c r="C774" t="s">
        <v>2379</v>
      </c>
      <c r="D774" t="str">
        <f>"2501717894"</f>
        <v>2501717894</v>
      </c>
      <c r="E774" t="s">
        <v>1536</v>
      </c>
      <c r="F774" t="str">
        <f t="shared" ref="F774:F779" si="135">"400420"</f>
        <v>400420</v>
      </c>
      <c r="G774" t="s">
        <v>1661</v>
      </c>
      <c r="H774" t="s">
        <v>2214</v>
      </c>
      <c r="I774" t="s">
        <v>37</v>
      </c>
      <c r="J774">
        <v>6</v>
      </c>
      <c r="K774">
        <v>155</v>
      </c>
      <c r="L774" t="str">
        <f>"521088"</f>
        <v>521088</v>
      </c>
      <c r="N774" t="s">
        <v>1560</v>
      </c>
      <c r="O774" s="2">
        <v>46236.44017361111</v>
      </c>
      <c r="P774" s="2">
        <v>46236.44017361111</v>
      </c>
      <c r="Q774" s="2">
        <v>46236.44017361111</v>
      </c>
      <c r="R774" t="str">
        <f t="shared" ref="R774:R779" si="136">"153000420"</f>
        <v>153000420</v>
      </c>
      <c r="S774" s="1">
        <v>48025</v>
      </c>
    </row>
    <row r="775" spans="1:19" x14ac:dyDescent="0.35">
      <c r="A775" t="s">
        <v>2182</v>
      </c>
      <c r="B775" t="s">
        <v>31</v>
      </c>
      <c r="C775" t="s">
        <v>2379</v>
      </c>
      <c r="D775" t="str">
        <f>"2501717894"</f>
        <v>2501717894</v>
      </c>
      <c r="E775" t="s">
        <v>1536</v>
      </c>
      <c r="F775" t="str">
        <f t="shared" si="135"/>
        <v>400420</v>
      </c>
      <c r="G775" t="s">
        <v>1661</v>
      </c>
      <c r="H775" t="s">
        <v>2380</v>
      </c>
      <c r="I775" t="s">
        <v>37</v>
      </c>
      <c r="J775">
        <v>52</v>
      </c>
      <c r="K775">
        <v>155</v>
      </c>
      <c r="L775" t="str">
        <f>"521088"</f>
        <v>521088</v>
      </c>
      <c r="N775" t="s">
        <v>1560</v>
      </c>
      <c r="O775" s="2">
        <v>46236.439988425926</v>
      </c>
      <c r="P775" s="2">
        <v>46236.439988425926</v>
      </c>
      <c r="Q775" s="2">
        <v>46236.439988425926</v>
      </c>
      <c r="R775" t="str">
        <f t="shared" si="136"/>
        <v>153000420</v>
      </c>
      <c r="S775" s="1">
        <v>48025</v>
      </c>
    </row>
    <row r="776" spans="1:19" x14ac:dyDescent="0.35">
      <c r="A776" t="s">
        <v>2182</v>
      </c>
      <c r="B776" t="s">
        <v>31</v>
      </c>
      <c r="C776" t="s">
        <v>2379</v>
      </c>
      <c r="D776" t="str">
        <f>"2501717894"</f>
        <v>2501717894</v>
      </c>
      <c r="E776" t="s">
        <v>1536</v>
      </c>
      <c r="F776" t="str">
        <f t="shared" si="135"/>
        <v>400420</v>
      </c>
      <c r="G776" t="s">
        <v>1661</v>
      </c>
      <c r="H776" t="s">
        <v>2288</v>
      </c>
      <c r="I776" t="s">
        <v>37</v>
      </c>
      <c r="J776">
        <v>52</v>
      </c>
      <c r="K776">
        <v>155</v>
      </c>
      <c r="L776" t="str">
        <f>"521088"</f>
        <v>521088</v>
      </c>
      <c r="N776" t="s">
        <v>1560</v>
      </c>
      <c r="O776" s="2">
        <v>46236.439803240741</v>
      </c>
      <c r="P776" s="2">
        <v>46236.439803240741</v>
      </c>
      <c r="Q776" s="2">
        <v>46236.439803240741</v>
      </c>
      <c r="R776" t="str">
        <f t="shared" si="136"/>
        <v>153000420</v>
      </c>
      <c r="S776" s="1">
        <v>48025</v>
      </c>
    </row>
    <row r="777" spans="1:19" x14ac:dyDescent="0.35">
      <c r="A777" t="s">
        <v>2182</v>
      </c>
      <c r="B777" t="s">
        <v>31</v>
      </c>
      <c r="C777" t="s">
        <v>2379</v>
      </c>
      <c r="D777" t="str">
        <f>"2501717894"</f>
        <v>2501717894</v>
      </c>
      <c r="E777" t="s">
        <v>1536</v>
      </c>
      <c r="F777" t="str">
        <f t="shared" si="135"/>
        <v>400420</v>
      </c>
      <c r="G777" t="s">
        <v>1661</v>
      </c>
      <c r="H777" t="s">
        <v>2289</v>
      </c>
      <c r="I777" t="s">
        <v>37</v>
      </c>
      <c r="J777">
        <v>45</v>
      </c>
      <c r="K777">
        <v>155</v>
      </c>
      <c r="L777" t="str">
        <f>"521088"</f>
        <v>521088</v>
      </c>
      <c r="N777" t="s">
        <v>1560</v>
      </c>
      <c r="O777" s="2">
        <v>46236.439351851855</v>
      </c>
      <c r="P777" s="2">
        <v>46236.439351851855</v>
      </c>
      <c r="Q777" s="2">
        <v>46236.439351851855</v>
      </c>
      <c r="R777" t="str">
        <f t="shared" si="136"/>
        <v>153000420</v>
      </c>
      <c r="S777" s="1">
        <v>48025</v>
      </c>
    </row>
    <row r="778" spans="1:19" x14ac:dyDescent="0.35">
      <c r="A778" t="s">
        <v>2182</v>
      </c>
      <c r="B778" t="s">
        <v>31</v>
      </c>
      <c r="C778" t="s">
        <v>2381</v>
      </c>
      <c r="D778" t="str">
        <f>"2501717962"</f>
        <v>2501717962</v>
      </c>
      <c r="E778" t="s">
        <v>1536</v>
      </c>
      <c r="F778" t="str">
        <f t="shared" si="135"/>
        <v>400420</v>
      </c>
      <c r="G778" t="s">
        <v>1661</v>
      </c>
      <c r="H778" t="s">
        <v>2289</v>
      </c>
      <c r="I778" t="s">
        <v>37</v>
      </c>
      <c r="J778">
        <v>7</v>
      </c>
      <c r="K778">
        <v>29</v>
      </c>
      <c r="L778" t="str">
        <f>"521022"</f>
        <v>521022</v>
      </c>
      <c r="N778" t="s">
        <v>1722</v>
      </c>
      <c r="O778" s="2">
        <v>46233.312939814816</v>
      </c>
      <c r="P778" s="2">
        <v>46233.312939814816</v>
      </c>
      <c r="Q778" s="2">
        <v>46233.312939814816</v>
      </c>
      <c r="R778" t="str">
        <f t="shared" si="136"/>
        <v>153000420</v>
      </c>
      <c r="S778" s="1">
        <v>48025</v>
      </c>
    </row>
    <row r="779" spans="1:19" x14ac:dyDescent="0.35">
      <c r="A779" t="s">
        <v>2182</v>
      </c>
      <c r="B779" t="s">
        <v>31</v>
      </c>
      <c r="C779" t="s">
        <v>2381</v>
      </c>
      <c r="D779" t="str">
        <f>"2501717962"</f>
        <v>2501717962</v>
      </c>
      <c r="E779" t="s">
        <v>1536</v>
      </c>
      <c r="F779" t="str">
        <f t="shared" si="135"/>
        <v>400420</v>
      </c>
      <c r="G779" t="s">
        <v>1661</v>
      </c>
      <c r="H779" t="s">
        <v>2209</v>
      </c>
      <c r="I779" t="s">
        <v>37</v>
      </c>
      <c r="J779">
        <v>22</v>
      </c>
      <c r="K779">
        <v>29</v>
      </c>
      <c r="L779" t="str">
        <f>"521022"</f>
        <v>521022</v>
      </c>
      <c r="N779" t="s">
        <v>1722</v>
      </c>
      <c r="O779" s="2">
        <v>46233.312337962961</v>
      </c>
      <c r="P779" s="2">
        <v>46233.312337962961</v>
      </c>
      <c r="Q779" s="2">
        <v>46233.312337962961</v>
      </c>
      <c r="R779" t="str">
        <f t="shared" si="136"/>
        <v>153000420</v>
      </c>
      <c r="S779" s="1">
        <v>48025</v>
      </c>
    </row>
    <row r="780" spans="1:19" x14ac:dyDescent="0.35">
      <c r="A780" t="s">
        <v>2182</v>
      </c>
      <c r="B780" t="s">
        <v>31</v>
      </c>
      <c r="C780" t="s">
        <v>2382</v>
      </c>
      <c r="D780" t="str">
        <f>"2501717948"</f>
        <v>2501717948</v>
      </c>
      <c r="E780" t="s">
        <v>1536</v>
      </c>
      <c r="F780" t="str">
        <f>"400402"</f>
        <v>400402</v>
      </c>
      <c r="G780" t="s">
        <v>1665</v>
      </c>
      <c r="H780" t="s">
        <v>2337</v>
      </c>
      <c r="I780" t="s">
        <v>37</v>
      </c>
      <c r="J780">
        <v>34</v>
      </c>
      <c r="K780">
        <v>104</v>
      </c>
      <c r="L780" t="str">
        <f>"520605"</f>
        <v>520605</v>
      </c>
      <c r="N780" t="s">
        <v>1719</v>
      </c>
      <c r="O780" s="2">
        <v>46233.314189814817</v>
      </c>
      <c r="P780" s="2">
        <v>46233.314201388886</v>
      </c>
      <c r="Q780" s="2">
        <v>46233.314201388886</v>
      </c>
      <c r="R780" t="str">
        <f>"153000363"</f>
        <v>153000363</v>
      </c>
      <c r="S780" s="1">
        <v>48006</v>
      </c>
    </row>
    <row r="781" spans="1:19" x14ac:dyDescent="0.35">
      <c r="A781" t="s">
        <v>2182</v>
      </c>
      <c r="B781" t="s">
        <v>31</v>
      </c>
      <c r="C781" t="s">
        <v>2382</v>
      </c>
      <c r="D781" t="str">
        <f>"2501717948"</f>
        <v>2501717948</v>
      </c>
      <c r="E781" t="s">
        <v>1536</v>
      </c>
      <c r="F781" t="str">
        <f>"400402"</f>
        <v>400402</v>
      </c>
      <c r="G781" t="s">
        <v>1665</v>
      </c>
      <c r="H781" t="s">
        <v>2349</v>
      </c>
      <c r="I781" t="s">
        <v>37</v>
      </c>
      <c r="J781">
        <v>52</v>
      </c>
      <c r="K781">
        <v>104</v>
      </c>
      <c r="L781" t="str">
        <f>"520605"</f>
        <v>520605</v>
      </c>
      <c r="N781" t="s">
        <v>1719</v>
      </c>
      <c r="O781" s="2">
        <v>46233.314039351855</v>
      </c>
      <c r="P781" s="2">
        <v>46233.314039351855</v>
      </c>
      <c r="Q781" s="2">
        <v>46233.314039351855</v>
      </c>
      <c r="R781" t="str">
        <f>"153000363"</f>
        <v>153000363</v>
      </c>
      <c r="S781" s="1">
        <v>48006</v>
      </c>
    </row>
    <row r="782" spans="1:19" x14ac:dyDescent="0.35">
      <c r="A782" t="s">
        <v>2182</v>
      </c>
      <c r="B782" t="s">
        <v>31</v>
      </c>
      <c r="C782" t="s">
        <v>2382</v>
      </c>
      <c r="D782" t="str">
        <f>"2501717948"</f>
        <v>2501717948</v>
      </c>
      <c r="E782" t="s">
        <v>1536</v>
      </c>
      <c r="F782" t="str">
        <f>"400402"</f>
        <v>400402</v>
      </c>
      <c r="G782" t="s">
        <v>1665</v>
      </c>
      <c r="H782" t="s">
        <v>2383</v>
      </c>
      <c r="I782" t="s">
        <v>37</v>
      </c>
      <c r="J782">
        <v>18</v>
      </c>
      <c r="K782">
        <v>104</v>
      </c>
      <c r="L782" t="str">
        <f>"520605"</f>
        <v>520605</v>
      </c>
      <c r="N782" t="s">
        <v>1719</v>
      </c>
      <c r="O782" s="2">
        <v>46233.313796296294</v>
      </c>
      <c r="P782" s="2">
        <v>46233.313796296294</v>
      </c>
      <c r="Q782" s="2">
        <v>46233.313796296294</v>
      </c>
      <c r="R782" t="str">
        <f>"153000363"</f>
        <v>153000363</v>
      </c>
      <c r="S782" s="1">
        <v>48006</v>
      </c>
    </row>
    <row r="783" spans="1:19" x14ac:dyDescent="0.35">
      <c r="A783" t="s">
        <v>2182</v>
      </c>
      <c r="B783" t="s">
        <v>31</v>
      </c>
      <c r="C783" t="s">
        <v>2384</v>
      </c>
      <c r="D783" t="str">
        <f>"2501717947"</f>
        <v>2501717947</v>
      </c>
      <c r="E783" t="s">
        <v>1536</v>
      </c>
      <c r="F783" t="str">
        <f>"400411"</f>
        <v>400411</v>
      </c>
      <c r="G783" t="s">
        <v>1537</v>
      </c>
      <c r="H783" t="s">
        <v>2385</v>
      </c>
      <c r="I783" t="s">
        <v>41</v>
      </c>
      <c r="J783">
        <v>4</v>
      </c>
      <c r="K783">
        <v>4</v>
      </c>
      <c r="L783" t="str">
        <f>"520899"</f>
        <v>520899</v>
      </c>
      <c r="N783" t="s">
        <v>1701</v>
      </c>
      <c r="O783" s="2">
        <v>46233.31486111111</v>
      </c>
      <c r="P783" s="2">
        <v>46233.31486111111</v>
      </c>
      <c r="Q783" s="2">
        <v>46233.31486111111</v>
      </c>
      <c r="R783" t="str">
        <f>"153000352"</f>
        <v>153000352</v>
      </c>
      <c r="S783" s="1">
        <v>48002</v>
      </c>
    </row>
    <row r="784" spans="1:19" x14ac:dyDescent="0.35">
      <c r="A784" t="s">
        <v>2182</v>
      </c>
      <c r="B784" t="s">
        <v>31</v>
      </c>
      <c r="C784" t="s">
        <v>2386</v>
      </c>
      <c r="D784" t="str">
        <f t="shared" ref="D784:D805" si="137">"2501717950"</f>
        <v>2501717950</v>
      </c>
      <c r="E784" t="s">
        <v>1536</v>
      </c>
      <c r="F784" t="str">
        <f t="shared" ref="F784:F805" si="138">"400413"</f>
        <v>400413</v>
      </c>
      <c r="G784" t="s">
        <v>1545</v>
      </c>
      <c r="H784" t="s">
        <v>2220</v>
      </c>
      <c r="I784" t="s">
        <v>37</v>
      </c>
      <c r="J784">
        <v>10</v>
      </c>
      <c r="K784">
        <v>130</v>
      </c>
      <c r="L784" t="str">
        <f t="shared" ref="L784:L831" si="139">"520605"</f>
        <v>520605</v>
      </c>
      <c r="N784" t="s">
        <v>1719</v>
      </c>
      <c r="O784" s="2">
        <v>46233.326273148145</v>
      </c>
      <c r="P784" s="2">
        <v>46233.326273148145</v>
      </c>
      <c r="Q784" s="2">
        <v>46233.326273148145</v>
      </c>
      <c r="R784" t="str">
        <f>"153000376"</f>
        <v>153000376</v>
      </c>
      <c r="S784" s="1">
        <v>48009</v>
      </c>
    </row>
    <row r="785" spans="1:19" x14ac:dyDescent="0.35">
      <c r="A785" t="s">
        <v>2182</v>
      </c>
      <c r="B785" t="s">
        <v>31</v>
      </c>
      <c r="C785" t="s">
        <v>2386</v>
      </c>
      <c r="D785" t="str">
        <f t="shared" si="137"/>
        <v>2501717950</v>
      </c>
      <c r="E785" t="s">
        <v>1536</v>
      </c>
      <c r="F785" t="str">
        <f t="shared" si="138"/>
        <v>400413</v>
      </c>
      <c r="G785" t="s">
        <v>1545</v>
      </c>
      <c r="H785" t="s">
        <v>2387</v>
      </c>
      <c r="I785" t="s">
        <v>37</v>
      </c>
      <c r="J785">
        <v>24</v>
      </c>
      <c r="K785">
        <v>350</v>
      </c>
      <c r="L785" t="str">
        <f t="shared" si="139"/>
        <v>520605</v>
      </c>
      <c r="N785" t="s">
        <v>1719</v>
      </c>
      <c r="O785" s="2">
        <v>46233.325787037036</v>
      </c>
      <c r="P785" s="2">
        <v>46233.325787037036</v>
      </c>
      <c r="Q785" s="2">
        <v>46233.325787037036</v>
      </c>
      <c r="R785" t="str">
        <f>"153000382"</f>
        <v>153000382</v>
      </c>
      <c r="S785" s="1">
        <v>48009</v>
      </c>
    </row>
    <row r="786" spans="1:19" x14ac:dyDescent="0.35">
      <c r="A786" t="s">
        <v>2182</v>
      </c>
      <c r="B786" t="s">
        <v>31</v>
      </c>
      <c r="C786" t="s">
        <v>2386</v>
      </c>
      <c r="D786" t="str">
        <f t="shared" si="137"/>
        <v>2501717950</v>
      </c>
      <c r="E786" t="s">
        <v>1536</v>
      </c>
      <c r="F786" t="str">
        <f t="shared" si="138"/>
        <v>400413</v>
      </c>
      <c r="G786" t="s">
        <v>1545</v>
      </c>
      <c r="H786" t="s">
        <v>2388</v>
      </c>
      <c r="I786" t="s">
        <v>37</v>
      </c>
      <c r="J786">
        <v>24</v>
      </c>
      <c r="K786">
        <v>350</v>
      </c>
      <c r="L786" t="str">
        <f t="shared" si="139"/>
        <v>520605</v>
      </c>
      <c r="N786" t="s">
        <v>1719</v>
      </c>
      <c r="O786" s="2">
        <v>46233.325648148151</v>
      </c>
      <c r="P786" s="2">
        <v>46233.325648148151</v>
      </c>
      <c r="Q786" s="2">
        <v>46233.325648148151</v>
      </c>
      <c r="R786" t="str">
        <f>"153000382"</f>
        <v>153000382</v>
      </c>
      <c r="S786" s="1">
        <v>48009</v>
      </c>
    </row>
    <row r="787" spans="1:19" x14ac:dyDescent="0.35">
      <c r="A787" t="s">
        <v>2182</v>
      </c>
      <c r="B787" t="s">
        <v>31</v>
      </c>
      <c r="C787" t="s">
        <v>2386</v>
      </c>
      <c r="D787" t="str">
        <f t="shared" si="137"/>
        <v>2501717950</v>
      </c>
      <c r="E787" t="s">
        <v>1536</v>
      </c>
      <c r="F787" t="str">
        <f t="shared" si="138"/>
        <v>400413</v>
      </c>
      <c r="G787" t="s">
        <v>1545</v>
      </c>
      <c r="H787" t="s">
        <v>2389</v>
      </c>
      <c r="I787" t="s">
        <v>37</v>
      </c>
      <c r="J787">
        <v>24</v>
      </c>
      <c r="K787">
        <v>350</v>
      </c>
      <c r="L787" t="str">
        <f t="shared" si="139"/>
        <v>520605</v>
      </c>
      <c r="N787" t="s">
        <v>1719</v>
      </c>
      <c r="O787" s="2">
        <v>46233.32545138889</v>
      </c>
      <c r="P787" s="2">
        <v>46233.32545138889</v>
      </c>
      <c r="Q787" s="2">
        <v>46233.32545138889</v>
      </c>
      <c r="R787" t="str">
        <f>"153000382"</f>
        <v>153000382</v>
      </c>
      <c r="S787" s="1">
        <v>48009</v>
      </c>
    </row>
    <row r="788" spans="1:19" x14ac:dyDescent="0.35">
      <c r="A788" t="s">
        <v>2182</v>
      </c>
      <c r="B788" t="s">
        <v>31</v>
      </c>
      <c r="C788" t="s">
        <v>2386</v>
      </c>
      <c r="D788" t="str">
        <f t="shared" si="137"/>
        <v>2501717950</v>
      </c>
      <c r="E788" t="s">
        <v>1536</v>
      </c>
      <c r="F788" t="str">
        <f t="shared" si="138"/>
        <v>400413</v>
      </c>
      <c r="G788" t="s">
        <v>1545</v>
      </c>
      <c r="H788" t="s">
        <v>2390</v>
      </c>
      <c r="I788" t="s">
        <v>37</v>
      </c>
      <c r="J788">
        <v>24</v>
      </c>
      <c r="K788">
        <v>24</v>
      </c>
      <c r="L788" t="str">
        <f t="shared" si="139"/>
        <v>520605</v>
      </c>
      <c r="N788" t="s">
        <v>1719</v>
      </c>
      <c r="O788" s="2">
        <v>46233.325150462966</v>
      </c>
      <c r="P788" s="2">
        <v>46233.325150462966</v>
      </c>
      <c r="Q788" s="2">
        <v>46233.325150462966</v>
      </c>
      <c r="R788" t="str">
        <f>"153000308"</f>
        <v>153000308</v>
      </c>
      <c r="S788" s="1">
        <v>48009</v>
      </c>
    </row>
    <row r="789" spans="1:19" x14ac:dyDescent="0.35">
      <c r="A789" t="s">
        <v>2182</v>
      </c>
      <c r="B789" t="s">
        <v>31</v>
      </c>
      <c r="C789" t="s">
        <v>2386</v>
      </c>
      <c r="D789" t="str">
        <f t="shared" si="137"/>
        <v>2501717950</v>
      </c>
      <c r="E789" t="s">
        <v>1536</v>
      </c>
      <c r="F789" t="str">
        <f t="shared" si="138"/>
        <v>400413</v>
      </c>
      <c r="G789" t="s">
        <v>1545</v>
      </c>
      <c r="H789" t="s">
        <v>2391</v>
      </c>
      <c r="I789" t="s">
        <v>37</v>
      </c>
      <c r="J789">
        <v>24</v>
      </c>
      <c r="K789">
        <v>350</v>
      </c>
      <c r="L789" t="str">
        <f t="shared" si="139"/>
        <v>520605</v>
      </c>
      <c r="N789" t="s">
        <v>1719</v>
      </c>
      <c r="O789" s="2">
        <v>46233.32471064815</v>
      </c>
      <c r="P789" s="2">
        <v>46233.32471064815</v>
      </c>
      <c r="Q789" s="2">
        <v>46233.32471064815</v>
      </c>
      <c r="R789" t="str">
        <f>"153000382"</f>
        <v>153000382</v>
      </c>
      <c r="S789" s="1">
        <v>48009</v>
      </c>
    </row>
    <row r="790" spans="1:19" x14ac:dyDescent="0.35">
      <c r="A790" t="s">
        <v>2182</v>
      </c>
      <c r="B790" t="s">
        <v>31</v>
      </c>
      <c r="C790" t="s">
        <v>2386</v>
      </c>
      <c r="D790" t="str">
        <f t="shared" si="137"/>
        <v>2501717950</v>
      </c>
      <c r="E790" t="s">
        <v>1536</v>
      </c>
      <c r="F790" t="str">
        <f t="shared" si="138"/>
        <v>400413</v>
      </c>
      <c r="G790" t="s">
        <v>1545</v>
      </c>
      <c r="H790" t="s">
        <v>2392</v>
      </c>
      <c r="I790" t="s">
        <v>37</v>
      </c>
      <c r="J790">
        <v>24</v>
      </c>
      <c r="K790">
        <v>350</v>
      </c>
      <c r="L790" t="str">
        <f t="shared" si="139"/>
        <v>520605</v>
      </c>
      <c r="N790" t="s">
        <v>1719</v>
      </c>
      <c r="O790" s="2">
        <v>46233.324571759258</v>
      </c>
      <c r="P790" s="2">
        <v>46233.324571759258</v>
      </c>
      <c r="Q790" s="2">
        <v>46233.324571759258</v>
      </c>
      <c r="R790" t="str">
        <f>"153000382"</f>
        <v>153000382</v>
      </c>
      <c r="S790" s="1">
        <v>48009</v>
      </c>
    </row>
    <row r="791" spans="1:19" x14ac:dyDescent="0.35">
      <c r="A791" t="s">
        <v>2182</v>
      </c>
      <c r="B791" t="s">
        <v>31</v>
      </c>
      <c r="C791" t="s">
        <v>2386</v>
      </c>
      <c r="D791" t="str">
        <f t="shared" si="137"/>
        <v>2501717950</v>
      </c>
      <c r="E791" t="s">
        <v>1536</v>
      </c>
      <c r="F791" t="str">
        <f t="shared" si="138"/>
        <v>400413</v>
      </c>
      <c r="G791" t="s">
        <v>1545</v>
      </c>
      <c r="H791" t="s">
        <v>2289</v>
      </c>
      <c r="I791" t="s">
        <v>37</v>
      </c>
      <c r="J791">
        <v>24</v>
      </c>
      <c r="K791">
        <v>130</v>
      </c>
      <c r="L791" t="str">
        <f t="shared" si="139"/>
        <v>520605</v>
      </c>
      <c r="N791" t="s">
        <v>1719</v>
      </c>
      <c r="O791" s="2">
        <v>46233.324386574073</v>
      </c>
      <c r="P791" s="2">
        <v>46233.324386574073</v>
      </c>
      <c r="Q791" s="2">
        <v>46233.324386574073</v>
      </c>
      <c r="R791" t="str">
        <f>"153000376"</f>
        <v>153000376</v>
      </c>
      <c r="S791" s="1">
        <v>48009</v>
      </c>
    </row>
    <row r="792" spans="1:19" x14ac:dyDescent="0.35">
      <c r="A792" t="s">
        <v>2182</v>
      </c>
      <c r="B792" t="s">
        <v>31</v>
      </c>
      <c r="C792" t="s">
        <v>2386</v>
      </c>
      <c r="D792" t="str">
        <f t="shared" si="137"/>
        <v>2501717950</v>
      </c>
      <c r="E792" t="s">
        <v>1536</v>
      </c>
      <c r="F792" t="str">
        <f t="shared" si="138"/>
        <v>400413</v>
      </c>
      <c r="G792" t="s">
        <v>1545</v>
      </c>
      <c r="H792" t="s">
        <v>2393</v>
      </c>
      <c r="I792" t="s">
        <v>37</v>
      </c>
      <c r="J792">
        <v>24</v>
      </c>
      <c r="K792">
        <v>130</v>
      </c>
      <c r="L792" t="str">
        <f t="shared" si="139"/>
        <v>520605</v>
      </c>
      <c r="N792" t="s">
        <v>1719</v>
      </c>
      <c r="O792" s="2">
        <v>46233.324189814812</v>
      </c>
      <c r="P792" s="2">
        <v>46233.324189814812</v>
      </c>
      <c r="Q792" s="2">
        <v>46233.324189814812</v>
      </c>
      <c r="R792" t="str">
        <f>"153000376"</f>
        <v>153000376</v>
      </c>
      <c r="S792" s="1">
        <v>48009</v>
      </c>
    </row>
    <row r="793" spans="1:19" x14ac:dyDescent="0.35">
      <c r="A793" t="s">
        <v>2182</v>
      </c>
      <c r="B793" t="s">
        <v>31</v>
      </c>
      <c r="C793" t="s">
        <v>2386</v>
      </c>
      <c r="D793" t="str">
        <f t="shared" si="137"/>
        <v>2501717950</v>
      </c>
      <c r="E793" t="s">
        <v>1536</v>
      </c>
      <c r="F793" t="str">
        <f t="shared" si="138"/>
        <v>400413</v>
      </c>
      <c r="G793" t="s">
        <v>1545</v>
      </c>
      <c r="H793" t="s">
        <v>2290</v>
      </c>
      <c r="I793" t="s">
        <v>37</v>
      </c>
      <c r="J793">
        <v>24</v>
      </c>
      <c r="K793">
        <v>130</v>
      </c>
      <c r="L793" t="str">
        <f t="shared" si="139"/>
        <v>520605</v>
      </c>
      <c r="N793" t="s">
        <v>1719</v>
      </c>
      <c r="O793" s="2">
        <v>46233.32403935185</v>
      </c>
      <c r="P793" s="2">
        <v>46233.32403935185</v>
      </c>
      <c r="Q793" s="2">
        <v>46233.32403935185</v>
      </c>
      <c r="R793" t="str">
        <f>"153000376"</f>
        <v>153000376</v>
      </c>
      <c r="S793" s="1">
        <v>48009</v>
      </c>
    </row>
    <row r="794" spans="1:19" x14ac:dyDescent="0.35">
      <c r="A794" t="s">
        <v>2182</v>
      </c>
      <c r="B794" t="s">
        <v>31</v>
      </c>
      <c r="C794" t="s">
        <v>2386</v>
      </c>
      <c r="D794" t="str">
        <f t="shared" si="137"/>
        <v>2501717950</v>
      </c>
      <c r="E794" t="s">
        <v>1536</v>
      </c>
      <c r="F794" t="str">
        <f t="shared" si="138"/>
        <v>400413</v>
      </c>
      <c r="G794" t="s">
        <v>1545</v>
      </c>
      <c r="H794" t="s">
        <v>2291</v>
      </c>
      <c r="I794" t="s">
        <v>37</v>
      </c>
      <c r="J794">
        <v>24</v>
      </c>
      <c r="K794">
        <v>130</v>
      </c>
      <c r="L794" t="str">
        <f t="shared" si="139"/>
        <v>520605</v>
      </c>
      <c r="N794" t="s">
        <v>1719</v>
      </c>
      <c r="O794" s="2">
        <v>46233.323831018519</v>
      </c>
      <c r="P794" s="2">
        <v>46233.323831018519</v>
      </c>
      <c r="Q794" s="2">
        <v>46233.323831018519</v>
      </c>
      <c r="R794" t="str">
        <f>"153000376"</f>
        <v>153000376</v>
      </c>
      <c r="S794" s="1">
        <v>48009</v>
      </c>
    </row>
    <row r="795" spans="1:19" x14ac:dyDescent="0.35">
      <c r="A795" t="s">
        <v>2182</v>
      </c>
      <c r="B795" t="s">
        <v>31</v>
      </c>
      <c r="C795" t="s">
        <v>2386</v>
      </c>
      <c r="D795" t="str">
        <f t="shared" si="137"/>
        <v>2501717950</v>
      </c>
      <c r="E795" t="s">
        <v>1536</v>
      </c>
      <c r="F795" t="str">
        <f t="shared" si="138"/>
        <v>400413</v>
      </c>
      <c r="G795" t="s">
        <v>1545</v>
      </c>
      <c r="H795" t="s">
        <v>2394</v>
      </c>
      <c r="I795" t="s">
        <v>37</v>
      </c>
      <c r="J795">
        <v>24</v>
      </c>
      <c r="K795">
        <v>130</v>
      </c>
      <c r="L795" t="str">
        <f t="shared" si="139"/>
        <v>520605</v>
      </c>
      <c r="N795" t="s">
        <v>1719</v>
      </c>
      <c r="O795" s="2">
        <v>46233.322951388887</v>
      </c>
      <c r="P795" s="2">
        <v>46233.322951388887</v>
      </c>
      <c r="Q795" s="2">
        <v>46233.322951388887</v>
      </c>
      <c r="R795" t="str">
        <f>"153000376"</f>
        <v>153000376</v>
      </c>
      <c r="S795" s="1">
        <v>48009</v>
      </c>
    </row>
    <row r="796" spans="1:19" x14ac:dyDescent="0.35">
      <c r="A796" t="s">
        <v>2182</v>
      </c>
      <c r="B796" t="s">
        <v>31</v>
      </c>
      <c r="C796" t="s">
        <v>2386</v>
      </c>
      <c r="D796" t="str">
        <f t="shared" si="137"/>
        <v>2501717950</v>
      </c>
      <c r="E796" t="s">
        <v>1536</v>
      </c>
      <c r="F796" t="str">
        <f t="shared" si="138"/>
        <v>400413</v>
      </c>
      <c r="G796" t="s">
        <v>1545</v>
      </c>
      <c r="H796" t="s">
        <v>2395</v>
      </c>
      <c r="I796" t="s">
        <v>37</v>
      </c>
      <c r="J796">
        <v>24</v>
      </c>
      <c r="K796">
        <v>350</v>
      </c>
      <c r="L796" t="str">
        <f t="shared" si="139"/>
        <v>520605</v>
      </c>
      <c r="N796" t="s">
        <v>1719</v>
      </c>
      <c r="O796" s="2">
        <v>46233.322708333333</v>
      </c>
      <c r="P796" s="2">
        <v>46233.322708333333</v>
      </c>
      <c r="Q796" s="2">
        <v>46233.322708333333</v>
      </c>
      <c r="R796" t="str">
        <f t="shared" ref="R796:R805" si="140">"153000382"</f>
        <v>153000382</v>
      </c>
      <c r="S796" s="1">
        <v>48009</v>
      </c>
    </row>
    <row r="797" spans="1:19" x14ac:dyDescent="0.35">
      <c r="A797" t="s">
        <v>2182</v>
      </c>
      <c r="B797" t="s">
        <v>31</v>
      </c>
      <c r="C797" t="s">
        <v>2386</v>
      </c>
      <c r="D797" t="str">
        <f t="shared" si="137"/>
        <v>2501717950</v>
      </c>
      <c r="E797" t="s">
        <v>1536</v>
      </c>
      <c r="F797" t="str">
        <f t="shared" si="138"/>
        <v>400413</v>
      </c>
      <c r="G797" t="s">
        <v>1545</v>
      </c>
      <c r="H797" t="s">
        <v>2396</v>
      </c>
      <c r="I797" t="s">
        <v>37</v>
      </c>
      <c r="J797">
        <v>24</v>
      </c>
      <c r="K797">
        <v>350</v>
      </c>
      <c r="L797" t="str">
        <f t="shared" si="139"/>
        <v>520605</v>
      </c>
      <c r="N797" t="s">
        <v>1719</v>
      </c>
      <c r="O797" s="2">
        <v>46233.322511574072</v>
      </c>
      <c r="P797" s="2">
        <v>46233.322511574072</v>
      </c>
      <c r="Q797" s="2">
        <v>46233.322511574072</v>
      </c>
      <c r="R797" t="str">
        <f t="shared" si="140"/>
        <v>153000382</v>
      </c>
      <c r="S797" s="1">
        <v>48009</v>
      </c>
    </row>
    <row r="798" spans="1:19" x14ac:dyDescent="0.35">
      <c r="A798" t="s">
        <v>2182</v>
      </c>
      <c r="B798" t="s">
        <v>31</v>
      </c>
      <c r="C798" t="s">
        <v>2386</v>
      </c>
      <c r="D798" t="str">
        <f t="shared" si="137"/>
        <v>2501717950</v>
      </c>
      <c r="E798" t="s">
        <v>1536</v>
      </c>
      <c r="F798" t="str">
        <f t="shared" si="138"/>
        <v>400413</v>
      </c>
      <c r="G798" t="s">
        <v>1545</v>
      </c>
      <c r="H798" t="s">
        <v>2397</v>
      </c>
      <c r="I798" t="s">
        <v>37</v>
      </c>
      <c r="J798">
        <v>24</v>
      </c>
      <c r="K798">
        <v>350</v>
      </c>
      <c r="L798" t="str">
        <f t="shared" si="139"/>
        <v>520605</v>
      </c>
      <c r="N798" t="s">
        <v>1719</v>
      </c>
      <c r="O798" s="2">
        <v>46233.32236111111</v>
      </c>
      <c r="P798" s="2">
        <v>46233.32236111111</v>
      </c>
      <c r="Q798" s="2">
        <v>46233.32236111111</v>
      </c>
      <c r="R798" t="str">
        <f t="shared" si="140"/>
        <v>153000382</v>
      </c>
      <c r="S798" s="1">
        <v>48009</v>
      </c>
    </row>
    <row r="799" spans="1:19" x14ac:dyDescent="0.35">
      <c r="A799" t="s">
        <v>2182</v>
      </c>
      <c r="B799" t="s">
        <v>31</v>
      </c>
      <c r="C799" t="s">
        <v>2386</v>
      </c>
      <c r="D799" t="str">
        <f t="shared" si="137"/>
        <v>2501717950</v>
      </c>
      <c r="E799" t="s">
        <v>1536</v>
      </c>
      <c r="F799" t="str">
        <f t="shared" si="138"/>
        <v>400413</v>
      </c>
      <c r="G799" t="s">
        <v>1545</v>
      </c>
      <c r="H799" t="s">
        <v>2398</v>
      </c>
      <c r="I799" t="s">
        <v>37</v>
      </c>
      <c r="J799">
        <v>24</v>
      </c>
      <c r="K799">
        <v>350</v>
      </c>
      <c r="L799" t="str">
        <f t="shared" si="139"/>
        <v>520605</v>
      </c>
      <c r="N799" t="s">
        <v>1719</v>
      </c>
      <c r="O799" s="2">
        <v>46233.322141203702</v>
      </c>
      <c r="P799" s="2">
        <v>46233.322141203702</v>
      </c>
      <c r="Q799" s="2">
        <v>46233.322141203702</v>
      </c>
      <c r="R799" t="str">
        <f t="shared" si="140"/>
        <v>153000382</v>
      </c>
      <c r="S799" s="1">
        <v>48009</v>
      </c>
    </row>
    <row r="800" spans="1:19" x14ac:dyDescent="0.35">
      <c r="A800" t="s">
        <v>2182</v>
      </c>
      <c r="B800" t="s">
        <v>31</v>
      </c>
      <c r="C800" t="s">
        <v>2386</v>
      </c>
      <c r="D800" t="str">
        <f t="shared" si="137"/>
        <v>2501717950</v>
      </c>
      <c r="E800" t="s">
        <v>1536</v>
      </c>
      <c r="F800" t="str">
        <f t="shared" si="138"/>
        <v>400413</v>
      </c>
      <c r="G800" t="s">
        <v>1545</v>
      </c>
      <c r="H800" t="s">
        <v>2399</v>
      </c>
      <c r="I800" t="s">
        <v>37</v>
      </c>
      <c r="J800">
        <v>24</v>
      </c>
      <c r="K800">
        <v>350</v>
      </c>
      <c r="L800" t="str">
        <f t="shared" si="139"/>
        <v>520605</v>
      </c>
      <c r="N800" t="s">
        <v>1719</v>
      </c>
      <c r="O800" s="2">
        <v>46233.321979166663</v>
      </c>
      <c r="P800" s="2">
        <v>46233.321979166663</v>
      </c>
      <c r="Q800" s="2">
        <v>46233.321979166663</v>
      </c>
      <c r="R800" t="str">
        <f t="shared" si="140"/>
        <v>153000382</v>
      </c>
      <c r="S800" s="1">
        <v>48009</v>
      </c>
    </row>
    <row r="801" spans="1:19" x14ac:dyDescent="0.35">
      <c r="A801" t="s">
        <v>2182</v>
      </c>
      <c r="B801" t="s">
        <v>31</v>
      </c>
      <c r="C801" t="s">
        <v>2386</v>
      </c>
      <c r="D801" t="str">
        <f t="shared" si="137"/>
        <v>2501717950</v>
      </c>
      <c r="E801" t="s">
        <v>1536</v>
      </c>
      <c r="F801" t="str">
        <f t="shared" si="138"/>
        <v>400413</v>
      </c>
      <c r="G801" t="s">
        <v>1545</v>
      </c>
      <c r="H801" t="s">
        <v>2400</v>
      </c>
      <c r="I801" t="s">
        <v>37</v>
      </c>
      <c r="J801">
        <v>24</v>
      </c>
      <c r="K801">
        <v>350</v>
      </c>
      <c r="L801" t="str">
        <f t="shared" si="139"/>
        <v>520605</v>
      </c>
      <c r="N801" t="s">
        <v>1719</v>
      </c>
      <c r="O801" s="2">
        <v>46233.321238425924</v>
      </c>
      <c r="P801" s="2">
        <v>46233.321238425924</v>
      </c>
      <c r="Q801" s="2">
        <v>46233.321238425924</v>
      </c>
      <c r="R801" t="str">
        <f t="shared" si="140"/>
        <v>153000382</v>
      </c>
      <c r="S801" s="1">
        <v>48009</v>
      </c>
    </row>
    <row r="802" spans="1:19" x14ac:dyDescent="0.35">
      <c r="A802" t="s">
        <v>2182</v>
      </c>
      <c r="B802" t="s">
        <v>31</v>
      </c>
      <c r="C802" t="s">
        <v>2386</v>
      </c>
      <c r="D802" t="str">
        <f t="shared" si="137"/>
        <v>2501717950</v>
      </c>
      <c r="E802" t="s">
        <v>1536</v>
      </c>
      <c r="F802" t="str">
        <f t="shared" si="138"/>
        <v>400413</v>
      </c>
      <c r="G802" t="s">
        <v>1545</v>
      </c>
      <c r="H802" t="s">
        <v>2401</v>
      </c>
      <c r="I802" t="s">
        <v>37</v>
      </c>
      <c r="J802">
        <v>24</v>
      </c>
      <c r="K802">
        <v>350</v>
      </c>
      <c r="L802" t="str">
        <f t="shared" si="139"/>
        <v>520605</v>
      </c>
      <c r="N802" t="s">
        <v>1719</v>
      </c>
      <c r="O802" s="2">
        <v>46233.320983796293</v>
      </c>
      <c r="P802" s="2">
        <v>46233.320983796293</v>
      </c>
      <c r="Q802" s="2">
        <v>46233.320983796293</v>
      </c>
      <c r="R802" t="str">
        <f t="shared" si="140"/>
        <v>153000382</v>
      </c>
      <c r="S802" s="1">
        <v>48009</v>
      </c>
    </row>
    <row r="803" spans="1:19" x14ac:dyDescent="0.35">
      <c r="A803" t="s">
        <v>2182</v>
      </c>
      <c r="B803" t="s">
        <v>31</v>
      </c>
      <c r="C803" t="s">
        <v>2386</v>
      </c>
      <c r="D803" t="str">
        <f t="shared" si="137"/>
        <v>2501717950</v>
      </c>
      <c r="E803" t="s">
        <v>1536</v>
      </c>
      <c r="F803" t="str">
        <f t="shared" si="138"/>
        <v>400413</v>
      </c>
      <c r="G803" t="s">
        <v>1545</v>
      </c>
      <c r="H803" t="s">
        <v>2402</v>
      </c>
      <c r="I803" t="s">
        <v>37</v>
      </c>
      <c r="J803">
        <v>24</v>
      </c>
      <c r="K803">
        <v>350</v>
      </c>
      <c r="L803" t="str">
        <f t="shared" si="139"/>
        <v>520605</v>
      </c>
      <c r="N803" t="s">
        <v>1719</v>
      </c>
      <c r="O803" s="2">
        <v>46233.320833333331</v>
      </c>
      <c r="P803" s="2">
        <v>46233.320833333331</v>
      </c>
      <c r="Q803" s="2">
        <v>46233.320833333331</v>
      </c>
      <c r="R803" t="str">
        <f t="shared" si="140"/>
        <v>153000382</v>
      </c>
      <c r="S803" s="1">
        <v>48009</v>
      </c>
    </row>
    <row r="804" spans="1:19" x14ac:dyDescent="0.35">
      <c r="A804" t="s">
        <v>2182</v>
      </c>
      <c r="B804" t="s">
        <v>31</v>
      </c>
      <c r="C804" t="s">
        <v>2386</v>
      </c>
      <c r="D804" t="str">
        <f t="shared" si="137"/>
        <v>2501717950</v>
      </c>
      <c r="E804" t="s">
        <v>1536</v>
      </c>
      <c r="F804" t="str">
        <f t="shared" si="138"/>
        <v>400413</v>
      </c>
      <c r="G804" t="s">
        <v>1545</v>
      </c>
      <c r="H804" t="s">
        <v>2403</v>
      </c>
      <c r="I804" t="s">
        <v>37</v>
      </c>
      <c r="J804">
        <v>24</v>
      </c>
      <c r="K804">
        <v>350</v>
      </c>
      <c r="L804" t="str">
        <f t="shared" si="139"/>
        <v>520605</v>
      </c>
      <c r="N804" t="s">
        <v>1719</v>
      </c>
      <c r="O804" s="2">
        <v>46233.317488425928</v>
      </c>
      <c r="P804" s="2">
        <v>46233.317488425928</v>
      </c>
      <c r="Q804" s="2">
        <v>46233.317488425928</v>
      </c>
      <c r="R804" t="str">
        <f t="shared" si="140"/>
        <v>153000382</v>
      </c>
      <c r="S804" s="1">
        <v>48009</v>
      </c>
    </row>
    <row r="805" spans="1:19" x14ac:dyDescent="0.35">
      <c r="A805" t="s">
        <v>2182</v>
      </c>
      <c r="B805" t="s">
        <v>31</v>
      </c>
      <c r="C805" t="s">
        <v>2386</v>
      </c>
      <c r="D805" t="str">
        <f t="shared" si="137"/>
        <v>2501717950</v>
      </c>
      <c r="E805" t="s">
        <v>1536</v>
      </c>
      <c r="F805" t="str">
        <f t="shared" si="138"/>
        <v>400413</v>
      </c>
      <c r="G805" t="s">
        <v>1545</v>
      </c>
      <c r="H805" t="s">
        <v>2404</v>
      </c>
      <c r="I805" t="s">
        <v>37</v>
      </c>
      <c r="J805">
        <v>14</v>
      </c>
      <c r="K805">
        <v>350</v>
      </c>
      <c r="L805" t="str">
        <f t="shared" si="139"/>
        <v>520605</v>
      </c>
      <c r="N805" t="s">
        <v>1719</v>
      </c>
      <c r="O805" s="2">
        <v>46233.316111111111</v>
      </c>
      <c r="P805" s="2">
        <v>46233.316111111111</v>
      </c>
      <c r="Q805" s="2">
        <v>46233.316111111111</v>
      </c>
      <c r="R805" t="str">
        <f t="shared" si="140"/>
        <v>153000382</v>
      </c>
      <c r="S805" s="1">
        <v>48009</v>
      </c>
    </row>
    <row r="806" spans="1:19" x14ac:dyDescent="0.35">
      <c r="A806" t="s">
        <v>2182</v>
      </c>
      <c r="B806" t="s">
        <v>31</v>
      </c>
      <c r="C806" t="s">
        <v>2405</v>
      </c>
      <c r="D806" t="str">
        <f t="shared" ref="D806:D831" si="141">"2501717949"</f>
        <v>2501717949</v>
      </c>
      <c r="E806" t="s">
        <v>1536</v>
      </c>
      <c r="F806" t="str">
        <f t="shared" ref="F806:F831" si="142">"400426"</f>
        <v>400426</v>
      </c>
      <c r="G806" t="s">
        <v>34</v>
      </c>
      <c r="H806" t="s">
        <v>2272</v>
      </c>
      <c r="I806" t="s">
        <v>37</v>
      </c>
      <c r="J806">
        <v>22</v>
      </c>
      <c r="K806">
        <v>70</v>
      </c>
      <c r="L806" t="str">
        <f t="shared" si="139"/>
        <v>520605</v>
      </c>
      <c r="N806" t="s">
        <v>1719</v>
      </c>
      <c r="O806" s="2">
        <v>46233.334039351852</v>
      </c>
      <c r="P806" s="2">
        <v>46233.334050925929</v>
      </c>
      <c r="Q806" s="2">
        <v>46233.334050925929</v>
      </c>
      <c r="R806" t="str">
        <f>"153000400"</f>
        <v>153000400</v>
      </c>
      <c r="S806" s="1">
        <v>48015</v>
      </c>
    </row>
    <row r="807" spans="1:19" x14ac:dyDescent="0.35">
      <c r="A807" t="s">
        <v>2182</v>
      </c>
      <c r="B807" t="s">
        <v>31</v>
      </c>
      <c r="C807" t="s">
        <v>2405</v>
      </c>
      <c r="D807" t="str">
        <f t="shared" si="141"/>
        <v>2501717949</v>
      </c>
      <c r="E807" t="s">
        <v>1536</v>
      </c>
      <c r="F807" t="str">
        <f t="shared" si="142"/>
        <v>400426</v>
      </c>
      <c r="G807" t="s">
        <v>34</v>
      </c>
      <c r="H807" t="s">
        <v>2406</v>
      </c>
      <c r="I807" t="s">
        <v>37</v>
      </c>
      <c r="J807">
        <v>24</v>
      </c>
      <c r="K807">
        <v>70</v>
      </c>
      <c r="L807" t="str">
        <f t="shared" si="139"/>
        <v>520605</v>
      </c>
      <c r="N807" t="s">
        <v>1719</v>
      </c>
      <c r="O807" s="2">
        <v>46233.33357638889</v>
      </c>
      <c r="P807" s="2">
        <v>46233.33357638889</v>
      </c>
      <c r="Q807" s="2">
        <v>46233.33357638889</v>
      </c>
      <c r="R807" t="str">
        <f>"153000400"</f>
        <v>153000400</v>
      </c>
      <c r="S807" s="1">
        <v>48015</v>
      </c>
    </row>
    <row r="808" spans="1:19" x14ac:dyDescent="0.35">
      <c r="A808" t="s">
        <v>2182</v>
      </c>
      <c r="B808" t="s">
        <v>31</v>
      </c>
      <c r="C808" t="s">
        <v>2405</v>
      </c>
      <c r="D808" t="str">
        <f t="shared" si="141"/>
        <v>2501717949</v>
      </c>
      <c r="E808" t="s">
        <v>1536</v>
      </c>
      <c r="F808" t="str">
        <f t="shared" si="142"/>
        <v>400426</v>
      </c>
      <c r="G808" t="s">
        <v>34</v>
      </c>
      <c r="H808" t="s">
        <v>2407</v>
      </c>
      <c r="I808" t="s">
        <v>37</v>
      </c>
      <c r="J808">
        <v>24</v>
      </c>
      <c r="K808">
        <v>70</v>
      </c>
      <c r="L808" t="str">
        <f t="shared" si="139"/>
        <v>520605</v>
      </c>
      <c r="N808" t="s">
        <v>1719</v>
      </c>
      <c r="O808" s="2">
        <v>46233.333310185182</v>
      </c>
      <c r="P808" s="2">
        <v>46233.333310185182</v>
      </c>
      <c r="Q808" s="2">
        <v>46233.333310185182</v>
      </c>
      <c r="R808" t="str">
        <f>"153000400"</f>
        <v>153000400</v>
      </c>
      <c r="S808" s="1">
        <v>48015</v>
      </c>
    </row>
    <row r="809" spans="1:19" x14ac:dyDescent="0.35">
      <c r="A809" t="s">
        <v>2182</v>
      </c>
      <c r="B809" t="s">
        <v>31</v>
      </c>
      <c r="C809" t="s">
        <v>2405</v>
      </c>
      <c r="D809" t="str">
        <f t="shared" si="141"/>
        <v>2501717949</v>
      </c>
      <c r="E809" t="s">
        <v>1536</v>
      </c>
      <c r="F809" t="str">
        <f t="shared" si="142"/>
        <v>400426</v>
      </c>
      <c r="G809" t="s">
        <v>34</v>
      </c>
      <c r="H809" t="s">
        <v>2217</v>
      </c>
      <c r="I809" t="s">
        <v>37</v>
      </c>
      <c r="J809">
        <v>24</v>
      </c>
      <c r="K809">
        <v>336</v>
      </c>
      <c r="L809" t="str">
        <f t="shared" si="139"/>
        <v>520605</v>
      </c>
      <c r="N809" t="s">
        <v>1719</v>
      </c>
      <c r="O809" s="2">
        <v>46233.332499999997</v>
      </c>
      <c r="P809" s="2">
        <v>46233.332499999997</v>
      </c>
      <c r="Q809" s="2">
        <v>46233.332499999997</v>
      </c>
      <c r="R809" t="str">
        <f t="shared" ref="R809:R822" si="143">"153000236"</f>
        <v>153000236</v>
      </c>
      <c r="S809" s="1">
        <v>47946</v>
      </c>
    </row>
    <row r="810" spans="1:19" x14ac:dyDescent="0.35">
      <c r="A810" t="s">
        <v>2182</v>
      </c>
      <c r="B810" t="s">
        <v>31</v>
      </c>
      <c r="C810" t="s">
        <v>2405</v>
      </c>
      <c r="D810" t="str">
        <f t="shared" si="141"/>
        <v>2501717949</v>
      </c>
      <c r="E810" t="s">
        <v>1536</v>
      </c>
      <c r="F810" t="str">
        <f t="shared" si="142"/>
        <v>400426</v>
      </c>
      <c r="G810" t="s">
        <v>34</v>
      </c>
      <c r="H810" t="s">
        <v>2408</v>
      </c>
      <c r="I810" t="s">
        <v>37</v>
      </c>
      <c r="J810">
        <v>24</v>
      </c>
      <c r="K810">
        <v>336</v>
      </c>
      <c r="L810" t="str">
        <f t="shared" si="139"/>
        <v>520605</v>
      </c>
      <c r="N810" t="s">
        <v>1719</v>
      </c>
      <c r="O810" s="2">
        <v>46233.332349537035</v>
      </c>
      <c r="P810" s="2">
        <v>46233.332349537035</v>
      </c>
      <c r="Q810" s="2">
        <v>46233.332349537035</v>
      </c>
      <c r="R810" t="str">
        <f t="shared" si="143"/>
        <v>153000236</v>
      </c>
      <c r="S810" s="1">
        <v>47946</v>
      </c>
    </row>
    <row r="811" spans="1:19" x14ac:dyDescent="0.35">
      <c r="A811" t="s">
        <v>2182</v>
      </c>
      <c r="B811" t="s">
        <v>31</v>
      </c>
      <c r="C811" t="s">
        <v>2405</v>
      </c>
      <c r="D811" t="str">
        <f t="shared" si="141"/>
        <v>2501717949</v>
      </c>
      <c r="E811" t="s">
        <v>1536</v>
      </c>
      <c r="F811" t="str">
        <f t="shared" si="142"/>
        <v>400426</v>
      </c>
      <c r="G811" t="s">
        <v>34</v>
      </c>
      <c r="H811" t="s">
        <v>2409</v>
      </c>
      <c r="I811" t="s">
        <v>37</v>
      </c>
      <c r="J811">
        <v>24</v>
      </c>
      <c r="K811">
        <v>336</v>
      </c>
      <c r="L811" t="str">
        <f t="shared" si="139"/>
        <v>520605</v>
      </c>
      <c r="N811" t="s">
        <v>1719</v>
      </c>
      <c r="O811" s="2">
        <v>46233.33221064815</v>
      </c>
      <c r="P811" s="2">
        <v>46233.33221064815</v>
      </c>
      <c r="Q811" s="2">
        <v>46233.33221064815</v>
      </c>
      <c r="R811" t="str">
        <f t="shared" si="143"/>
        <v>153000236</v>
      </c>
      <c r="S811" s="1">
        <v>47946</v>
      </c>
    </row>
    <row r="812" spans="1:19" x14ac:dyDescent="0.35">
      <c r="A812" t="s">
        <v>2182</v>
      </c>
      <c r="B812" t="s">
        <v>31</v>
      </c>
      <c r="C812" t="s">
        <v>2405</v>
      </c>
      <c r="D812" t="str">
        <f t="shared" si="141"/>
        <v>2501717949</v>
      </c>
      <c r="E812" t="s">
        <v>1536</v>
      </c>
      <c r="F812" t="str">
        <f t="shared" si="142"/>
        <v>400426</v>
      </c>
      <c r="G812" t="s">
        <v>34</v>
      </c>
      <c r="H812" t="s">
        <v>2410</v>
      </c>
      <c r="I812" t="s">
        <v>37</v>
      </c>
      <c r="J812">
        <v>24</v>
      </c>
      <c r="K812">
        <v>336</v>
      </c>
      <c r="L812" t="str">
        <f t="shared" si="139"/>
        <v>520605</v>
      </c>
      <c r="N812" t="s">
        <v>1719</v>
      </c>
      <c r="O812" s="2">
        <v>46233.332048611112</v>
      </c>
      <c r="P812" s="2">
        <v>46233.332048611112</v>
      </c>
      <c r="Q812" s="2">
        <v>46233.332048611112</v>
      </c>
      <c r="R812" t="str">
        <f t="shared" si="143"/>
        <v>153000236</v>
      </c>
      <c r="S812" s="1">
        <v>47946</v>
      </c>
    </row>
    <row r="813" spans="1:19" x14ac:dyDescent="0.35">
      <c r="A813" t="s">
        <v>2182</v>
      </c>
      <c r="B813" t="s">
        <v>31</v>
      </c>
      <c r="C813" t="s">
        <v>2405</v>
      </c>
      <c r="D813" t="str">
        <f t="shared" si="141"/>
        <v>2501717949</v>
      </c>
      <c r="E813" t="s">
        <v>1536</v>
      </c>
      <c r="F813" t="str">
        <f t="shared" si="142"/>
        <v>400426</v>
      </c>
      <c r="G813" t="s">
        <v>34</v>
      </c>
      <c r="H813" t="s">
        <v>2220</v>
      </c>
      <c r="I813" t="s">
        <v>37</v>
      </c>
      <c r="J813">
        <v>24</v>
      </c>
      <c r="K813">
        <v>336</v>
      </c>
      <c r="L813" t="str">
        <f t="shared" si="139"/>
        <v>520605</v>
      </c>
      <c r="N813" t="s">
        <v>1719</v>
      </c>
      <c r="O813" s="2">
        <v>46233.331875000003</v>
      </c>
      <c r="P813" s="2">
        <v>46233.331875000003</v>
      </c>
      <c r="Q813" s="2">
        <v>46233.331875000003</v>
      </c>
      <c r="R813" t="str">
        <f t="shared" si="143"/>
        <v>153000236</v>
      </c>
      <c r="S813" s="1">
        <v>47946</v>
      </c>
    </row>
    <row r="814" spans="1:19" x14ac:dyDescent="0.35">
      <c r="A814" t="s">
        <v>2182</v>
      </c>
      <c r="B814" t="s">
        <v>31</v>
      </c>
      <c r="C814" t="s">
        <v>2405</v>
      </c>
      <c r="D814" t="str">
        <f t="shared" si="141"/>
        <v>2501717949</v>
      </c>
      <c r="E814" t="s">
        <v>1536</v>
      </c>
      <c r="F814" t="str">
        <f t="shared" si="142"/>
        <v>400426</v>
      </c>
      <c r="G814" t="s">
        <v>34</v>
      </c>
      <c r="H814" t="s">
        <v>2411</v>
      </c>
      <c r="I814" t="s">
        <v>37</v>
      </c>
      <c r="J814">
        <v>24</v>
      </c>
      <c r="K814">
        <v>336</v>
      </c>
      <c r="L814" t="str">
        <f t="shared" si="139"/>
        <v>520605</v>
      </c>
      <c r="N814" t="s">
        <v>1719</v>
      </c>
      <c r="O814" s="2">
        <v>46233.331678240742</v>
      </c>
      <c r="P814" s="2">
        <v>46233.331678240742</v>
      </c>
      <c r="Q814" s="2">
        <v>46233.331678240742</v>
      </c>
      <c r="R814" t="str">
        <f t="shared" si="143"/>
        <v>153000236</v>
      </c>
      <c r="S814" s="1">
        <v>47946</v>
      </c>
    </row>
    <row r="815" spans="1:19" x14ac:dyDescent="0.35">
      <c r="A815" t="s">
        <v>2182</v>
      </c>
      <c r="B815" t="s">
        <v>31</v>
      </c>
      <c r="C815" t="s">
        <v>2405</v>
      </c>
      <c r="D815" t="str">
        <f t="shared" si="141"/>
        <v>2501717949</v>
      </c>
      <c r="E815" t="s">
        <v>1536</v>
      </c>
      <c r="F815" t="str">
        <f t="shared" si="142"/>
        <v>400426</v>
      </c>
      <c r="G815" t="s">
        <v>34</v>
      </c>
      <c r="H815" t="s">
        <v>2412</v>
      </c>
      <c r="I815" t="s">
        <v>37</v>
      </c>
      <c r="J815">
        <v>24</v>
      </c>
      <c r="K815">
        <v>336</v>
      </c>
      <c r="L815" t="str">
        <f t="shared" si="139"/>
        <v>520605</v>
      </c>
      <c r="N815" t="s">
        <v>1719</v>
      </c>
      <c r="O815" s="2">
        <v>46233.331504629627</v>
      </c>
      <c r="P815" s="2">
        <v>46233.331504629627</v>
      </c>
      <c r="Q815" s="2">
        <v>46233.331504629627</v>
      </c>
      <c r="R815" t="str">
        <f t="shared" si="143"/>
        <v>153000236</v>
      </c>
      <c r="S815" s="1">
        <v>47946</v>
      </c>
    </row>
    <row r="816" spans="1:19" x14ac:dyDescent="0.35">
      <c r="A816" t="s">
        <v>2182</v>
      </c>
      <c r="B816" t="s">
        <v>31</v>
      </c>
      <c r="C816" t="s">
        <v>2405</v>
      </c>
      <c r="D816" t="str">
        <f t="shared" si="141"/>
        <v>2501717949</v>
      </c>
      <c r="E816" t="s">
        <v>1536</v>
      </c>
      <c r="F816" t="str">
        <f t="shared" si="142"/>
        <v>400426</v>
      </c>
      <c r="G816" t="s">
        <v>34</v>
      </c>
      <c r="H816" t="s">
        <v>2413</v>
      </c>
      <c r="I816" t="s">
        <v>37</v>
      </c>
      <c r="J816">
        <v>24</v>
      </c>
      <c r="K816">
        <v>336</v>
      </c>
      <c r="L816" t="str">
        <f t="shared" si="139"/>
        <v>520605</v>
      </c>
      <c r="N816" t="s">
        <v>1719</v>
      </c>
      <c r="O816" s="2">
        <v>46233.331331018519</v>
      </c>
      <c r="P816" s="2">
        <v>46233.331331018519</v>
      </c>
      <c r="Q816" s="2">
        <v>46233.331331018519</v>
      </c>
      <c r="R816" t="str">
        <f t="shared" si="143"/>
        <v>153000236</v>
      </c>
      <c r="S816" s="1">
        <v>47946</v>
      </c>
    </row>
    <row r="817" spans="1:19" x14ac:dyDescent="0.35">
      <c r="A817" t="s">
        <v>2182</v>
      </c>
      <c r="B817" t="s">
        <v>31</v>
      </c>
      <c r="C817" t="s">
        <v>2405</v>
      </c>
      <c r="D817" t="str">
        <f t="shared" si="141"/>
        <v>2501717949</v>
      </c>
      <c r="E817" t="s">
        <v>1536</v>
      </c>
      <c r="F817" t="str">
        <f t="shared" si="142"/>
        <v>400426</v>
      </c>
      <c r="G817" t="s">
        <v>34</v>
      </c>
      <c r="H817" t="s">
        <v>2414</v>
      </c>
      <c r="I817" t="s">
        <v>37</v>
      </c>
      <c r="J817">
        <v>24</v>
      </c>
      <c r="K817">
        <v>336</v>
      </c>
      <c r="L817" t="str">
        <f t="shared" si="139"/>
        <v>520605</v>
      </c>
      <c r="N817" t="s">
        <v>1719</v>
      </c>
      <c r="O817" s="2">
        <v>46233.331180555557</v>
      </c>
      <c r="P817" s="2">
        <v>46233.331180555557</v>
      </c>
      <c r="Q817" s="2">
        <v>46233.331180555557</v>
      </c>
      <c r="R817" t="str">
        <f t="shared" si="143"/>
        <v>153000236</v>
      </c>
      <c r="S817" s="1">
        <v>47946</v>
      </c>
    </row>
    <row r="818" spans="1:19" x14ac:dyDescent="0.35">
      <c r="A818" t="s">
        <v>2182</v>
      </c>
      <c r="B818" t="s">
        <v>31</v>
      </c>
      <c r="C818" t="s">
        <v>2405</v>
      </c>
      <c r="D818" t="str">
        <f t="shared" si="141"/>
        <v>2501717949</v>
      </c>
      <c r="E818" t="s">
        <v>1536</v>
      </c>
      <c r="F818" t="str">
        <f t="shared" si="142"/>
        <v>400426</v>
      </c>
      <c r="G818" t="s">
        <v>34</v>
      </c>
      <c r="H818" t="s">
        <v>2415</v>
      </c>
      <c r="I818" t="s">
        <v>37</v>
      </c>
      <c r="J818">
        <v>24</v>
      </c>
      <c r="K818">
        <v>336</v>
      </c>
      <c r="L818" t="str">
        <f t="shared" si="139"/>
        <v>520605</v>
      </c>
      <c r="N818" t="s">
        <v>1719</v>
      </c>
      <c r="O818" s="2">
        <v>46233.330960648149</v>
      </c>
      <c r="P818" s="2">
        <v>46233.330960648149</v>
      </c>
      <c r="Q818" s="2">
        <v>46233.330960648149</v>
      </c>
      <c r="R818" t="str">
        <f t="shared" si="143"/>
        <v>153000236</v>
      </c>
      <c r="S818" s="1">
        <v>47946</v>
      </c>
    </row>
    <row r="819" spans="1:19" x14ac:dyDescent="0.35">
      <c r="A819" t="s">
        <v>2182</v>
      </c>
      <c r="B819" t="s">
        <v>31</v>
      </c>
      <c r="C819" t="s">
        <v>2405</v>
      </c>
      <c r="D819" t="str">
        <f t="shared" si="141"/>
        <v>2501717949</v>
      </c>
      <c r="E819" t="s">
        <v>1536</v>
      </c>
      <c r="F819" t="str">
        <f t="shared" si="142"/>
        <v>400426</v>
      </c>
      <c r="G819" t="s">
        <v>34</v>
      </c>
      <c r="H819" t="s">
        <v>2416</v>
      </c>
      <c r="I819" t="s">
        <v>37</v>
      </c>
      <c r="J819">
        <v>24</v>
      </c>
      <c r="K819">
        <v>336</v>
      </c>
      <c r="L819" t="str">
        <f t="shared" si="139"/>
        <v>520605</v>
      </c>
      <c r="N819" t="s">
        <v>1719</v>
      </c>
      <c r="O819" s="2">
        <v>46233.330821759257</v>
      </c>
      <c r="P819" s="2">
        <v>46233.330821759257</v>
      </c>
      <c r="Q819" s="2">
        <v>46233.330821759257</v>
      </c>
      <c r="R819" t="str">
        <f t="shared" si="143"/>
        <v>153000236</v>
      </c>
      <c r="S819" s="1">
        <v>47946</v>
      </c>
    </row>
    <row r="820" spans="1:19" x14ac:dyDescent="0.35">
      <c r="A820" t="s">
        <v>2182</v>
      </c>
      <c r="B820" t="s">
        <v>31</v>
      </c>
      <c r="C820" t="s">
        <v>2405</v>
      </c>
      <c r="D820" t="str">
        <f t="shared" si="141"/>
        <v>2501717949</v>
      </c>
      <c r="E820" t="s">
        <v>1536</v>
      </c>
      <c r="F820" t="str">
        <f t="shared" si="142"/>
        <v>400426</v>
      </c>
      <c r="G820" t="s">
        <v>34</v>
      </c>
      <c r="H820" t="s">
        <v>2417</v>
      </c>
      <c r="I820" t="s">
        <v>37</v>
      </c>
      <c r="J820">
        <v>24</v>
      </c>
      <c r="K820">
        <v>336</v>
      </c>
      <c r="L820" t="str">
        <f t="shared" si="139"/>
        <v>520605</v>
      </c>
      <c r="N820" t="s">
        <v>1719</v>
      </c>
      <c r="O820" s="2">
        <v>46233.330555555556</v>
      </c>
      <c r="P820" s="2">
        <v>46233.330555555556</v>
      </c>
      <c r="Q820" s="2">
        <v>46233.330555555556</v>
      </c>
      <c r="R820" t="str">
        <f t="shared" si="143"/>
        <v>153000236</v>
      </c>
      <c r="S820" s="1">
        <v>47946</v>
      </c>
    </row>
    <row r="821" spans="1:19" x14ac:dyDescent="0.35">
      <c r="A821" t="s">
        <v>2182</v>
      </c>
      <c r="B821" t="s">
        <v>31</v>
      </c>
      <c r="C821" t="s">
        <v>2405</v>
      </c>
      <c r="D821" t="str">
        <f t="shared" si="141"/>
        <v>2501717949</v>
      </c>
      <c r="E821" t="s">
        <v>1536</v>
      </c>
      <c r="F821" t="str">
        <f t="shared" si="142"/>
        <v>400426</v>
      </c>
      <c r="G821" t="s">
        <v>34</v>
      </c>
      <c r="H821" t="s">
        <v>2418</v>
      </c>
      <c r="I821" t="s">
        <v>37</v>
      </c>
      <c r="J821">
        <v>24</v>
      </c>
      <c r="K821">
        <v>336</v>
      </c>
      <c r="L821" t="str">
        <f t="shared" si="139"/>
        <v>520605</v>
      </c>
      <c r="N821" t="s">
        <v>1719</v>
      </c>
      <c r="O821" s="2">
        <v>46233.330428240741</v>
      </c>
      <c r="P821" s="2">
        <v>46233.330428240741</v>
      </c>
      <c r="Q821" s="2">
        <v>46233.330428240741</v>
      </c>
      <c r="R821" t="str">
        <f t="shared" si="143"/>
        <v>153000236</v>
      </c>
      <c r="S821" s="1">
        <v>47946</v>
      </c>
    </row>
    <row r="822" spans="1:19" x14ac:dyDescent="0.35">
      <c r="A822" t="s">
        <v>2182</v>
      </c>
      <c r="B822" t="s">
        <v>31</v>
      </c>
      <c r="C822" t="s">
        <v>2405</v>
      </c>
      <c r="D822" t="str">
        <f t="shared" si="141"/>
        <v>2501717949</v>
      </c>
      <c r="E822" t="s">
        <v>1536</v>
      </c>
      <c r="F822" t="str">
        <f t="shared" si="142"/>
        <v>400426</v>
      </c>
      <c r="G822" t="s">
        <v>34</v>
      </c>
      <c r="H822" t="s">
        <v>2229</v>
      </c>
      <c r="I822" t="s">
        <v>37</v>
      </c>
      <c r="J822">
        <v>24</v>
      </c>
      <c r="K822">
        <v>336</v>
      </c>
      <c r="L822" t="str">
        <f t="shared" si="139"/>
        <v>520605</v>
      </c>
      <c r="N822" t="s">
        <v>1719</v>
      </c>
      <c r="O822" s="2">
        <v>46233.330277777779</v>
      </c>
      <c r="P822" s="2">
        <v>46233.330277777779</v>
      </c>
      <c r="Q822" s="2">
        <v>46233.330277777779</v>
      </c>
      <c r="R822" t="str">
        <f t="shared" si="143"/>
        <v>153000236</v>
      </c>
      <c r="S822" s="1">
        <v>47946</v>
      </c>
    </row>
    <row r="823" spans="1:19" x14ac:dyDescent="0.35">
      <c r="A823" t="s">
        <v>2182</v>
      </c>
      <c r="B823" t="s">
        <v>31</v>
      </c>
      <c r="C823" t="s">
        <v>2405</v>
      </c>
      <c r="D823" t="str">
        <f t="shared" si="141"/>
        <v>2501717949</v>
      </c>
      <c r="E823" t="s">
        <v>1536</v>
      </c>
      <c r="F823" t="str">
        <f t="shared" si="142"/>
        <v>400426</v>
      </c>
      <c r="G823" t="s">
        <v>34</v>
      </c>
      <c r="H823" t="s">
        <v>2419</v>
      </c>
      <c r="I823" t="s">
        <v>37</v>
      </c>
      <c r="J823">
        <v>24</v>
      </c>
      <c r="K823">
        <v>48</v>
      </c>
      <c r="L823" t="str">
        <f t="shared" si="139"/>
        <v>520605</v>
      </c>
      <c r="N823" t="s">
        <v>1719</v>
      </c>
      <c r="O823" s="2">
        <v>46233.329768518517</v>
      </c>
      <c r="P823" s="2">
        <v>46233.329780092594</v>
      </c>
      <c r="Q823" s="2">
        <v>46233.329780092594</v>
      </c>
      <c r="R823" t="str">
        <f>"153000233"</f>
        <v>153000233</v>
      </c>
      <c r="S823" s="1">
        <v>47946</v>
      </c>
    </row>
    <row r="824" spans="1:19" x14ac:dyDescent="0.35">
      <c r="A824" t="s">
        <v>2182</v>
      </c>
      <c r="B824" t="s">
        <v>31</v>
      </c>
      <c r="C824" t="s">
        <v>2405</v>
      </c>
      <c r="D824" t="str">
        <f t="shared" si="141"/>
        <v>2501717949</v>
      </c>
      <c r="E824" t="s">
        <v>1536</v>
      </c>
      <c r="F824" t="str">
        <f t="shared" si="142"/>
        <v>400426</v>
      </c>
      <c r="G824" t="s">
        <v>34</v>
      </c>
      <c r="H824" t="s">
        <v>2420</v>
      </c>
      <c r="I824" t="s">
        <v>37</v>
      </c>
      <c r="J824">
        <v>24</v>
      </c>
      <c r="K824">
        <v>48</v>
      </c>
      <c r="L824" t="str">
        <f t="shared" si="139"/>
        <v>520605</v>
      </c>
      <c r="N824" t="s">
        <v>1719</v>
      </c>
      <c r="O824" s="2">
        <v>46233.32953703704</v>
      </c>
      <c r="P824" s="2">
        <v>46233.32953703704</v>
      </c>
      <c r="Q824" s="2">
        <v>46233.32953703704</v>
      </c>
      <c r="R824" t="str">
        <f>"153000233"</f>
        <v>153000233</v>
      </c>
      <c r="S824" s="1">
        <v>47946</v>
      </c>
    </row>
    <row r="825" spans="1:19" x14ac:dyDescent="0.35">
      <c r="A825" t="s">
        <v>2182</v>
      </c>
      <c r="B825" t="s">
        <v>31</v>
      </c>
      <c r="C825" t="s">
        <v>2405</v>
      </c>
      <c r="D825" t="str">
        <f t="shared" si="141"/>
        <v>2501717949</v>
      </c>
      <c r="E825" t="s">
        <v>1536</v>
      </c>
      <c r="F825" t="str">
        <f t="shared" si="142"/>
        <v>400426</v>
      </c>
      <c r="G825" t="s">
        <v>34</v>
      </c>
      <c r="H825" t="s">
        <v>2421</v>
      </c>
      <c r="I825" t="s">
        <v>37</v>
      </c>
      <c r="J825">
        <v>24</v>
      </c>
      <c r="K825">
        <v>146</v>
      </c>
      <c r="L825" t="str">
        <f t="shared" si="139"/>
        <v>520605</v>
      </c>
      <c r="N825" t="s">
        <v>1719</v>
      </c>
      <c r="O825" s="2">
        <v>46233.329317129632</v>
      </c>
      <c r="P825" s="2">
        <v>46233.329317129632</v>
      </c>
      <c r="Q825" s="2">
        <v>46233.329317129632</v>
      </c>
      <c r="R825" t="str">
        <f t="shared" ref="R825:R831" si="144">"153000231"</f>
        <v>153000231</v>
      </c>
      <c r="S825" s="1">
        <v>47944</v>
      </c>
    </row>
    <row r="826" spans="1:19" x14ac:dyDescent="0.35">
      <c r="A826" t="s">
        <v>2182</v>
      </c>
      <c r="B826" t="s">
        <v>31</v>
      </c>
      <c r="C826" t="s">
        <v>2405</v>
      </c>
      <c r="D826" t="str">
        <f t="shared" si="141"/>
        <v>2501717949</v>
      </c>
      <c r="E826" t="s">
        <v>1536</v>
      </c>
      <c r="F826" t="str">
        <f t="shared" si="142"/>
        <v>400426</v>
      </c>
      <c r="G826" t="s">
        <v>34</v>
      </c>
      <c r="H826" t="s">
        <v>2422</v>
      </c>
      <c r="I826" t="s">
        <v>37</v>
      </c>
      <c r="J826">
        <v>24</v>
      </c>
      <c r="K826">
        <v>146</v>
      </c>
      <c r="L826" t="str">
        <f t="shared" si="139"/>
        <v>520605</v>
      </c>
      <c r="N826" t="s">
        <v>1719</v>
      </c>
      <c r="O826" s="2">
        <v>46233.329108796293</v>
      </c>
      <c r="P826" s="2">
        <v>46233.329108796293</v>
      </c>
      <c r="Q826" s="2">
        <v>46233.329108796293</v>
      </c>
      <c r="R826" t="str">
        <f t="shared" si="144"/>
        <v>153000231</v>
      </c>
      <c r="S826" s="1">
        <v>47944</v>
      </c>
    </row>
    <row r="827" spans="1:19" x14ac:dyDescent="0.35">
      <c r="A827" t="s">
        <v>2182</v>
      </c>
      <c r="B827" t="s">
        <v>31</v>
      </c>
      <c r="C827" t="s">
        <v>2405</v>
      </c>
      <c r="D827" t="str">
        <f t="shared" si="141"/>
        <v>2501717949</v>
      </c>
      <c r="E827" t="s">
        <v>1536</v>
      </c>
      <c r="F827" t="str">
        <f t="shared" si="142"/>
        <v>400426</v>
      </c>
      <c r="G827" t="s">
        <v>34</v>
      </c>
      <c r="H827" t="s">
        <v>2423</v>
      </c>
      <c r="I827" t="s">
        <v>37</v>
      </c>
      <c r="J827">
        <v>24</v>
      </c>
      <c r="K827">
        <v>146</v>
      </c>
      <c r="L827" t="str">
        <f t="shared" si="139"/>
        <v>520605</v>
      </c>
      <c r="N827" t="s">
        <v>1719</v>
      </c>
      <c r="O827" s="2">
        <v>46233.328877314816</v>
      </c>
      <c r="P827" s="2">
        <v>46233.328877314816</v>
      </c>
      <c r="Q827" s="2">
        <v>46233.328877314816</v>
      </c>
      <c r="R827" t="str">
        <f t="shared" si="144"/>
        <v>153000231</v>
      </c>
      <c r="S827" s="1">
        <v>47944</v>
      </c>
    </row>
    <row r="828" spans="1:19" x14ac:dyDescent="0.35">
      <c r="A828" t="s">
        <v>2182</v>
      </c>
      <c r="B828" t="s">
        <v>31</v>
      </c>
      <c r="C828" t="s">
        <v>2405</v>
      </c>
      <c r="D828" t="str">
        <f t="shared" si="141"/>
        <v>2501717949</v>
      </c>
      <c r="E828" t="s">
        <v>1536</v>
      </c>
      <c r="F828" t="str">
        <f t="shared" si="142"/>
        <v>400426</v>
      </c>
      <c r="G828" t="s">
        <v>34</v>
      </c>
      <c r="H828" t="s">
        <v>2424</v>
      </c>
      <c r="I828" t="s">
        <v>37</v>
      </c>
      <c r="J828">
        <v>24</v>
      </c>
      <c r="K828">
        <v>146</v>
      </c>
      <c r="L828" t="str">
        <f t="shared" si="139"/>
        <v>520605</v>
      </c>
      <c r="N828" t="s">
        <v>1719</v>
      </c>
      <c r="O828" s="2">
        <v>46233.328692129631</v>
      </c>
      <c r="P828" s="2">
        <v>46233.328692129631</v>
      </c>
      <c r="Q828" s="2">
        <v>46233.328692129631</v>
      </c>
      <c r="R828" t="str">
        <f t="shared" si="144"/>
        <v>153000231</v>
      </c>
      <c r="S828" s="1">
        <v>47944</v>
      </c>
    </row>
    <row r="829" spans="1:19" x14ac:dyDescent="0.35">
      <c r="A829" t="s">
        <v>2182</v>
      </c>
      <c r="B829" t="s">
        <v>31</v>
      </c>
      <c r="C829" t="s">
        <v>2405</v>
      </c>
      <c r="D829" t="str">
        <f t="shared" si="141"/>
        <v>2501717949</v>
      </c>
      <c r="E829" t="s">
        <v>1536</v>
      </c>
      <c r="F829" t="str">
        <f t="shared" si="142"/>
        <v>400426</v>
      </c>
      <c r="G829" t="s">
        <v>34</v>
      </c>
      <c r="H829" t="s">
        <v>2425</v>
      </c>
      <c r="I829" t="s">
        <v>37</v>
      </c>
      <c r="J829">
        <v>24</v>
      </c>
      <c r="K829">
        <v>146</v>
      </c>
      <c r="L829" t="str">
        <f t="shared" si="139"/>
        <v>520605</v>
      </c>
      <c r="N829" t="s">
        <v>1719</v>
      </c>
      <c r="O829" s="2">
        <v>46233.328460648147</v>
      </c>
      <c r="P829" s="2">
        <v>46233.328460648147</v>
      </c>
      <c r="Q829" s="2">
        <v>46233.328460648147</v>
      </c>
      <c r="R829" t="str">
        <f t="shared" si="144"/>
        <v>153000231</v>
      </c>
      <c r="S829" s="1">
        <v>47944</v>
      </c>
    </row>
    <row r="830" spans="1:19" x14ac:dyDescent="0.35">
      <c r="A830" t="s">
        <v>2182</v>
      </c>
      <c r="B830" t="s">
        <v>31</v>
      </c>
      <c r="C830" t="s">
        <v>2405</v>
      </c>
      <c r="D830" t="str">
        <f t="shared" si="141"/>
        <v>2501717949</v>
      </c>
      <c r="E830" t="s">
        <v>1536</v>
      </c>
      <c r="F830" t="str">
        <f t="shared" si="142"/>
        <v>400426</v>
      </c>
      <c r="G830" t="s">
        <v>34</v>
      </c>
      <c r="H830" t="s">
        <v>2426</v>
      </c>
      <c r="I830" t="s">
        <v>37</v>
      </c>
      <c r="J830">
        <v>24</v>
      </c>
      <c r="K830">
        <v>146</v>
      </c>
      <c r="L830" t="str">
        <f t="shared" si="139"/>
        <v>520605</v>
      </c>
      <c r="N830" t="s">
        <v>1719</v>
      </c>
      <c r="O830" s="2">
        <v>46233.328009259261</v>
      </c>
      <c r="P830" s="2">
        <v>46233.328009259261</v>
      </c>
      <c r="Q830" s="2">
        <v>46233.328009259261</v>
      </c>
      <c r="R830" t="str">
        <f t="shared" si="144"/>
        <v>153000231</v>
      </c>
      <c r="S830" s="1">
        <v>47944</v>
      </c>
    </row>
    <row r="831" spans="1:19" x14ac:dyDescent="0.35">
      <c r="A831" t="s">
        <v>2182</v>
      </c>
      <c r="B831" t="s">
        <v>31</v>
      </c>
      <c r="C831" t="s">
        <v>2405</v>
      </c>
      <c r="D831" t="str">
        <f t="shared" si="141"/>
        <v>2501717949</v>
      </c>
      <c r="E831" t="s">
        <v>1536</v>
      </c>
      <c r="F831" t="str">
        <f t="shared" si="142"/>
        <v>400426</v>
      </c>
      <c r="G831" t="s">
        <v>34</v>
      </c>
      <c r="H831" t="s">
        <v>2427</v>
      </c>
      <c r="I831" t="s">
        <v>37</v>
      </c>
      <c r="J831">
        <v>2</v>
      </c>
      <c r="K831">
        <v>146</v>
      </c>
      <c r="L831" t="str">
        <f t="shared" si="139"/>
        <v>520605</v>
      </c>
      <c r="N831" t="s">
        <v>1719</v>
      </c>
      <c r="O831" s="2">
        <v>46233.327777777777</v>
      </c>
      <c r="P831" s="2">
        <v>46233.327777777777</v>
      </c>
      <c r="Q831" s="2">
        <v>46233.327777777777</v>
      </c>
      <c r="R831" t="str">
        <f t="shared" si="144"/>
        <v>153000231</v>
      </c>
      <c r="S831" s="1">
        <v>47944</v>
      </c>
    </row>
    <row r="832" spans="1:19" x14ac:dyDescent="0.35">
      <c r="A832" t="s">
        <v>2182</v>
      </c>
      <c r="B832" t="s">
        <v>31</v>
      </c>
      <c r="C832" t="s">
        <v>2428</v>
      </c>
      <c r="D832" t="str">
        <f>"2501717898"</f>
        <v>2501717898</v>
      </c>
      <c r="E832" t="s">
        <v>1536</v>
      </c>
      <c r="F832" t="str">
        <f>"400401"</f>
        <v>400401</v>
      </c>
      <c r="G832" t="s">
        <v>2297</v>
      </c>
      <c r="H832" t="s">
        <v>2298</v>
      </c>
      <c r="I832" t="s">
        <v>41</v>
      </c>
      <c r="J832">
        <v>1</v>
      </c>
      <c r="K832">
        <v>1</v>
      </c>
      <c r="L832" t="str">
        <f>"521105"</f>
        <v>521105</v>
      </c>
      <c r="N832" t="s">
        <v>2134</v>
      </c>
      <c r="O832" s="2">
        <v>46231.321400462963</v>
      </c>
      <c r="P832" s="2">
        <v>46231.321400462963</v>
      </c>
      <c r="Q832" s="2">
        <v>46231.321400462963</v>
      </c>
      <c r="R832" t="str">
        <f>"153000119"</f>
        <v>153000119</v>
      </c>
      <c r="S832" s="1">
        <v>47892</v>
      </c>
    </row>
    <row r="833" spans="1:19" x14ac:dyDescent="0.35">
      <c r="A833" t="s">
        <v>2182</v>
      </c>
      <c r="B833" t="s">
        <v>31</v>
      </c>
      <c r="C833" t="s">
        <v>2428</v>
      </c>
      <c r="D833" t="str">
        <f>"2501717898"</f>
        <v>2501717898</v>
      </c>
      <c r="E833" t="s">
        <v>1536</v>
      </c>
      <c r="F833" t="str">
        <f>"400491"</f>
        <v>400491</v>
      </c>
      <c r="G833" t="s">
        <v>2429</v>
      </c>
      <c r="H833" t="s">
        <v>2430</v>
      </c>
      <c r="I833" t="s">
        <v>41</v>
      </c>
      <c r="J833">
        <v>1</v>
      </c>
      <c r="K833">
        <v>1</v>
      </c>
      <c r="L833" t="str">
        <f>"521105"</f>
        <v>521105</v>
      </c>
      <c r="N833" t="s">
        <v>2134</v>
      </c>
      <c r="O833" s="2">
        <v>46231.321331018517</v>
      </c>
      <c r="P833" s="2">
        <v>46231.321331018517</v>
      </c>
      <c r="Q833" s="2">
        <v>46231.321331018517</v>
      </c>
      <c r="R833" t="str">
        <f>"153000252"</f>
        <v>153000252</v>
      </c>
      <c r="S833" s="1">
        <v>47953</v>
      </c>
    </row>
    <row r="834" spans="1:19" x14ac:dyDescent="0.35">
      <c r="A834" t="s">
        <v>2182</v>
      </c>
      <c r="B834" t="s">
        <v>31</v>
      </c>
      <c r="C834" t="s">
        <v>2431</v>
      </c>
      <c r="D834" t="str">
        <f>"2501717897"</f>
        <v>2501717897</v>
      </c>
      <c r="E834" t="s">
        <v>1536</v>
      </c>
      <c r="F834" t="str">
        <f>"400424"</f>
        <v>400424</v>
      </c>
      <c r="G834" t="s">
        <v>1704</v>
      </c>
      <c r="H834" t="s">
        <v>2262</v>
      </c>
      <c r="I834" t="s">
        <v>41</v>
      </c>
      <c r="J834">
        <v>2</v>
      </c>
      <c r="K834">
        <v>2</v>
      </c>
      <c r="L834" t="str">
        <f>"521234"</f>
        <v>521234</v>
      </c>
      <c r="N834" t="s">
        <v>1583</v>
      </c>
      <c r="O834" s="2">
        <v>46231.321840277778</v>
      </c>
      <c r="P834" s="2">
        <v>46231.321840277778</v>
      </c>
      <c r="Q834" s="2">
        <v>46231.321840277778</v>
      </c>
      <c r="R834" t="str">
        <f>"153000354"</f>
        <v>153000354</v>
      </c>
      <c r="S834" s="1">
        <v>48004</v>
      </c>
    </row>
    <row r="835" spans="1:19" x14ac:dyDescent="0.35">
      <c r="A835" t="s">
        <v>2182</v>
      </c>
      <c r="B835" t="s">
        <v>31</v>
      </c>
      <c r="C835" t="s">
        <v>2431</v>
      </c>
      <c r="D835" t="str">
        <f>"2501717897"</f>
        <v>2501717897</v>
      </c>
      <c r="E835" t="s">
        <v>1536</v>
      </c>
      <c r="F835" t="str">
        <f>"400903"</f>
        <v>400903</v>
      </c>
      <c r="G835" t="s">
        <v>1712</v>
      </c>
      <c r="H835" t="s">
        <v>2237</v>
      </c>
      <c r="I835" t="s">
        <v>41</v>
      </c>
      <c r="J835">
        <v>1</v>
      </c>
      <c r="K835">
        <v>1</v>
      </c>
      <c r="L835" t="str">
        <f>"521234"</f>
        <v>521234</v>
      </c>
      <c r="N835" t="s">
        <v>1583</v>
      </c>
      <c r="O835" s="2">
        <v>46231.321793981479</v>
      </c>
      <c r="P835" s="2">
        <v>46231.321793981479</v>
      </c>
      <c r="Q835" s="2">
        <v>46231.321793981479</v>
      </c>
      <c r="R835" t="str">
        <f>"600000986"</f>
        <v>600000986</v>
      </c>
      <c r="S835" s="1">
        <v>47897</v>
      </c>
    </row>
    <row r="836" spans="1:19" x14ac:dyDescent="0.35">
      <c r="A836" t="s">
        <v>2182</v>
      </c>
      <c r="B836" t="s">
        <v>31</v>
      </c>
      <c r="C836" t="s">
        <v>2431</v>
      </c>
      <c r="D836" t="str">
        <f>"2501717897"</f>
        <v>2501717897</v>
      </c>
      <c r="E836" t="s">
        <v>1536</v>
      </c>
      <c r="F836" t="str">
        <f>"401047"</f>
        <v>401047</v>
      </c>
      <c r="G836" t="s">
        <v>1730</v>
      </c>
      <c r="H836" t="s">
        <v>2245</v>
      </c>
      <c r="I836" t="s">
        <v>41</v>
      </c>
      <c r="J836">
        <v>1</v>
      </c>
      <c r="K836">
        <v>1</v>
      </c>
      <c r="L836" t="str">
        <f>"521234"</f>
        <v>521234</v>
      </c>
      <c r="N836" t="s">
        <v>1583</v>
      </c>
      <c r="O836" s="2">
        <v>46231.321759259263</v>
      </c>
      <c r="P836" s="2">
        <v>46231.321759259263</v>
      </c>
      <c r="Q836" s="2">
        <v>46231.321759259263</v>
      </c>
      <c r="R836" t="str">
        <f>"153000283"</f>
        <v>153000283</v>
      </c>
      <c r="S836" s="1">
        <v>47969</v>
      </c>
    </row>
    <row r="837" spans="1:19" x14ac:dyDescent="0.35">
      <c r="A837" t="s">
        <v>2182</v>
      </c>
      <c r="B837" t="s">
        <v>31</v>
      </c>
      <c r="C837" t="s">
        <v>2432</v>
      </c>
      <c r="D837" t="str">
        <f>"2501717893"</f>
        <v>2501717893</v>
      </c>
      <c r="E837" t="s">
        <v>1536</v>
      </c>
      <c r="F837" t="str">
        <f>"400630"</f>
        <v>400630</v>
      </c>
      <c r="G837" t="s">
        <v>1742</v>
      </c>
      <c r="H837" t="s">
        <v>2433</v>
      </c>
      <c r="I837" t="s">
        <v>41</v>
      </c>
      <c r="J837">
        <v>3</v>
      </c>
      <c r="K837">
        <v>7</v>
      </c>
      <c r="L837" t="str">
        <f>"520939"</f>
        <v>520939</v>
      </c>
      <c r="N837" t="s">
        <v>2139</v>
      </c>
      <c r="O837" s="2">
        <v>46231.32236111111</v>
      </c>
      <c r="P837" s="2">
        <v>46231.322372685187</v>
      </c>
      <c r="Q837" s="2">
        <v>46231.322372685187</v>
      </c>
      <c r="R837" t="str">
        <f>"153000444"</f>
        <v>153000444</v>
      </c>
      <c r="S837" s="1">
        <v>48037</v>
      </c>
    </row>
    <row r="838" spans="1:19" x14ac:dyDescent="0.35">
      <c r="A838" t="s">
        <v>2182</v>
      </c>
      <c r="B838" t="s">
        <v>31</v>
      </c>
      <c r="C838" t="s">
        <v>2432</v>
      </c>
      <c r="D838" t="str">
        <f>"2501717893"</f>
        <v>2501717893</v>
      </c>
      <c r="E838" t="s">
        <v>1536</v>
      </c>
      <c r="F838" t="str">
        <f>"400630"</f>
        <v>400630</v>
      </c>
      <c r="G838" t="s">
        <v>1742</v>
      </c>
      <c r="H838" t="s">
        <v>2434</v>
      </c>
      <c r="I838" t="s">
        <v>41</v>
      </c>
      <c r="J838">
        <v>4</v>
      </c>
      <c r="K838">
        <v>7</v>
      </c>
      <c r="L838" t="str">
        <f>"520939"</f>
        <v>520939</v>
      </c>
      <c r="N838" t="s">
        <v>2139</v>
      </c>
      <c r="O838" s="2">
        <v>46231.322280092594</v>
      </c>
      <c r="P838" s="2">
        <v>46231.322280092594</v>
      </c>
      <c r="Q838" s="2">
        <v>46231.322280092594</v>
      </c>
      <c r="R838" t="str">
        <f>"153000444"</f>
        <v>153000444</v>
      </c>
      <c r="S838" s="1">
        <v>48037</v>
      </c>
    </row>
    <row r="839" spans="1:19" x14ac:dyDescent="0.35">
      <c r="A839" t="s">
        <v>2182</v>
      </c>
      <c r="B839" t="s">
        <v>31</v>
      </c>
      <c r="C839" t="s">
        <v>2432</v>
      </c>
      <c r="D839" t="str">
        <f>"2501717893"</f>
        <v>2501717893</v>
      </c>
      <c r="E839" t="s">
        <v>1536</v>
      </c>
      <c r="F839" t="str">
        <f>"400630"</f>
        <v>400630</v>
      </c>
      <c r="G839" t="s">
        <v>1742</v>
      </c>
      <c r="H839" t="s">
        <v>2435</v>
      </c>
      <c r="I839" t="s">
        <v>41</v>
      </c>
      <c r="J839">
        <v>1</v>
      </c>
      <c r="K839">
        <v>1</v>
      </c>
      <c r="L839" t="str">
        <f>"520939"</f>
        <v>520939</v>
      </c>
      <c r="N839" t="s">
        <v>2139</v>
      </c>
      <c r="O839" s="2">
        <v>46231.322245370371</v>
      </c>
      <c r="P839" s="2">
        <v>46231.322245370371</v>
      </c>
      <c r="Q839" s="2">
        <v>46231.322245370371</v>
      </c>
      <c r="R839" t="str">
        <f>"153000344"</f>
        <v>153000344</v>
      </c>
      <c r="S839" s="1">
        <v>48001</v>
      </c>
    </row>
    <row r="840" spans="1:19" x14ac:dyDescent="0.35">
      <c r="A840" t="s">
        <v>2182</v>
      </c>
      <c r="B840" t="s">
        <v>31</v>
      </c>
      <c r="C840" t="s">
        <v>2436</v>
      </c>
      <c r="D840" t="str">
        <f>"2501717892"</f>
        <v>2501717892</v>
      </c>
      <c r="E840" t="s">
        <v>1536</v>
      </c>
      <c r="F840" t="str">
        <f>"400402"</f>
        <v>400402</v>
      </c>
      <c r="G840" t="s">
        <v>1665</v>
      </c>
      <c r="H840" t="s">
        <v>2383</v>
      </c>
      <c r="I840" t="s">
        <v>37</v>
      </c>
      <c r="J840">
        <v>20</v>
      </c>
      <c r="K840">
        <v>20</v>
      </c>
      <c r="L840" t="str">
        <f>"521161"</f>
        <v>521161</v>
      </c>
      <c r="N840" t="s">
        <v>1556</v>
      </c>
      <c r="O840" s="2">
        <v>46231.322916666664</v>
      </c>
      <c r="P840" s="2">
        <v>46231.322916666664</v>
      </c>
      <c r="Q840" s="2">
        <v>46231.322916666664</v>
      </c>
      <c r="R840" t="str">
        <f>"153000363"</f>
        <v>153000363</v>
      </c>
      <c r="S840" s="1">
        <v>48006</v>
      </c>
    </row>
    <row r="841" spans="1:19" x14ac:dyDescent="0.35">
      <c r="A841" t="s">
        <v>2182</v>
      </c>
      <c r="B841" t="s">
        <v>31</v>
      </c>
      <c r="C841" t="s">
        <v>2431</v>
      </c>
      <c r="D841" t="str">
        <f>"2501717897"</f>
        <v>2501717897</v>
      </c>
      <c r="E841" t="s">
        <v>1536</v>
      </c>
      <c r="F841" t="str">
        <f t="shared" ref="F841:F849" si="145">"400441"</f>
        <v>400441</v>
      </c>
      <c r="G841" t="s">
        <v>65</v>
      </c>
      <c r="H841" t="s">
        <v>2378</v>
      </c>
      <c r="I841" t="s">
        <v>41</v>
      </c>
      <c r="J841">
        <v>2</v>
      </c>
      <c r="K841">
        <v>2</v>
      </c>
      <c r="L841" t="str">
        <f>"521234"</f>
        <v>521234</v>
      </c>
      <c r="N841" t="s">
        <v>1583</v>
      </c>
      <c r="O841" s="2">
        <v>46231.321712962963</v>
      </c>
      <c r="P841" s="2">
        <v>46231.321712962963</v>
      </c>
      <c r="Q841" s="2">
        <v>46231.321712962963</v>
      </c>
      <c r="R841" t="str">
        <f>"153000271"</f>
        <v>153000271</v>
      </c>
      <c r="S841" s="1">
        <v>47965</v>
      </c>
    </row>
    <row r="842" spans="1:19" x14ac:dyDescent="0.35">
      <c r="A842" t="s">
        <v>2182</v>
      </c>
      <c r="B842" t="s">
        <v>31</v>
      </c>
      <c r="C842" t="s">
        <v>2437</v>
      </c>
      <c r="D842" t="str">
        <f>"2501717890"</f>
        <v>2501717890</v>
      </c>
      <c r="E842" t="s">
        <v>1536</v>
      </c>
      <c r="F842" t="str">
        <f t="shared" si="145"/>
        <v>400441</v>
      </c>
      <c r="G842" t="s">
        <v>65</v>
      </c>
      <c r="H842" t="s">
        <v>2438</v>
      </c>
      <c r="I842" t="s">
        <v>41</v>
      </c>
      <c r="J842">
        <v>2</v>
      </c>
      <c r="K842">
        <v>2</v>
      </c>
      <c r="L842" t="str">
        <f>"520605"</f>
        <v>520605</v>
      </c>
      <c r="N842" t="s">
        <v>1719</v>
      </c>
      <c r="O842" s="2">
        <v>46231.323518518519</v>
      </c>
      <c r="P842" s="2">
        <v>46231.323518518519</v>
      </c>
      <c r="Q842" s="2">
        <v>46231.323518518519</v>
      </c>
      <c r="R842" t="str">
        <f>"153000271"</f>
        <v>153000271</v>
      </c>
      <c r="S842" s="1">
        <v>47965</v>
      </c>
    </row>
    <row r="843" spans="1:19" x14ac:dyDescent="0.35">
      <c r="A843" t="s">
        <v>2182</v>
      </c>
      <c r="B843" t="s">
        <v>31</v>
      </c>
      <c r="C843" t="s">
        <v>2439</v>
      </c>
      <c r="D843" t="str">
        <f>"2501717889"</f>
        <v>2501717889</v>
      </c>
      <c r="E843" t="s">
        <v>1536</v>
      </c>
      <c r="F843" t="str">
        <f t="shared" si="145"/>
        <v>400441</v>
      </c>
      <c r="G843" t="s">
        <v>65</v>
      </c>
      <c r="H843" t="s">
        <v>2438</v>
      </c>
      <c r="I843" t="s">
        <v>41</v>
      </c>
      <c r="J843">
        <v>2</v>
      </c>
      <c r="K843">
        <v>2</v>
      </c>
      <c r="L843" t="str">
        <f t="shared" ref="L843:L849" si="146">"521234"</f>
        <v>521234</v>
      </c>
      <c r="N843" t="s">
        <v>1583</v>
      </c>
      <c r="O843" s="2">
        <v>46231.323888888888</v>
      </c>
      <c r="P843" s="2">
        <v>46231.323888888888</v>
      </c>
      <c r="Q843" s="2">
        <v>46231.323888888888</v>
      </c>
      <c r="R843" t="str">
        <f>"153000271"</f>
        <v>153000271</v>
      </c>
      <c r="S843" s="1">
        <v>47965</v>
      </c>
    </row>
    <row r="844" spans="1:19" x14ac:dyDescent="0.35">
      <c r="A844" t="s">
        <v>2182</v>
      </c>
      <c r="B844" t="s">
        <v>31</v>
      </c>
      <c r="C844" t="s">
        <v>2439</v>
      </c>
      <c r="D844" t="str">
        <f>"2501717889"</f>
        <v>2501717889</v>
      </c>
      <c r="E844" t="s">
        <v>1536</v>
      </c>
      <c r="F844" t="str">
        <f t="shared" si="145"/>
        <v>400441</v>
      </c>
      <c r="G844" t="s">
        <v>65</v>
      </c>
      <c r="H844" t="s">
        <v>2300</v>
      </c>
      <c r="I844" t="s">
        <v>41</v>
      </c>
      <c r="J844">
        <v>2</v>
      </c>
      <c r="K844">
        <v>2</v>
      </c>
      <c r="L844" t="str">
        <f t="shared" si="146"/>
        <v>521234</v>
      </c>
      <c r="N844" t="s">
        <v>1583</v>
      </c>
      <c r="O844" s="2">
        <v>46231.323831018519</v>
      </c>
      <c r="P844" s="2">
        <v>46231.323831018519</v>
      </c>
      <c r="Q844" s="2">
        <v>46231.323831018519</v>
      </c>
      <c r="R844" t="str">
        <f t="shared" ref="R844:R849" si="147">"153000268"</f>
        <v>153000268</v>
      </c>
      <c r="S844" s="1">
        <v>47964</v>
      </c>
    </row>
    <row r="845" spans="1:19" x14ac:dyDescent="0.35">
      <c r="A845" t="s">
        <v>2182</v>
      </c>
      <c r="B845" t="s">
        <v>31</v>
      </c>
      <c r="C845" t="s">
        <v>2440</v>
      </c>
      <c r="D845" t="str">
        <f>"2501717888"</f>
        <v>2501717888</v>
      </c>
      <c r="E845" t="s">
        <v>1536</v>
      </c>
      <c r="F845" t="str">
        <f t="shared" si="145"/>
        <v>400441</v>
      </c>
      <c r="G845" t="s">
        <v>65</v>
      </c>
      <c r="H845" t="s">
        <v>2300</v>
      </c>
      <c r="I845" t="s">
        <v>41</v>
      </c>
      <c r="J845">
        <v>1</v>
      </c>
      <c r="K845">
        <v>1</v>
      </c>
      <c r="L845" t="str">
        <f t="shared" si="146"/>
        <v>521234</v>
      </c>
      <c r="N845" t="s">
        <v>1583</v>
      </c>
      <c r="O845" s="2">
        <v>46231.324513888889</v>
      </c>
      <c r="P845" s="2">
        <v>46231.324513888889</v>
      </c>
      <c r="Q845" s="2">
        <v>46231.324513888889</v>
      </c>
      <c r="R845" t="str">
        <f t="shared" si="147"/>
        <v>153000268</v>
      </c>
      <c r="S845" s="1">
        <v>47964</v>
      </c>
    </row>
    <row r="846" spans="1:19" x14ac:dyDescent="0.35">
      <c r="A846" t="s">
        <v>2182</v>
      </c>
      <c r="B846" t="s">
        <v>31</v>
      </c>
      <c r="C846" t="s">
        <v>2441</v>
      </c>
      <c r="D846" t="str">
        <f>"2501717887"</f>
        <v>2501717887</v>
      </c>
      <c r="E846" t="s">
        <v>1536</v>
      </c>
      <c r="F846" t="str">
        <f t="shared" si="145"/>
        <v>400441</v>
      </c>
      <c r="G846" t="s">
        <v>65</v>
      </c>
      <c r="H846" t="s">
        <v>2300</v>
      </c>
      <c r="I846" t="s">
        <v>41</v>
      </c>
      <c r="J846">
        <v>1</v>
      </c>
      <c r="K846">
        <v>10</v>
      </c>
      <c r="L846" t="str">
        <f t="shared" si="146"/>
        <v>521234</v>
      </c>
      <c r="N846" t="s">
        <v>1583</v>
      </c>
      <c r="O846" s="2">
        <v>46231.325416666667</v>
      </c>
      <c r="P846" s="2">
        <v>46231.325416666667</v>
      </c>
      <c r="Q846" s="2">
        <v>46231.325416666667</v>
      </c>
      <c r="R846" t="str">
        <f t="shared" si="147"/>
        <v>153000268</v>
      </c>
      <c r="S846" s="1">
        <v>47964</v>
      </c>
    </row>
    <row r="847" spans="1:19" x14ac:dyDescent="0.35">
      <c r="A847" t="s">
        <v>2182</v>
      </c>
      <c r="B847" t="s">
        <v>31</v>
      </c>
      <c r="C847" t="s">
        <v>2441</v>
      </c>
      <c r="D847" t="str">
        <f>"2501717887"</f>
        <v>2501717887</v>
      </c>
      <c r="E847" t="s">
        <v>1536</v>
      </c>
      <c r="F847" t="str">
        <f t="shared" si="145"/>
        <v>400441</v>
      </c>
      <c r="G847" t="s">
        <v>65</v>
      </c>
      <c r="H847" t="s">
        <v>2300</v>
      </c>
      <c r="I847" t="s">
        <v>41</v>
      </c>
      <c r="J847">
        <v>4</v>
      </c>
      <c r="K847">
        <v>10</v>
      </c>
      <c r="L847" t="str">
        <f t="shared" si="146"/>
        <v>521234</v>
      </c>
      <c r="N847" t="s">
        <v>1583</v>
      </c>
      <c r="O847" s="2">
        <v>46231.32534722222</v>
      </c>
      <c r="P847" s="2">
        <v>46231.32534722222</v>
      </c>
      <c r="Q847" s="2">
        <v>46231.32534722222</v>
      </c>
      <c r="R847" t="str">
        <f t="shared" si="147"/>
        <v>153000268</v>
      </c>
      <c r="S847" s="1">
        <v>47964</v>
      </c>
    </row>
    <row r="848" spans="1:19" x14ac:dyDescent="0.35">
      <c r="A848" t="s">
        <v>2182</v>
      </c>
      <c r="B848" t="s">
        <v>31</v>
      </c>
      <c r="C848" t="s">
        <v>2441</v>
      </c>
      <c r="D848" t="str">
        <f>"2501717887"</f>
        <v>2501717887</v>
      </c>
      <c r="E848" t="s">
        <v>1536</v>
      </c>
      <c r="F848" t="str">
        <f t="shared" si="145"/>
        <v>400441</v>
      </c>
      <c r="G848" t="s">
        <v>65</v>
      </c>
      <c r="H848" t="s">
        <v>2442</v>
      </c>
      <c r="I848" t="s">
        <v>41</v>
      </c>
      <c r="J848">
        <v>4</v>
      </c>
      <c r="K848">
        <v>10</v>
      </c>
      <c r="L848" t="str">
        <f t="shared" si="146"/>
        <v>521234</v>
      </c>
      <c r="N848" t="s">
        <v>1583</v>
      </c>
      <c r="O848" s="2">
        <v>46231.325312499997</v>
      </c>
      <c r="P848" s="2">
        <v>46231.325312499997</v>
      </c>
      <c r="Q848" s="2">
        <v>46231.325312499997</v>
      </c>
      <c r="R848" t="str">
        <f t="shared" si="147"/>
        <v>153000268</v>
      </c>
      <c r="S848" s="1">
        <v>47964</v>
      </c>
    </row>
    <row r="849" spans="1:19" x14ac:dyDescent="0.35">
      <c r="A849" t="s">
        <v>2182</v>
      </c>
      <c r="B849" t="s">
        <v>31</v>
      </c>
      <c r="C849" t="s">
        <v>2441</v>
      </c>
      <c r="D849" t="str">
        <f>"2501717887"</f>
        <v>2501717887</v>
      </c>
      <c r="E849" t="s">
        <v>1536</v>
      </c>
      <c r="F849" t="str">
        <f t="shared" si="145"/>
        <v>400441</v>
      </c>
      <c r="G849" t="s">
        <v>65</v>
      </c>
      <c r="H849" t="s">
        <v>2442</v>
      </c>
      <c r="I849" t="s">
        <v>41</v>
      </c>
      <c r="J849">
        <v>1</v>
      </c>
      <c r="K849">
        <v>10</v>
      </c>
      <c r="L849" t="str">
        <f t="shared" si="146"/>
        <v>521234</v>
      </c>
      <c r="N849" t="s">
        <v>1583</v>
      </c>
      <c r="O849" s="2">
        <v>46231.325266203705</v>
      </c>
      <c r="P849" s="2">
        <v>46231.325266203705</v>
      </c>
      <c r="Q849" s="2">
        <v>46231.325266203705</v>
      </c>
      <c r="R849" t="str">
        <f t="shared" si="147"/>
        <v>153000268</v>
      </c>
      <c r="S849" s="1">
        <v>47964</v>
      </c>
    </row>
    <row r="850" spans="1:19" x14ac:dyDescent="0.35">
      <c r="A850" t="s">
        <v>2182</v>
      </c>
      <c r="B850" t="s">
        <v>31</v>
      </c>
      <c r="C850" t="s">
        <v>2443</v>
      </c>
      <c r="D850" t="str">
        <f t="shared" ref="D850:D867" si="148">"2501717895"</f>
        <v>2501717895</v>
      </c>
      <c r="E850" t="s">
        <v>1536</v>
      </c>
      <c r="F850" t="str">
        <f>"400426"</f>
        <v>400426</v>
      </c>
      <c r="G850" t="s">
        <v>34</v>
      </c>
      <c r="H850" t="s">
        <v>2444</v>
      </c>
      <c r="I850" t="s">
        <v>37</v>
      </c>
      <c r="J850">
        <v>24</v>
      </c>
      <c r="K850">
        <v>110</v>
      </c>
      <c r="L850" t="str">
        <f t="shared" ref="L850:L867" si="149">"521181"</f>
        <v>521181</v>
      </c>
      <c r="N850" t="s">
        <v>1883</v>
      </c>
      <c r="O850" s="2">
        <v>46231.344363425924</v>
      </c>
      <c r="P850" s="2">
        <v>46231.344375000001</v>
      </c>
      <c r="Q850" s="2">
        <v>46231.344375000001</v>
      </c>
      <c r="R850" t="str">
        <f>"153000231"</f>
        <v>153000231</v>
      </c>
      <c r="S850" s="1">
        <v>47944</v>
      </c>
    </row>
    <row r="851" spans="1:19" x14ac:dyDescent="0.35">
      <c r="A851" t="s">
        <v>2182</v>
      </c>
      <c r="B851" t="s">
        <v>31</v>
      </c>
      <c r="C851" t="s">
        <v>2443</v>
      </c>
      <c r="D851" t="str">
        <f t="shared" si="148"/>
        <v>2501717895</v>
      </c>
      <c r="E851" t="s">
        <v>1536</v>
      </c>
      <c r="F851" t="str">
        <f>"400426"</f>
        <v>400426</v>
      </c>
      <c r="G851" t="s">
        <v>34</v>
      </c>
      <c r="H851" t="s">
        <v>2286</v>
      </c>
      <c r="I851" t="s">
        <v>37</v>
      </c>
      <c r="J851">
        <v>24</v>
      </c>
      <c r="K851">
        <v>110</v>
      </c>
      <c r="L851" t="str">
        <f t="shared" si="149"/>
        <v>521181</v>
      </c>
      <c r="N851" t="s">
        <v>1883</v>
      </c>
      <c r="O851" s="2">
        <v>46231.344328703701</v>
      </c>
      <c r="P851" s="2">
        <v>46231.344328703701</v>
      </c>
      <c r="Q851" s="2">
        <v>46231.344328703701</v>
      </c>
      <c r="R851" t="str">
        <f>"153000231"</f>
        <v>153000231</v>
      </c>
      <c r="S851" s="1">
        <v>47944</v>
      </c>
    </row>
    <row r="852" spans="1:19" x14ac:dyDescent="0.35">
      <c r="A852" t="s">
        <v>2182</v>
      </c>
      <c r="B852" t="s">
        <v>31</v>
      </c>
      <c r="C852" t="s">
        <v>2443</v>
      </c>
      <c r="D852" t="str">
        <f t="shared" si="148"/>
        <v>2501717895</v>
      </c>
      <c r="E852" t="s">
        <v>1536</v>
      </c>
      <c r="F852" t="str">
        <f>"400426"</f>
        <v>400426</v>
      </c>
      <c r="G852" t="s">
        <v>34</v>
      </c>
      <c r="H852" t="s">
        <v>2445</v>
      </c>
      <c r="I852" t="s">
        <v>37</v>
      </c>
      <c r="J852">
        <v>24</v>
      </c>
      <c r="K852">
        <v>110</v>
      </c>
      <c r="L852" t="str">
        <f t="shared" si="149"/>
        <v>521181</v>
      </c>
      <c r="N852" t="s">
        <v>1883</v>
      </c>
      <c r="O852" s="2">
        <v>46231.344282407408</v>
      </c>
      <c r="P852" s="2">
        <v>46231.344282407408</v>
      </c>
      <c r="Q852" s="2">
        <v>46231.344282407408</v>
      </c>
      <c r="R852" t="str">
        <f>"153000231"</f>
        <v>153000231</v>
      </c>
      <c r="S852" s="1">
        <v>47944</v>
      </c>
    </row>
    <row r="853" spans="1:19" x14ac:dyDescent="0.35">
      <c r="A853" t="s">
        <v>2182</v>
      </c>
      <c r="B853" t="s">
        <v>31</v>
      </c>
      <c r="C853" t="s">
        <v>2443</v>
      </c>
      <c r="D853" t="str">
        <f t="shared" si="148"/>
        <v>2501717895</v>
      </c>
      <c r="E853" t="s">
        <v>1536</v>
      </c>
      <c r="F853" t="str">
        <f>"400426"</f>
        <v>400426</v>
      </c>
      <c r="G853" t="s">
        <v>34</v>
      </c>
      <c r="H853" t="s">
        <v>2446</v>
      </c>
      <c r="I853" t="s">
        <v>37</v>
      </c>
      <c r="J853">
        <v>24</v>
      </c>
      <c r="K853">
        <v>110</v>
      </c>
      <c r="L853" t="str">
        <f t="shared" si="149"/>
        <v>521181</v>
      </c>
      <c r="N853" t="s">
        <v>1883</v>
      </c>
      <c r="O853" s="2">
        <v>46231.344236111108</v>
      </c>
      <c r="P853" s="2">
        <v>46231.344236111108</v>
      </c>
      <c r="Q853" s="2">
        <v>46231.344236111108</v>
      </c>
      <c r="R853" t="str">
        <f>"153000231"</f>
        <v>153000231</v>
      </c>
      <c r="S853" s="1">
        <v>47944</v>
      </c>
    </row>
    <row r="854" spans="1:19" x14ac:dyDescent="0.35">
      <c r="A854" t="s">
        <v>2182</v>
      </c>
      <c r="B854" t="s">
        <v>31</v>
      </c>
      <c r="C854" t="s">
        <v>2443</v>
      </c>
      <c r="D854" t="str">
        <f t="shared" si="148"/>
        <v>2501717895</v>
      </c>
      <c r="E854" t="s">
        <v>1536</v>
      </c>
      <c r="F854" t="str">
        <f>"400426"</f>
        <v>400426</v>
      </c>
      <c r="G854" t="s">
        <v>34</v>
      </c>
      <c r="H854" t="s">
        <v>2447</v>
      </c>
      <c r="I854" t="s">
        <v>37</v>
      </c>
      <c r="J854">
        <v>14</v>
      </c>
      <c r="K854">
        <v>110</v>
      </c>
      <c r="L854" t="str">
        <f t="shared" si="149"/>
        <v>521181</v>
      </c>
      <c r="N854" t="s">
        <v>1883</v>
      </c>
      <c r="O854" s="2">
        <v>46231.344178240739</v>
      </c>
      <c r="P854" s="2">
        <v>46231.344178240739</v>
      </c>
      <c r="Q854" s="2">
        <v>46231.344178240739</v>
      </c>
      <c r="R854" t="str">
        <f>"153000231"</f>
        <v>153000231</v>
      </c>
      <c r="S854" s="1">
        <v>47944</v>
      </c>
    </row>
    <row r="855" spans="1:19" x14ac:dyDescent="0.35">
      <c r="A855" t="s">
        <v>2182</v>
      </c>
      <c r="B855" t="s">
        <v>31</v>
      </c>
      <c r="C855" t="s">
        <v>2443</v>
      </c>
      <c r="D855" t="str">
        <f t="shared" si="148"/>
        <v>2501717895</v>
      </c>
      <c r="E855" t="s">
        <v>1536</v>
      </c>
      <c r="F855" t="str">
        <f t="shared" ref="F855:F860" si="150">"400413"</f>
        <v>400413</v>
      </c>
      <c r="G855" t="s">
        <v>1545</v>
      </c>
      <c r="H855" t="s">
        <v>2404</v>
      </c>
      <c r="I855" t="s">
        <v>37</v>
      </c>
      <c r="J855">
        <v>10</v>
      </c>
      <c r="K855">
        <v>20</v>
      </c>
      <c r="L855" t="str">
        <f t="shared" si="149"/>
        <v>521181</v>
      </c>
      <c r="N855" t="s">
        <v>1883</v>
      </c>
      <c r="O855" s="2">
        <v>46231.344131944446</v>
      </c>
      <c r="P855" s="2">
        <v>46231.344131944446</v>
      </c>
      <c r="Q855" s="2">
        <v>46231.344131944446</v>
      </c>
      <c r="R855" t="str">
        <f>"153000382"</f>
        <v>153000382</v>
      </c>
      <c r="S855" s="1">
        <v>48009</v>
      </c>
    </row>
    <row r="856" spans="1:19" x14ac:dyDescent="0.35">
      <c r="A856" t="s">
        <v>2182</v>
      </c>
      <c r="B856" t="s">
        <v>31</v>
      </c>
      <c r="C856" t="s">
        <v>2443</v>
      </c>
      <c r="D856" t="str">
        <f t="shared" si="148"/>
        <v>2501717895</v>
      </c>
      <c r="E856" t="s">
        <v>1536</v>
      </c>
      <c r="F856" t="str">
        <f t="shared" si="150"/>
        <v>400413</v>
      </c>
      <c r="G856" t="s">
        <v>1545</v>
      </c>
      <c r="H856" t="s">
        <v>2448</v>
      </c>
      <c r="I856" t="s">
        <v>37</v>
      </c>
      <c r="J856">
        <v>10</v>
      </c>
      <c r="K856">
        <v>20</v>
      </c>
      <c r="L856" t="str">
        <f t="shared" si="149"/>
        <v>521181</v>
      </c>
      <c r="N856" t="s">
        <v>1883</v>
      </c>
      <c r="O856" s="2">
        <v>46231.344097222223</v>
      </c>
      <c r="P856" s="2">
        <v>46231.344097222223</v>
      </c>
      <c r="Q856" s="2">
        <v>46231.344097222223</v>
      </c>
      <c r="R856" t="str">
        <f>"153000382"</f>
        <v>153000382</v>
      </c>
      <c r="S856" s="1">
        <v>48009</v>
      </c>
    </row>
    <row r="857" spans="1:19" x14ac:dyDescent="0.35">
      <c r="A857" t="s">
        <v>2182</v>
      </c>
      <c r="B857" t="s">
        <v>31</v>
      </c>
      <c r="C857" t="s">
        <v>2443</v>
      </c>
      <c r="D857" t="str">
        <f t="shared" si="148"/>
        <v>2501717895</v>
      </c>
      <c r="E857" t="s">
        <v>1536</v>
      </c>
      <c r="F857" t="str">
        <f t="shared" si="150"/>
        <v>400413</v>
      </c>
      <c r="G857" t="s">
        <v>1545</v>
      </c>
      <c r="H857" t="s">
        <v>2449</v>
      </c>
      <c r="I857" t="s">
        <v>37</v>
      </c>
      <c r="J857">
        <v>24</v>
      </c>
      <c r="K857">
        <v>90</v>
      </c>
      <c r="L857" t="str">
        <f t="shared" si="149"/>
        <v>521181</v>
      </c>
      <c r="N857" t="s">
        <v>1883</v>
      </c>
      <c r="O857" s="2">
        <v>46231.344050925924</v>
      </c>
      <c r="P857" s="2">
        <v>46231.344050925924</v>
      </c>
      <c r="Q857" s="2">
        <v>46231.344050925924</v>
      </c>
      <c r="R857" t="str">
        <f>"153000376"</f>
        <v>153000376</v>
      </c>
      <c r="S857" s="1">
        <v>48009</v>
      </c>
    </row>
    <row r="858" spans="1:19" x14ac:dyDescent="0.35">
      <c r="A858" t="s">
        <v>2182</v>
      </c>
      <c r="B858" t="s">
        <v>31</v>
      </c>
      <c r="C858" t="s">
        <v>2443</v>
      </c>
      <c r="D858" t="str">
        <f t="shared" si="148"/>
        <v>2501717895</v>
      </c>
      <c r="E858" t="s">
        <v>1536</v>
      </c>
      <c r="F858" t="str">
        <f t="shared" si="150"/>
        <v>400413</v>
      </c>
      <c r="G858" t="s">
        <v>1545</v>
      </c>
      <c r="H858" t="s">
        <v>2450</v>
      </c>
      <c r="I858" t="s">
        <v>37</v>
      </c>
      <c r="J858">
        <v>24</v>
      </c>
      <c r="K858">
        <v>90</v>
      </c>
      <c r="L858" t="str">
        <f t="shared" si="149"/>
        <v>521181</v>
      </c>
      <c r="N858" t="s">
        <v>1883</v>
      </c>
      <c r="O858" s="2">
        <v>46231.3440162037</v>
      </c>
      <c r="P858" s="2">
        <v>46231.3440162037</v>
      </c>
      <c r="Q858" s="2">
        <v>46231.3440162037</v>
      </c>
      <c r="R858" t="str">
        <f>"153000376"</f>
        <v>153000376</v>
      </c>
      <c r="S858" s="1">
        <v>48009</v>
      </c>
    </row>
    <row r="859" spans="1:19" x14ac:dyDescent="0.35">
      <c r="A859" t="s">
        <v>2182</v>
      </c>
      <c r="B859" t="s">
        <v>31</v>
      </c>
      <c r="C859" t="s">
        <v>2443</v>
      </c>
      <c r="D859" t="str">
        <f t="shared" si="148"/>
        <v>2501717895</v>
      </c>
      <c r="E859" t="s">
        <v>1536</v>
      </c>
      <c r="F859" t="str">
        <f t="shared" si="150"/>
        <v>400413</v>
      </c>
      <c r="G859" t="s">
        <v>1545</v>
      </c>
      <c r="H859" t="s">
        <v>2451</v>
      </c>
      <c r="I859" t="s">
        <v>37</v>
      </c>
      <c r="J859">
        <v>24</v>
      </c>
      <c r="K859">
        <v>90</v>
      </c>
      <c r="L859" t="str">
        <f t="shared" si="149"/>
        <v>521181</v>
      </c>
      <c r="N859" t="s">
        <v>1883</v>
      </c>
      <c r="O859" s="2">
        <v>46231.343981481485</v>
      </c>
      <c r="P859" s="2">
        <v>46231.343981481485</v>
      </c>
      <c r="Q859" s="2">
        <v>46231.343981481485</v>
      </c>
      <c r="R859" t="str">
        <f>"153000376"</f>
        <v>153000376</v>
      </c>
      <c r="S859" s="1">
        <v>48009</v>
      </c>
    </row>
    <row r="860" spans="1:19" x14ac:dyDescent="0.35">
      <c r="A860" t="s">
        <v>2182</v>
      </c>
      <c r="B860" t="s">
        <v>31</v>
      </c>
      <c r="C860" t="s">
        <v>2443</v>
      </c>
      <c r="D860" t="str">
        <f t="shared" si="148"/>
        <v>2501717895</v>
      </c>
      <c r="E860" t="s">
        <v>1536</v>
      </c>
      <c r="F860" t="str">
        <f t="shared" si="150"/>
        <v>400413</v>
      </c>
      <c r="G860" t="s">
        <v>1545</v>
      </c>
      <c r="H860" t="s">
        <v>2452</v>
      </c>
      <c r="I860" t="s">
        <v>37</v>
      </c>
      <c r="J860">
        <v>18</v>
      </c>
      <c r="K860">
        <v>90</v>
      </c>
      <c r="L860" t="str">
        <f t="shared" si="149"/>
        <v>521181</v>
      </c>
      <c r="N860" t="s">
        <v>1883</v>
      </c>
      <c r="O860" s="2">
        <v>46231.343946759262</v>
      </c>
      <c r="P860" s="2">
        <v>46231.343946759262</v>
      </c>
      <c r="Q860" s="2">
        <v>46231.343946759262</v>
      </c>
      <c r="R860" t="str">
        <f>"153000376"</f>
        <v>153000376</v>
      </c>
      <c r="S860" s="1">
        <v>48009</v>
      </c>
    </row>
    <row r="861" spans="1:19" x14ac:dyDescent="0.35">
      <c r="A861" t="s">
        <v>2182</v>
      </c>
      <c r="B861" t="s">
        <v>31</v>
      </c>
      <c r="C861" t="s">
        <v>2443</v>
      </c>
      <c r="D861" t="str">
        <f t="shared" si="148"/>
        <v>2501717895</v>
      </c>
      <c r="E861" t="s">
        <v>1536</v>
      </c>
      <c r="F861" t="str">
        <f>"400420"</f>
        <v>400420</v>
      </c>
      <c r="G861" t="s">
        <v>1661</v>
      </c>
      <c r="H861" t="s">
        <v>2209</v>
      </c>
      <c r="I861" t="s">
        <v>37</v>
      </c>
      <c r="J861">
        <v>20</v>
      </c>
      <c r="K861">
        <v>20</v>
      </c>
      <c r="L861" t="str">
        <f t="shared" si="149"/>
        <v>521181</v>
      </c>
      <c r="N861" t="s">
        <v>1883</v>
      </c>
      <c r="O861" s="2">
        <v>46231.343912037039</v>
      </c>
      <c r="P861" s="2">
        <v>46231.343912037039</v>
      </c>
      <c r="Q861" s="2">
        <v>46231.343912037039</v>
      </c>
      <c r="R861" t="str">
        <f>"153000420"</f>
        <v>153000420</v>
      </c>
      <c r="S861" s="1">
        <v>48025</v>
      </c>
    </row>
    <row r="862" spans="1:19" x14ac:dyDescent="0.35">
      <c r="A862" t="s">
        <v>2182</v>
      </c>
      <c r="B862" t="s">
        <v>31</v>
      </c>
      <c r="C862" t="s">
        <v>2443</v>
      </c>
      <c r="D862" t="str">
        <f t="shared" si="148"/>
        <v>2501717895</v>
      </c>
      <c r="E862" t="s">
        <v>1536</v>
      </c>
      <c r="F862" t="str">
        <f>"400474"</f>
        <v>400474</v>
      </c>
      <c r="G862" t="s">
        <v>1689</v>
      </c>
      <c r="H862" t="s">
        <v>2453</v>
      </c>
      <c r="I862" t="s">
        <v>37</v>
      </c>
      <c r="J862">
        <v>20</v>
      </c>
      <c r="K862">
        <v>20</v>
      </c>
      <c r="L862" t="str">
        <f t="shared" si="149"/>
        <v>521181</v>
      </c>
      <c r="N862" t="s">
        <v>1883</v>
      </c>
      <c r="O862" s="2">
        <v>46231.343865740739</v>
      </c>
      <c r="P862" s="2">
        <v>46231.343865740739</v>
      </c>
      <c r="Q862" s="2">
        <v>46231.343865740739</v>
      </c>
      <c r="R862" t="str">
        <f>"153000419"</f>
        <v>153000419</v>
      </c>
      <c r="S862" s="1">
        <v>48025</v>
      </c>
    </row>
    <row r="863" spans="1:19" x14ac:dyDescent="0.35">
      <c r="A863" t="s">
        <v>2182</v>
      </c>
      <c r="B863" t="s">
        <v>31</v>
      </c>
      <c r="C863" t="s">
        <v>2443</v>
      </c>
      <c r="D863" t="str">
        <f t="shared" si="148"/>
        <v>2501717895</v>
      </c>
      <c r="E863" t="s">
        <v>1536</v>
      </c>
      <c r="F863" t="str">
        <f>"400900"</f>
        <v>400900</v>
      </c>
      <c r="G863" t="s">
        <v>1702</v>
      </c>
      <c r="H863" t="s">
        <v>2454</v>
      </c>
      <c r="I863" t="s">
        <v>37</v>
      </c>
      <c r="J863">
        <v>2</v>
      </c>
      <c r="K863">
        <v>20</v>
      </c>
      <c r="L863" t="str">
        <f t="shared" si="149"/>
        <v>521181</v>
      </c>
      <c r="N863" t="s">
        <v>1883</v>
      </c>
      <c r="O863" s="2">
        <v>46231.343831018516</v>
      </c>
      <c r="P863" s="2">
        <v>46231.343831018516</v>
      </c>
      <c r="Q863" s="2">
        <v>46231.343831018516</v>
      </c>
      <c r="R863" t="str">
        <f>"950001506"</f>
        <v>950001506</v>
      </c>
      <c r="S863" s="1">
        <v>48049</v>
      </c>
    </row>
    <row r="864" spans="1:19" x14ac:dyDescent="0.35">
      <c r="A864" t="s">
        <v>2182</v>
      </c>
      <c r="B864" t="s">
        <v>31</v>
      </c>
      <c r="C864" t="s">
        <v>2443</v>
      </c>
      <c r="D864" t="str">
        <f t="shared" si="148"/>
        <v>2501717895</v>
      </c>
      <c r="E864" t="s">
        <v>1536</v>
      </c>
      <c r="F864" t="str">
        <f>"400900"</f>
        <v>400900</v>
      </c>
      <c r="G864" t="s">
        <v>1702</v>
      </c>
      <c r="H864" t="s">
        <v>2455</v>
      </c>
      <c r="I864" t="s">
        <v>37</v>
      </c>
      <c r="J864">
        <v>18</v>
      </c>
      <c r="K864">
        <v>20</v>
      </c>
      <c r="L864" t="str">
        <f t="shared" si="149"/>
        <v>521181</v>
      </c>
      <c r="N864" t="s">
        <v>1883</v>
      </c>
      <c r="O864" s="2">
        <v>46231.3437962963</v>
      </c>
      <c r="P864" s="2">
        <v>46231.3437962963</v>
      </c>
      <c r="Q864" s="2">
        <v>46231.3437962963</v>
      </c>
      <c r="R864" t="str">
        <f>"950001506"</f>
        <v>950001506</v>
      </c>
      <c r="S864" s="1">
        <v>48049</v>
      </c>
    </row>
    <row r="865" spans="1:19" x14ac:dyDescent="0.35">
      <c r="A865" t="s">
        <v>2182</v>
      </c>
      <c r="B865" t="s">
        <v>31</v>
      </c>
      <c r="C865" t="s">
        <v>2443</v>
      </c>
      <c r="D865" t="str">
        <f t="shared" si="148"/>
        <v>2501717895</v>
      </c>
      <c r="E865" t="s">
        <v>1536</v>
      </c>
      <c r="F865" t="str">
        <f>"400902"</f>
        <v>400902</v>
      </c>
      <c r="G865" t="s">
        <v>1627</v>
      </c>
      <c r="H865" t="s">
        <v>2350</v>
      </c>
      <c r="I865" t="s">
        <v>37</v>
      </c>
      <c r="J865">
        <v>8</v>
      </c>
      <c r="K865">
        <v>8</v>
      </c>
      <c r="L865" t="str">
        <f t="shared" si="149"/>
        <v>521181</v>
      </c>
      <c r="N865" t="s">
        <v>1883</v>
      </c>
      <c r="O865" s="2">
        <v>46231.343761574077</v>
      </c>
      <c r="P865" s="2">
        <v>46231.343761574077</v>
      </c>
      <c r="Q865" s="2">
        <v>46231.343761574077</v>
      </c>
      <c r="R865" t="str">
        <f>"950001504"</f>
        <v>950001504</v>
      </c>
      <c r="S865" s="1">
        <v>48042</v>
      </c>
    </row>
    <row r="866" spans="1:19" x14ac:dyDescent="0.35">
      <c r="A866" t="s">
        <v>2182</v>
      </c>
      <c r="B866" t="s">
        <v>31</v>
      </c>
      <c r="C866" t="s">
        <v>2443</v>
      </c>
      <c r="D866" t="str">
        <f t="shared" si="148"/>
        <v>2501717895</v>
      </c>
      <c r="E866" t="s">
        <v>1536</v>
      </c>
      <c r="F866" t="str">
        <f>"400902"</f>
        <v>400902</v>
      </c>
      <c r="G866" t="s">
        <v>1627</v>
      </c>
      <c r="H866" t="s">
        <v>2456</v>
      </c>
      <c r="I866" t="s">
        <v>37</v>
      </c>
      <c r="J866">
        <v>8</v>
      </c>
      <c r="K866">
        <v>12</v>
      </c>
      <c r="L866" t="str">
        <f t="shared" si="149"/>
        <v>521181</v>
      </c>
      <c r="N866" t="s">
        <v>1883</v>
      </c>
      <c r="O866" s="2">
        <v>46231.343715277777</v>
      </c>
      <c r="P866" s="2">
        <v>46231.343715277777</v>
      </c>
      <c r="Q866" s="2">
        <v>46231.343715277777</v>
      </c>
      <c r="R866" t="str">
        <f>"950001222"</f>
        <v>950001222</v>
      </c>
      <c r="S866" s="1">
        <v>47874</v>
      </c>
    </row>
    <row r="867" spans="1:19" x14ac:dyDescent="0.35">
      <c r="A867" t="s">
        <v>2182</v>
      </c>
      <c r="B867" t="s">
        <v>31</v>
      </c>
      <c r="C867" t="s">
        <v>2443</v>
      </c>
      <c r="D867" t="str">
        <f t="shared" si="148"/>
        <v>2501717895</v>
      </c>
      <c r="E867" t="s">
        <v>1536</v>
      </c>
      <c r="F867" t="str">
        <f>"400902"</f>
        <v>400902</v>
      </c>
      <c r="G867" t="s">
        <v>1627</v>
      </c>
      <c r="H867" t="s">
        <v>2224</v>
      </c>
      <c r="I867" t="s">
        <v>37</v>
      </c>
      <c r="J867">
        <v>4</v>
      </c>
      <c r="K867">
        <v>12</v>
      </c>
      <c r="L867" t="str">
        <f t="shared" si="149"/>
        <v>521181</v>
      </c>
      <c r="N867" t="s">
        <v>1883</v>
      </c>
      <c r="O867" s="2">
        <v>46231.343599537038</v>
      </c>
      <c r="P867" s="2">
        <v>46231.343599537038</v>
      </c>
      <c r="Q867" s="2">
        <v>46231.343599537038</v>
      </c>
      <c r="R867" t="str">
        <f>"950001222"</f>
        <v>950001222</v>
      </c>
      <c r="S867" s="1">
        <v>47874</v>
      </c>
    </row>
    <row r="868" spans="1:19" x14ac:dyDescent="0.35">
      <c r="A868" t="s">
        <v>2182</v>
      </c>
      <c r="B868" t="s">
        <v>31</v>
      </c>
      <c r="C868" t="s">
        <v>2457</v>
      </c>
      <c r="D868" t="str">
        <f t="shared" ref="D868:D882" si="151">"2501717891"</f>
        <v>2501717891</v>
      </c>
      <c r="E868" t="s">
        <v>1536</v>
      </c>
      <c r="F868" t="str">
        <f>"400912"</f>
        <v>400912</v>
      </c>
      <c r="G868" t="s">
        <v>174</v>
      </c>
      <c r="H868" t="s">
        <v>2306</v>
      </c>
      <c r="I868" t="s">
        <v>41</v>
      </c>
      <c r="J868">
        <v>2</v>
      </c>
      <c r="K868">
        <v>2</v>
      </c>
      <c r="L868" t="str">
        <f t="shared" ref="L868:L882" si="152">"521093"</f>
        <v>521093</v>
      </c>
      <c r="N868" t="s">
        <v>2151</v>
      </c>
      <c r="O868" s="2">
        <v>46231.394930555558</v>
      </c>
      <c r="P868" s="2">
        <v>46231.394930555558</v>
      </c>
      <c r="Q868" s="2">
        <v>46231.394930555558</v>
      </c>
      <c r="R868" t="str">
        <f>"400004247"</f>
        <v>400004247</v>
      </c>
      <c r="S868" s="1">
        <v>47924</v>
      </c>
    </row>
    <row r="869" spans="1:19" x14ac:dyDescent="0.35">
      <c r="A869" t="s">
        <v>2182</v>
      </c>
      <c r="B869" t="s">
        <v>31</v>
      </c>
      <c r="C869" t="s">
        <v>2457</v>
      </c>
      <c r="D869" t="str">
        <f t="shared" si="151"/>
        <v>2501717891</v>
      </c>
      <c r="E869" t="s">
        <v>1536</v>
      </c>
      <c r="F869" t="str">
        <f>"400411"</f>
        <v>400411</v>
      </c>
      <c r="G869" t="s">
        <v>1537</v>
      </c>
      <c r="H869" t="s">
        <v>2236</v>
      </c>
      <c r="I869" t="s">
        <v>41</v>
      </c>
      <c r="J869">
        <v>2</v>
      </c>
      <c r="K869">
        <v>2</v>
      </c>
      <c r="L869" t="str">
        <f t="shared" si="152"/>
        <v>521093</v>
      </c>
      <c r="N869" t="s">
        <v>2151</v>
      </c>
      <c r="O869" s="2">
        <v>46231.394861111112</v>
      </c>
      <c r="P869" s="2">
        <v>46231.394861111112</v>
      </c>
      <c r="Q869" s="2">
        <v>46231.394861111112</v>
      </c>
      <c r="R869" t="str">
        <f>"153000352"</f>
        <v>153000352</v>
      </c>
      <c r="S869" s="1">
        <v>48002</v>
      </c>
    </row>
    <row r="870" spans="1:19" x14ac:dyDescent="0.35">
      <c r="A870" t="s">
        <v>2182</v>
      </c>
      <c r="B870" t="s">
        <v>31</v>
      </c>
      <c r="C870" t="s">
        <v>2457</v>
      </c>
      <c r="D870" t="str">
        <f t="shared" si="151"/>
        <v>2501717891</v>
      </c>
      <c r="E870" t="s">
        <v>1536</v>
      </c>
      <c r="F870" t="str">
        <f>"400903"</f>
        <v>400903</v>
      </c>
      <c r="G870" t="s">
        <v>1712</v>
      </c>
      <c r="H870" t="s">
        <v>2238</v>
      </c>
      <c r="I870" t="s">
        <v>41</v>
      </c>
      <c r="J870">
        <v>2</v>
      </c>
      <c r="K870">
        <v>2</v>
      </c>
      <c r="L870" t="str">
        <f t="shared" si="152"/>
        <v>521093</v>
      </c>
      <c r="N870" t="s">
        <v>2151</v>
      </c>
      <c r="O870" s="2">
        <v>46231.394826388889</v>
      </c>
      <c r="P870" s="2">
        <v>46231.394826388889</v>
      </c>
      <c r="Q870" s="2">
        <v>46231.394826388889</v>
      </c>
      <c r="R870" t="str">
        <f>"600001059"</f>
        <v>600001059</v>
      </c>
      <c r="S870" s="1">
        <v>47897</v>
      </c>
    </row>
    <row r="871" spans="1:19" x14ac:dyDescent="0.35">
      <c r="A871" t="s">
        <v>2182</v>
      </c>
      <c r="B871" t="s">
        <v>31</v>
      </c>
      <c r="C871" t="s">
        <v>2457</v>
      </c>
      <c r="D871" t="str">
        <f t="shared" si="151"/>
        <v>2501717891</v>
      </c>
      <c r="E871" t="s">
        <v>1536</v>
      </c>
      <c r="F871" t="str">
        <f t="shared" ref="F871:F876" si="153">"401047"</f>
        <v>401047</v>
      </c>
      <c r="G871" t="s">
        <v>1730</v>
      </c>
      <c r="H871" t="s">
        <v>2245</v>
      </c>
      <c r="I871" t="s">
        <v>41</v>
      </c>
      <c r="J871">
        <v>1</v>
      </c>
      <c r="K871">
        <v>20</v>
      </c>
      <c r="L871" t="str">
        <f t="shared" si="152"/>
        <v>521093</v>
      </c>
      <c r="N871" t="s">
        <v>2151</v>
      </c>
      <c r="O871" s="2">
        <v>46231.394791666666</v>
      </c>
      <c r="P871" s="2">
        <v>46231.394791666666</v>
      </c>
      <c r="Q871" s="2">
        <v>46231.394791666666</v>
      </c>
      <c r="R871" t="str">
        <f t="shared" ref="R871:R876" si="154">"153000283"</f>
        <v>153000283</v>
      </c>
      <c r="S871" s="1">
        <v>47969</v>
      </c>
    </row>
    <row r="872" spans="1:19" x14ac:dyDescent="0.35">
      <c r="A872" t="s">
        <v>2182</v>
      </c>
      <c r="B872" t="s">
        <v>31</v>
      </c>
      <c r="C872" t="s">
        <v>2457</v>
      </c>
      <c r="D872" t="str">
        <f t="shared" si="151"/>
        <v>2501717891</v>
      </c>
      <c r="E872" t="s">
        <v>1536</v>
      </c>
      <c r="F872" t="str">
        <f t="shared" si="153"/>
        <v>401047</v>
      </c>
      <c r="G872" t="s">
        <v>1730</v>
      </c>
      <c r="H872" t="s">
        <v>2245</v>
      </c>
      <c r="I872" t="s">
        <v>41</v>
      </c>
      <c r="J872">
        <v>4</v>
      </c>
      <c r="K872">
        <v>20</v>
      </c>
      <c r="L872" t="str">
        <f t="shared" si="152"/>
        <v>521093</v>
      </c>
      <c r="N872" t="s">
        <v>2151</v>
      </c>
      <c r="O872" s="2">
        <v>46231.394756944443</v>
      </c>
      <c r="P872" s="2">
        <v>46231.394756944443</v>
      </c>
      <c r="Q872" s="2">
        <v>46231.394756944443</v>
      </c>
      <c r="R872" t="str">
        <f t="shared" si="154"/>
        <v>153000283</v>
      </c>
      <c r="S872" s="1">
        <v>47969</v>
      </c>
    </row>
    <row r="873" spans="1:19" x14ac:dyDescent="0.35">
      <c r="A873" t="s">
        <v>2182</v>
      </c>
      <c r="B873" t="s">
        <v>31</v>
      </c>
      <c r="C873" t="s">
        <v>2457</v>
      </c>
      <c r="D873" t="str">
        <f t="shared" si="151"/>
        <v>2501717891</v>
      </c>
      <c r="E873" t="s">
        <v>1536</v>
      </c>
      <c r="F873" t="str">
        <f t="shared" si="153"/>
        <v>401047</v>
      </c>
      <c r="G873" t="s">
        <v>1730</v>
      </c>
      <c r="H873" t="s">
        <v>2245</v>
      </c>
      <c r="I873" t="s">
        <v>41</v>
      </c>
      <c r="J873">
        <v>4</v>
      </c>
      <c r="K873">
        <v>20</v>
      </c>
      <c r="L873" t="str">
        <f t="shared" si="152"/>
        <v>521093</v>
      </c>
      <c r="N873" t="s">
        <v>2151</v>
      </c>
      <c r="O873" s="2">
        <v>46231.394699074073</v>
      </c>
      <c r="P873" s="2">
        <v>46231.394699074073</v>
      </c>
      <c r="Q873" s="2">
        <v>46231.394699074073</v>
      </c>
      <c r="R873" t="str">
        <f t="shared" si="154"/>
        <v>153000283</v>
      </c>
      <c r="S873" s="1">
        <v>47969</v>
      </c>
    </row>
    <row r="874" spans="1:19" x14ac:dyDescent="0.35">
      <c r="A874" t="s">
        <v>2182</v>
      </c>
      <c r="B874" t="s">
        <v>31</v>
      </c>
      <c r="C874" t="s">
        <v>2457</v>
      </c>
      <c r="D874" t="str">
        <f t="shared" si="151"/>
        <v>2501717891</v>
      </c>
      <c r="E874" t="s">
        <v>1536</v>
      </c>
      <c r="F874" t="str">
        <f t="shared" si="153"/>
        <v>401047</v>
      </c>
      <c r="G874" t="s">
        <v>1730</v>
      </c>
      <c r="H874" t="s">
        <v>2240</v>
      </c>
      <c r="I874" t="s">
        <v>41</v>
      </c>
      <c r="J874">
        <v>4</v>
      </c>
      <c r="K874">
        <v>20</v>
      </c>
      <c r="L874" t="str">
        <f t="shared" si="152"/>
        <v>521093</v>
      </c>
      <c r="N874" t="s">
        <v>2151</v>
      </c>
      <c r="O874" s="2">
        <v>46231.39466435185</v>
      </c>
      <c r="P874" s="2">
        <v>46231.39466435185</v>
      </c>
      <c r="Q874" s="2">
        <v>46231.39466435185</v>
      </c>
      <c r="R874" t="str">
        <f t="shared" si="154"/>
        <v>153000283</v>
      </c>
      <c r="S874" s="1">
        <v>47969</v>
      </c>
    </row>
    <row r="875" spans="1:19" x14ac:dyDescent="0.35">
      <c r="A875" t="s">
        <v>2182</v>
      </c>
      <c r="B875" t="s">
        <v>31</v>
      </c>
      <c r="C875" t="s">
        <v>2457</v>
      </c>
      <c r="D875" t="str">
        <f t="shared" si="151"/>
        <v>2501717891</v>
      </c>
      <c r="E875" t="s">
        <v>1536</v>
      </c>
      <c r="F875" t="str">
        <f t="shared" si="153"/>
        <v>401047</v>
      </c>
      <c r="G875" t="s">
        <v>1730</v>
      </c>
      <c r="H875" t="s">
        <v>2458</v>
      </c>
      <c r="I875" t="s">
        <v>41</v>
      </c>
      <c r="J875">
        <v>3</v>
      </c>
      <c r="K875">
        <v>20</v>
      </c>
      <c r="L875" t="str">
        <f t="shared" si="152"/>
        <v>521093</v>
      </c>
      <c r="N875" t="s">
        <v>2151</v>
      </c>
      <c r="O875" s="2">
        <v>46231.394629629627</v>
      </c>
      <c r="P875" s="2">
        <v>46231.394629629627</v>
      </c>
      <c r="Q875" s="2">
        <v>46231.394629629627</v>
      </c>
      <c r="R875" t="str">
        <f t="shared" si="154"/>
        <v>153000283</v>
      </c>
      <c r="S875" s="1">
        <v>47969</v>
      </c>
    </row>
    <row r="876" spans="1:19" x14ac:dyDescent="0.35">
      <c r="A876" t="s">
        <v>2182</v>
      </c>
      <c r="B876" t="s">
        <v>31</v>
      </c>
      <c r="C876" t="s">
        <v>2457</v>
      </c>
      <c r="D876" t="str">
        <f t="shared" si="151"/>
        <v>2501717891</v>
      </c>
      <c r="E876" t="s">
        <v>1536</v>
      </c>
      <c r="F876" t="str">
        <f t="shared" si="153"/>
        <v>401047</v>
      </c>
      <c r="G876" t="s">
        <v>1730</v>
      </c>
      <c r="H876" t="s">
        <v>2458</v>
      </c>
      <c r="I876" t="s">
        <v>41</v>
      </c>
      <c r="J876">
        <v>4</v>
      </c>
      <c r="K876">
        <v>20</v>
      </c>
      <c r="L876" t="str">
        <f t="shared" si="152"/>
        <v>521093</v>
      </c>
      <c r="N876" t="s">
        <v>2151</v>
      </c>
      <c r="O876" s="2">
        <v>46231.394594907404</v>
      </c>
      <c r="P876" s="2">
        <v>46231.394594907404</v>
      </c>
      <c r="Q876" s="2">
        <v>46231.394594907404</v>
      </c>
      <c r="R876" t="str">
        <f t="shared" si="154"/>
        <v>153000283</v>
      </c>
      <c r="S876" s="1">
        <v>47969</v>
      </c>
    </row>
    <row r="877" spans="1:19" x14ac:dyDescent="0.35">
      <c r="A877" t="s">
        <v>2182</v>
      </c>
      <c r="B877" t="s">
        <v>31</v>
      </c>
      <c r="C877" t="s">
        <v>2457</v>
      </c>
      <c r="D877" t="str">
        <f t="shared" si="151"/>
        <v>2501717891</v>
      </c>
      <c r="E877" t="s">
        <v>1536</v>
      </c>
      <c r="F877" t="str">
        <f t="shared" ref="F877:F882" si="155">"400441"</f>
        <v>400441</v>
      </c>
      <c r="G877" t="s">
        <v>65</v>
      </c>
      <c r="H877" t="s">
        <v>2442</v>
      </c>
      <c r="I877" t="s">
        <v>41</v>
      </c>
      <c r="J877">
        <v>3</v>
      </c>
      <c r="K877">
        <v>20</v>
      </c>
      <c r="L877" t="str">
        <f t="shared" si="152"/>
        <v>521093</v>
      </c>
      <c r="N877" t="s">
        <v>2151</v>
      </c>
      <c r="O877" s="2">
        <v>46231.394560185188</v>
      </c>
      <c r="P877" s="2">
        <v>46231.394560185188</v>
      </c>
      <c r="Q877" s="2">
        <v>46231.394560185188</v>
      </c>
      <c r="R877" t="str">
        <f t="shared" ref="R877:R882" si="156">"153000268"</f>
        <v>153000268</v>
      </c>
      <c r="S877" s="1">
        <v>47964</v>
      </c>
    </row>
    <row r="878" spans="1:19" x14ac:dyDescent="0.35">
      <c r="A878" t="s">
        <v>2182</v>
      </c>
      <c r="B878" t="s">
        <v>31</v>
      </c>
      <c r="C878" t="s">
        <v>2457</v>
      </c>
      <c r="D878" t="str">
        <f t="shared" si="151"/>
        <v>2501717891</v>
      </c>
      <c r="E878" t="s">
        <v>1536</v>
      </c>
      <c r="F878" t="str">
        <f t="shared" si="155"/>
        <v>400441</v>
      </c>
      <c r="G878" t="s">
        <v>65</v>
      </c>
      <c r="H878" t="s">
        <v>2442</v>
      </c>
      <c r="I878" t="s">
        <v>41</v>
      </c>
      <c r="J878">
        <v>4</v>
      </c>
      <c r="K878">
        <v>20</v>
      </c>
      <c r="L878" t="str">
        <f t="shared" si="152"/>
        <v>521093</v>
      </c>
      <c r="N878" t="s">
        <v>2151</v>
      </c>
      <c r="O878" s="2">
        <v>46231.394525462965</v>
      </c>
      <c r="P878" s="2">
        <v>46231.394525462965</v>
      </c>
      <c r="Q878" s="2">
        <v>46231.394525462965</v>
      </c>
      <c r="R878" t="str">
        <f t="shared" si="156"/>
        <v>153000268</v>
      </c>
      <c r="S878" s="1">
        <v>47964</v>
      </c>
    </row>
    <row r="879" spans="1:19" x14ac:dyDescent="0.35">
      <c r="A879" t="s">
        <v>2182</v>
      </c>
      <c r="B879" t="s">
        <v>31</v>
      </c>
      <c r="C879" t="s">
        <v>2457</v>
      </c>
      <c r="D879" t="str">
        <f t="shared" si="151"/>
        <v>2501717891</v>
      </c>
      <c r="E879" t="s">
        <v>1536</v>
      </c>
      <c r="F879" t="str">
        <f t="shared" si="155"/>
        <v>400441</v>
      </c>
      <c r="G879" t="s">
        <v>65</v>
      </c>
      <c r="H879" t="s">
        <v>2442</v>
      </c>
      <c r="I879" t="s">
        <v>41</v>
      </c>
      <c r="J879">
        <v>4</v>
      </c>
      <c r="K879">
        <v>20</v>
      </c>
      <c r="L879" t="str">
        <f t="shared" si="152"/>
        <v>521093</v>
      </c>
      <c r="N879" t="s">
        <v>2151</v>
      </c>
      <c r="O879" s="2">
        <v>46231.394490740742</v>
      </c>
      <c r="P879" s="2">
        <v>46231.394490740742</v>
      </c>
      <c r="Q879" s="2">
        <v>46231.394490740742</v>
      </c>
      <c r="R879" t="str">
        <f t="shared" si="156"/>
        <v>153000268</v>
      </c>
      <c r="S879" s="1">
        <v>47964</v>
      </c>
    </row>
    <row r="880" spans="1:19" x14ac:dyDescent="0.35">
      <c r="A880" t="s">
        <v>2182</v>
      </c>
      <c r="B880" t="s">
        <v>31</v>
      </c>
      <c r="C880" t="s">
        <v>2457</v>
      </c>
      <c r="D880" t="str">
        <f t="shared" si="151"/>
        <v>2501717891</v>
      </c>
      <c r="E880" t="s">
        <v>1536</v>
      </c>
      <c r="F880" t="str">
        <f t="shared" si="155"/>
        <v>400441</v>
      </c>
      <c r="G880" t="s">
        <v>65</v>
      </c>
      <c r="H880" t="s">
        <v>2369</v>
      </c>
      <c r="I880" t="s">
        <v>41</v>
      </c>
      <c r="J880">
        <v>4</v>
      </c>
      <c r="K880">
        <v>20</v>
      </c>
      <c r="L880" t="str">
        <f t="shared" si="152"/>
        <v>521093</v>
      </c>
      <c r="N880" t="s">
        <v>2151</v>
      </c>
      <c r="O880" s="2">
        <v>46231.394456018519</v>
      </c>
      <c r="P880" s="2">
        <v>46231.394456018519</v>
      </c>
      <c r="Q880" s="2">
        <v>46231.394456018519</v>
      </c>
      <c r="R880" t="str">
        <f t="shared" si="156"/>
        <v>153000268</v>
      </c>
      <c r="S880" s="1">
        <v>47964</v>
      </c>
    </row>
    <row r="881" spans="1:19" x14ac:dyDescent="0.35">
      <c r="A881" t="s">
        <v>2182</v>
      </c>
      <c r="B881" t="s">
        <v>31</v>
      </c>
      <c r="C881" t="s">
        <v>2457</v>
      </c>
      <c r="D881" t="str">
        <f t="shared" si="151"/>
        <v>2501717891</v>
      </c>
      <c r="E881" t="s">
        <v>1536</v>
      </c>
      <c r="F881" t="str">
        <f t="shared" si="155"/>
        <v>400441</v>
      </c>
      <c r="G881" t="s">
        <v>65</v>
      </c>
      <c r="H881" t="s">
        <v>2369</v>
      </c>
      <c r="I881" t="s">
        <v>41</v>
      </c>
      <c r="J881">
        <v>4</v>
      </c>
      <c r="K881">
        <v>20</v>
      </c>
      <c r="L881" t="str">
        <f t="shared" si="152"/>
        <v>521093</v>
      </c>
      <c r="N881" t="s">
        <v>2151</v>
      </c>
      <c r="O881" s="2">
        <v>46231.394409722219</v>
      </c>
      <c r="P881" s="2">
        <v>46231.394409722219</v>
      </c>
      <c r="Q881" s="2">
        <v>46231.394409722219</v>
      </c>
      <c r="R881" t="str">
        <f t="shared" si="156"/>
        <v>153000268</v>
      </c>
      <c r="S881" s="1">
        <v>47964</v>
      </c>
    </row>
    <row r="882" spans="1:19" x14ac:dyDescent="0.35">
      <c r="A882" t="s">
        <v>2182</v>
      </c>
      <c r="B882" t="s">
        <v>31</v>
      </c>
      <c r="C882" t="s">
        <v>2457</v>
      </c>
      <c r="D882" t="str">
        <f t="shared" si="151"/>
        <v>2501717891</v>
      </c>
      <c r="E882" t="s">
        <v>1536</v>
      </c>
      <c r="F882" t="str">
        <f t="shared" si="155"/>
        <v>400441</v>
      </c>
      <c r="G882" t="s">
        <v>65</v>
      </c>
      <c r="H882" t="s">
        <v>2369</v>
      </c>
      <c r="I882" t="s">
        <v>41</v>
      </c>
      <c r="J882">
        <v>1</v>
      </c>
      <c r="K882">
        <v>20</v>
      </c>
      <c r="L882" t="str">
        <f t="shared" si="152"/>
        <v>521093</v>
      </c>
      <c r="N882" t="s">
        <v>2151</v>
      </c>
      <c r="O882" s="2">
        <v>46231.394317129627</v>
      </c>
      <c r="P882" s="2">
        <v>46231.394317129627</v>
      </c>
      <c r="Q882" s="2">
        <v>46231.394317129627</v>
      </c>
      <c r="R882" t="str">
        <f t="shared" si="156"/>
        <v>153000268</v>
      </c>
      <c r="S882" s="1">
        <v>47964</v>
      </c>
    </row>
    <row r="883" spans="1:19" x14ac:dyDescent="0.35">
      <c r="A883" t="s">
        <v>2182</v>
      </c>
      <c r="B883" t="s">
        <v>31</v>
      </c>
      <c r="C883" t="s">
        <v>2459</v>
      </c>
      <c r="D883" t="str">
        <f t="shared" ref="D883:D904" si="157">"2505801177"</f>
        <v>2505801177</v>
      </c>
      <c r="E883" t="s">
        <v>1536</v>
      </c>
      <c r="F883" t="str">
        <f>"400903"</f>
        <v>400903</v>
      </c>
      <c r="G883" t="s">
        <v>1712</v>
      </c>
      <c r="H883" t="s">
        <v>2238</v>
      </c>
      <c r="I883" t="s">
        <v>41</v>
      </c>
      <c r="J883">
        <v>2</v>
      </c>
      <c r="K883">
        <v>2</v>
      </c>
      <c r="L883" t="str">
        <f t="shared" ref="L883:L904" si="158">"520732"</f>
        <v>520732</v>
      </c>
      <c r="N883" t="s">
        <v>2152</v>
      </c>
      <c r="O883" s="2">
        <v>46230.605682870373</v>
      </c>
      <c r="P883" s="2">
        <v>46230.605682870373</v>
      </c>
      <c r="Q883" s="2">
        <v>46230.605682870373</v>
      </c>
      <c r="R883" t="str">
        <f>"600001059"</f>
        <v>600001059</v>
      </c>
      <c r="S883" s="1">
        <v>47897</v>
      </c>
    </row>
    <row r="884" spans="1:19" x14ac:dyDescent="0.35">
      <c r="A884" t="s">
        <v>2182</v>
      </c>
      <c r="B884" t="s">
        <v>31</v>
      </c>
      <c r="C884" t="s">
        <v>2459</v>
      </c>
      <c r="D884" t="str">
        <f t="shared" si="157"/>
        <v>2505801177</v>
      </c>
      <c r="E884" t="s">
        <v>1536</v>
      </c>
      <c r="F884" t="str">
        <f>"400903"</f>
        <v>400903</v>
      </c>
      <c r="G884" t="s">
        <v>1712</v>
      </c>
      <c r="H884" t="s">
        <v>2377</v>
      </c>
      <c r="I884" t="s">
        <v>41</v>
      </c>
      <c r="J884">
        <v>1</v>
      </c>
      <c r="K884">
        <v>1</v>
      </c>
      <c r="L884" t="str">
        <f t="shared" si="158"/>
        <v>520732</v>
      </c>
      <c r="N884" t="s">
        <v>2152</v>
      </c>
      <c r="O884" s="2">
        <v>46230.605636574073</v>
      </c>
      <c r="P884" s="2">
        <v>46230.605636574073</v>
      </c>
      <c r="Q884" s="2">
        <v>46230.605636574073</v>
      </c>
      <c r="R884" t="str">
        <f>"600001029"</f>
        <v>600001029</v>
      </c>
      <c r="S884" s="1">
        <v>47869</v>
      </c>
    </row>
    <row r="885" spans="1:19" x14ac:dyDescent="0.35">
      <c r="A885" t="s">
        <v>2182</v>
      </c>
      <c r="B885" t="s">
        <v>31</v>
      </c>
      <c r="C885" t="s">
        <v>2459</v>
      </c>
      <c r="D885" t="str">
        <f t="shared" si="157"/>
        <v>2505801177</v>
      </c>
      <c r="E885" t="s">
        <v>1536</v>
      </c>
      <c r="F885" t="str">
        <f>"400428"</f>
        <v>400428</v>
      </c>
      <c r="G885" t="s">
        <v>833</v>
      </c>
      <c r="H885" t="s">
        <v>2263</v>
      </c>
      <c r="I885" t="s">
        <v>41</v>
      </c>
      <c r="J885">
        <v>1</v>
      </c>
      <c r="K885">
        <v>5</v>
      </c>
      <c r="L885" t="str">
        <f t="shared" si="158"/>
        <v>520732</v>
      </c>
      <c r="N885" t="s">
        <v>2152</v>
      </c>
      <c r="O885" s="2">
        <v>46230.60560185185</v>
      </c>
      <c r="P885" s="2">
        <v>46230.60560185185</v>
      </c>
      <c r="Q885" s="2">
        <v>46230.60560185185</v>
      </c>
      <c r="R885" t="str">
        <f>"153000241"</f>
        <v>153000241</v>
      </c>
      <c r="S885" s="1">
        <v>47950</v>
      </c>
    </row>
    <row r="886" spans="1:19" x14ac:dyDescent="0.35">
      <c r="A886" t="s">
        <v>2182</v>
      </c>
      <c r="B886" t="s">
        <v>31</v>
      </c>
      <c r="C886" t="s">
        <v>2459</v>
      </c>
      <c r="D886" t="str">
        <f t="shared" si="157"/>
        <v>2505801177</v>
      </c>
      <c r="E886" t="s">
        <v>1536</v>
      </c>
      <c r="F886" t="str">
        <f>"400428"</f>
        <v>400428</v>
      </c>
      <c r="G886" t="s">
        <v>833</v>
      </c>
      <c r="H886" t="s">
        <v>2460</v>
      </c>
      <c r="I886" t="s">
        <v>41</v>
      </c>
      <c r="J886">
        <v>4</v>
      </c>
      <c r="K886">
        <v>5</v>
      </c>
      <c r="L886" t="str">
        <f t="shared" si="158"/>
        <v>520732</v>
      </c>
      <c r="N886" t="s">
        <v>2152</v>
      </c>
      <c r="O886" s="2">
        <v>46230.605567129627</v>
      </c>
      <c r="P886" s="2">
        <v>46230.605567129627</v>
      </c>
      <c r="Q886" s="2">
        <v>46230.605567129627</v>
      </c>
      <c r="R886" t="str">
        <f>"153000241"</f>
        <v>153000241</v>
      </c>
      <c r="S886" s="1">
        <v>47950</v>
      </c>
    </row>
    <row r="887" spans="1:19" x14ac:dyDescent="0.35">
      <c r="A887" t="s">
        <v>2182</v>
      </c>
      <c r="B887" t="s">
        <v>31</v>
      </c>
      <c r="C887" t="s">
        <v>2459</v>
      </c>
      <c r="D887" t="str">
        <f t="shared" si="157"/>
        <v>2505801177</v>
      </c>
      <c r="E887" t="s">
        <v>1536</v>
      </c>
      <c r="F887" t="str">
        <f>"401072"</f>
        <v>401072</v>
      </c>
      <c r="G887" t="s">
        <v>1781</v>
      </c>
      <c r="H887" t="s">
        <v>2367</v>
      </c>
      <c r="I887" t="s">
        <v>41</v>
      </c>
      <c r="J887">
        <v>3</v>
      </c>
      <c r="K887">
        <v>10</v>
      </c>
      <c r="L887" t="str">
        <f t="shared" si="158"/>
        <v>520732</v>
      </c>
      <c r="N887" t="s">
        <v>2152</v>
      </c>
      <c r="O887" s="2">
        <v>46230.605532407404</v>
      </c>
      <c r="P887" s="2">
        <v>46230.605532407404</v>
      </c>
      <c r="Q887" s="2">
        <v>46230.605532407404</v>
      </c>
      <c r="R887" t="str">
        <f>"153000258"</f>
        <v>153000258</v>
      </c>
      <c r="S887" s="1">
        <v>47953</v>
      </c>
    </row>
    <row r="888" spans="1:19" x14ac:dyDescent="0.35">
      <c r="A888" t="s">
        <v>2182</v>
      </c>
      <c r="B888" t="s">
        <v>31</v>
      </c>
      <c r="C888" t="s">
        <v>2459</v>
      </c>
      <c r="D888" t="str">
        <f t="shared" si="157"/>
        <v>2505801177</v>
      </c>
      <c r="E888" t="s">
        <v>1536</v>
      </c>
      <c r="F888" t="str">
        <f>"401072"</f>
        <v>401072</v>
      </c>
      <c r="G888" t="s">
        <v>1781</v>
      </c>
      <c r="H888" t="s">
        <v>2461</v>
      </c>
      <c r="I888" t="s">
        <v>41</v>
      </c>
      <c r="J888">
        <v>4</v>
      </c>
      <c r="K888">
        <v>10</v>
      </c>
      <c r="L888" t="str">
        <f t="shared" si="158"/>
        <v>520732</v>
      </c>
      <c r="N888" t="s">
        <v>2152</v>
      </c>
      <c r="O888" s="2">
        <v>46230.605497685188</v>
      </c>
      <c r="P888" s="2">
        <v>46230.605497685188</v>
      </c>
      <c r="Q888" s="2">
        <v>46230.605497685188</v>
      </c>
      <c r="R888" t="str">
        <f>"153000258"</f>
        <v>153000258</v>
      </c>
      <c r="S888" s="1">
        <v>47953</v>
      </c>
    </row>
    <row r="889" spans="1:19" x14ac:dyDescent="0.35">
      <c r="A889" t="s">
        <v>2182</v>
      </c>
      <c r="B889" t="s">
        <v>31</v>
      </c>
      <c r="C889" t="s">
        <v>2459</v>
      </c>
      <c r="D889" t="str">
        <f t="shared" si="157"/>
        <v>2505801177</v>
      </c>
      <c r="E889" t="s">
        <v>1536</v>
      </c>
      <c r="F889" t="str">
        <f>"401072"</f>
        <v>401072</v>
      </c>
      <c r="G889" t="s">
        <v>1781</v>
      </c>
      <c r="H889" t="s">
        <v>2461</v>
      </c>
      <c r="I889" t="s">
        <v>41</v>
      </c>
      <c r="J889">
        <v>2</v>
      </c>
      <c r="K889">
        <v>10</v>
      </c>
      <c r="L889" t="str">
        <f t="shared" si="158"/>
        <v>520732</v>
      </c>
      <c r="N889" t="s">
        <v>2152</v>
      </c>
      <c r="O889" s="2">
        <v>46230.605462962965</v>
      </c>
      <c r="P889" s="2">
        <v>46230.605462962965</v>
      </c>
      <c r="Q889" s="2">
        <v>46230.605462962965</v>
      </c>
      <c r="R889" t="str">
        <f>"153000258"</f>
        <v>153000258</v>
      </c>
      <c r="S889" s="1">
        <v>47953</v>
      </c>
    </row>
    <row r="890" spans="1:19" x14ac:dyDescent="0.35">
      <c r="A890" t="s">
        <v>2182</v>
      </c>
      <c r="B890" t="s">
        <v>31</v>
      </c>
      <c r="C890" t="s">
        <v>2459</v>
      </c>
      <c r="D890" t="str">
        <f t="shared" si="157"/>
        <v>2505801177</v>
      </c>
      <c r="E890" t="s">
        <v>1536</v>
      </c>
      <c r="F890" t="str">
        <f>"401072"</f>
        <v>401072</v>
      </c>
      <c r="G890" t="s">
        <v>1781</v>
      </c>
      <c r="H890" t="s">
        <v>2461</v>
      </c>
      <c r="I890" t="s">
        <v>41</v>
      </c>
      <c r="J890">
        <v>1</v>
      </c>
      <c r="K890">
        <v>10</v>
      </c>
      <c r="L890" t="str">
        <f t="shared" si="158"/>
        <v>520732</v>
      </c>
      <c r="N890" t="s">
        <v>2152</v>
      </c>
      <c r="O890" s="2">
        <v>46230.605416666665</v>
      </c>
      <c r="P890" s="2">
        <v>46230.605416666665</v>
      </c>
      <c r="Q890" s="2">
        <v>46230.605416666665</v>
      </c>
      <c r="R890" t="str">
        <f>"153000258"</f>
        <v>153000258</v>
      </c>
      <c r="S890" s="1">
        <v>47953</v>
      </c>
    </row>
    <row r="891" spans="1:19" x14ac:dyDescent="0.35">
      <c r="A891" t="s">
        <v>2182</v>
      </c>
      <c r="B891" t="s">
        <v>31</v>
      </c>
      <c r="C891" t="s">
        <v>2459</v>
      </c>
      <c r="D891" t="str">
        <f t="shared" si="157"/>
        <v>2505801177</v>
      </c>
      <c r="E891" t="s">
        <v>1536</v>
      </c>
      <c r="F891" t="str">
        <f>"400479"</f>
        <v>400479</v>
      </c>
      <c r="G891" t="s">
        <v>2304</v>
      </c>
      <c r="H891" t="s">
        <v>2331</v>
      </c>
      <c r="I891" t="s">
        <v>41</v>
      </c>
      <c r="J891">
        <v>2</v>
      </c>
      <c r="K891">
        <v>5</v>
      </c>
      <c r="L891" t="str">
        <f t="shared" si="158"/>
        <v>520732</v>
      </c>
      <c r="N891" t="s">
        <v>2152</v>
      </c>
      <c r="O891" s="2">
        <v>46230.605370370373</v>
      </c>
      <c r="P891" s="2">
        <v>46230.605370370373</v>
      </c>
      <c r="Q891" s="2">
        <v>46230.605370370373</v>
      </c>
      <c r="R891" t="str">
        <f>"100011172"</f>
        <v>100011172</v>
      </c>
      <c r="S891" s="1">
        <v>47839</v>
      </c>
    </row>
    <row r="892" spans="1:19" x14ac:dyDescent="0.35">
      <c r="A892" t="s">
        <v>2182</v>
      </c>
      <c r="B892" t="s">
        <v>31</v>
      </c>
      <c r="C892" t="s">
        <v>2459</v>
      </c>
      <c r="D892" t="str">
        <f t="shared" si="157"/>
        <v>2505801177</v>
      </c>
      <c r="E892" t="s">
        <v>1536</v>
      </c>
      <c r="F892" t="str">
        <f>"400479"</f>
        <v>400479</v>
      </c>
      <c r="G892" t="s">
        <v>2304</v>
      </c>
      <c r="H892" t="s">
        <v>2263</v>
      </c>
      <c r="I892" t="s">
        <v>41</v>
      </c>
      <c r="J892">
        <v>3</v>
      </c>
      <c r="K892">
        <v>5</v>
      </c>
      <c r="L892" t="str">
        <f t="shared" si="158"/>
        <v>520732</v>
      </c>
      <c r="N892" t="s">
        <v>2152</v>
      </c>
      <c r="O892" s="2">
        <v>46230.605324074073</v>
      </c>
      <c r="P892" s="2">
        <v>46230.605324074073</v>
      </c>
      <c r="Q892" s="2">
        <v>46230.605324074073</v>
      </c>
      <c r="R892" t="str">
        <f>"100011172"</f>
        <v>100011172</v>
      </c>
      <c r="S892" s="1">
        <v>47839</v>
      </c>
    </row>
    <row r="893" spans="1:19" x14ac:dyDescent="0.35">
      <c r="A893" t="s">
        <v>2182</v>
      </c>
      <c r="B893" t="s">
        <v>31</v>
      </c>
      <c r="C893" t="s">
        <v>2459</v>
      </c>
      <c r="D893" t="str">
        <f t="shared" si="157"/>
        <v>2505801177</v>
      </c>
      <c r="E893" t="s">
        <v>1536</v>
      </c>
      <c r="F893" t="str">
        <f>"401047"</f>
        <v>401047</v>
      </c>
      <c r="G893" t="s">
        <v>1730</v>
      </c>
      <c r="H893" t="s">
        <v>2458</v>
      </c>
      <c r="I893" t="s">
        <v>41</v>
      </c>
      <c r="J893">
        <v>1</v>
      </c>
      <c r="K893">
        <v>10</v>
      </c>
      <c r="L893" t="str">
        <f t="shared" si="158"/>
        <v>520732</v>
      </c>
      <c r="N893" t="s">
        <v>2152</v>
      </c>
      <c r="O893" s="2">
        <v>46230.60528935185</v>
      </c>
      <c r="P893" s="2">
        <v>46230.60528935185</v>
      </c>
      <c r="Q893" s="2">
        <v>46230.60528935185</v>
      </c>
      <c r="R893" t="str">
        <f>"153000283"</f>
        <v>153000283</v>
      </c>
      <c r="S893" s="1">
        <v>47969</v>
      </c>
    </row>
    <row r="894" spans="1:19" x14ac:dyDescent="0.35">
      <c r="A894" t="s">
        <v>2182</v>
      </c>
      <c r="B894" t="s">
        <v>31</v>
      </c>
      <c r="C894" t="s">
        <v>2459</v>
      </c>
      <c r="D894" t="str">
        <f t="shared" si="157"/>
        <v>2505801177</v>
      </c>
      <c r="E894" t="s">
        <v>1536</v>
      </c>
      <c r="F894" t="str">
        <f>"401047"</f>
        <v>401047</v>
      </c>
      <c r="G894" t="s">
        <v>1730</v>
      </c>
      <c r="H894" t="s">
        <v>2458</v>
      </c>
      <c r="I894" t="s">
        <v>41</v>
      </c>
      <c r="J894">
        <v>1</v>
      </c>
      <c r="K894">
        <v>10</v>
      </c>
      <c r="L894" t="str">
        <f t="shared" si="158"/>
        <v>520732</v>
      </c>
      <c r="N894" t="s">
        <v>2152</v>
      </c>
      <c r="O894" s="2">
        <v>46230.605254629627</v>
      </c>
      <c r="P894" s="2">
        <v>46230.605254629627</v>
      </c>
      <c r="Q894" s="2">
        <v>46230.605254629627</v>
      </c>
      <c r="R894" t="str">
        <f>"153000283"</f>
        <v>153000283</v>
      </c>
      <c r="S894" s="1">
        <v>47969</v>
      </c>
    </row>
    <row r="895" spans="1:19" x14ac:dyDescent="0.35">
      <c r="A895" t="s">
        <v>2182</v>
      </c>
      <c r="B895" t="s">
        <v>31</v>
      </c>
      <c r="C895" t="s">
        <v>2459</v>
      </c>
      <c r="D895" t="str">
        <f t="shared" si="157"/>
        <v>2505801177</v>
      </c>
      <c r="E895" t="s">
        <v>1536</v>
      </c>
      <c r="F895" t="str">
        <f>"401047"</f>
        <v>401047</v>
      </c>
      <c r="G895" t="s">
        <v>1730</v>
      </c>
      <c r="H895" t="s">
        <v>2458</v>
      </c>
      <c r="I895" t="s">
        <v>41</v>
      </c>
      <c r="J895">
        <v>4</v>
      </c>
      <c r="K895">
        <v>10</v>
      </c>
      <c r="L895" t="str">
        <f t="shared" si="158"/>
        <v>520732</v>
      </c>
      <c r="N895" t="s">
        <v>2152</v>
      </c>
      <c r="O895" s="2">
        <v>46230.605208333334</v>
      </c>
      <c r="P895" s="2">
        <v>46230.605208333334</v>
      </c>
      <c r="Q895" s="2">
        <v>46230.605208333334</v>
      </c>
      <c r="R895" t="str">
        <f>"153000283"</f>
        <v>153000283</v>
      </c>
      <c r="S895" s="1">
        <v>47969</v>
      </c>
    </row>
    <row r="896" spans="1:19" x14ac:dyDescent="0.35">
      <c r="A896" t="s">
        <v>2182</v>
      </c>
      <c r="B896" t="s">
        <v>31</v>
      </c>
      <c r="C896" t="s">
        <v>2459</v>
      </c>
      <c r="D896" t="str">
        <f t="shared" si="157"/>
        <v>2505801177</v>
      </c>
      <c r="E896" t="s">
        <v>1536</v>
      </c>
      <c r="F896" t="str">
        <f>"401047"</f>
        <v>401047</v>
      </c>
      <c r="G896" t="s">
        <v>1730</v>
      </c>
      <c r="H896" t="s">
        <v>2458</v>
      </c>
      <c r="I896" t="s">
        <v>41</v>
      </c>
      <c r="J896">
        <v>4</v>
      </c>
      <c r="K896">
        <v>10</v>
      </c>
      <c r="L896" t="str">
        <f t="shared" si="158"/>
        <v>520732</v>
      </c>
      <c r="N896" t="s">
        <v>2152</v>
      </c>
      <c r="O896" s="2">
        <v>46230.605173611111</v>
      </c>
      <c r="P896" s="2">
        <v>46230.605173611111</v>
      </c>
      <c r="Q896" s="2">
        <v>46230.605173611111</v>
      </c>
      <c r="R896" t="str">
        <f>"153000283"</f>
        <v>153000283</v>
      </c>
      <c r="S896" s="1">
        <v>47969</v>
      </c>
    </row>
    <row r="897" spans="1:19" x14ac:dyDescent="0.35">
      <c r="A897" t="s">
        <v>2182</v>
      </c>
      <c r="B897" t="s">
        <v>31</v>
      </c>
      <c r="C897" t="s">
        <v>2459</v>
      </c>
      <c r="D897" t="str">
        <f t="shared" si="157"/>
        <v>2505801177</v>
      </c>
      <c r="E897" t="s">
        <v>1536</v>
      </c>
      <c r="F897" t="str">
        <f t="shared" ref="F897:F904" si="159">"400464"</f>
        <v>400464</v>
      </c>
      <c r="G897" t="s">
        <v>1669</v>
      </c>
      <c r="H897" t="s">
        <v>2462</v>
      </c>
      <c r="I897" t="s">
        <v>41</v>
      </c>
      <c r="J897">
        <v>4</v>
      </c>
      <c r="K897">
        <v>8</v>
      </c>
      <c r="L897" t="str">
        <f t="shared" si="158"/>
        <v>520732</v>
      </c>
      <c r="N897" t="s">
        <v>2152</v>
      </c>
      <c r="O897" s="2">
        <v>46230.605138888888</v>
      </c>
      <c r="P897" s="2">
        <v>46230.605138888888</v>
      </c>
      <c r="Q897" s="2">
        <v>46230.605138888888</v>
      </c>
      <c r="R897" t="str">
        <f>"100010746"</f>
        <v>100010746</v>
      </c>
      <c r="S897" s="1">
        <v>47841</v>
      </c>
    </row>
    <row r="898" spans="1:19" x14ac:dyDescent="0.35">
      <c r="A898" t="s">
        <v>2182</v>
      </c>
      <c r="B898" t="s">
        <v>31</v>
      </c>
      <c r="C898" t="s">
        <v>2459</v>
      </c>
      <c r="D898" t="str">
        <f t="shared" si="157"/>
        <v>2505801177</v>
      </c>
      <c r="E898" t="s">
        <v>1536</v>
      </c>
      <c r="F898" t="str">
        <f t="shared" si="159"/>
        <v>400464</v>
      </c>
      <c r="G898" t="s">
        <v>1669</v>
      </c>
      <c r="H898" t="s">
        <v>2462</v>
      </c>
      <c r="I898" t="s">
        <v>41</v>
      </c>
      <c r="J898">
        <v>4</v>
      </c>
      <c r="K898">
        <v>8</v>
      </c>
      <c r="L898" t="str">
        <f t="shared" si="158"/>
        <v>520732</v>
      </c>
      <c r="N898" t="s">
        <v>2152</v>
      </c>
      <c r="O898" s="2">
        <v>46230.605092592596</v>
      </c>
      <c r="P898" s="2">
        <v>46230.605092592596</v>
      </c>
      <c r="Q898" s="2">
        <v>46230.605092592596</v>
      </c>
      <c r="R898" t="str">
        <f>"100010746"</f>
        <v>100010746</v>
      </c>
      <c r="S898" s="1">
        <v>47841</v>
      </c>
    </row>
    <row r="899" spans="1:19" x14ac:dyDescent="0.35">
      <c r="A899" t="s">
        <v>2182</v>
      </c>
      <c r="B899" t="s">
        <v>31</v>
      </c>
      <c r="C899" t="s">
        <v>2459</v>
      </c>
      <c r="D899" t="str">
        <f t="shared" si="157"/>
        <v>2505801177</v>
      </c>
      <c r="E899" t="s">
        <v>1536</v>
      </c>
      <c r="F899" t="str">
        <f t="shared" si="159"/>
        <v>400464</v>
      </c>
      <c r="G899" t="s">
        <v>1669</v>
      </c>
      <c r="H899" t="s">
        <v>2462</v>
      </c>
      <c r="I899" t="s">
        <v>41</v>
      </c>
      <c r="J899">
        <v>4</v>
      </c>
      <c r="K899">
        <v>10</v>
      </c>
      <c r="L899" t="str">
        <f t="shared" si="158"/>
        <v>520732</v>
      </c>
      <c r="N899" t="s">
        <v>2152</v>
      </c>
      <c r="O899" s="2">
        <v>46230.605034722219</v>
      </c>
      <c r="P899" s="2">
        <v>46230.605034722219</v>
      </c>
      <c r="Q899" s="2">
        <v>46230.605034722219</v>
      </c>
      <c r="R899" t="str">
        <f>"100009649"</f>
        <v>100009649</v>
      </c>
      <c r="S899" s="1">
        <v>47841</v>
      </c>
    </row>
    <row r="900" spans="1:19" x14ac:dyDescent="0.35">
      <c r="A900" t="s">
        <v>2182</v>
      </c>
      <c r="B900" t="s">
        <v>31</v>
      </c>
      <c r="C900" t="s">
        <v>2459</v>
      </c>
      <c r="D900" t="str">
        <f t="shared" si="157"/>
        <v>2505801177</v>
      </c>
      <c r="E900" t="s">
        <v>1536</v>
      </c>
      <c r="F900" t="str">
        <f t="shared" si="159"/>
        <v>400464</v>
      </c>
      <c r="G900" t="s">
        <v>1669</v>
      </c>
      <c r="H900" t="s">
        <v>2462</v>
      </c>
      <c r="I900" t="s">
        <v>41</v>
      </c>
      <c r="J900">
        <v>4</v>
      </c>
      <c r="K900">
        <v>10</v>
      </c>
      <c r="L900" t="str">
        <f t="shared" si="158"/>
        <v>520732</v>
      </c>
      <c r="N900" t="s">
        <v>2152</v>
      </c>
      <c r="O900" s="2">
        <v>46230.605000000003</v>
      </c>
      <c r="P900" s="2">
        <v>46230.605000000003</v>
      </c>
      <c r="Q900" s="2">
        <v>46230.605000000003</v>
      </c>
      <c r="R900" t="str">
        <f>"100009649"</f>
        <v>100009649</v>
      </c>
      <c r="S900" s="1">
        <v>47841</v>
      </c>
    </row>
    <row r="901" spans="1:19" x14ac:dyDescent="0.35">
      <c r="A901" t="s">
        <v>2182</v>
      </c>
      <c r="B901" t="s">
        <v>31</v>
      </c>
      <c r="C901" t="s">
        <v>2459</v>
      </c>
      <c r="D901" t="str">
        <f t="shared" si="157"/>
        <v>2505801177</v>
      </c>
      <c r="E901" t="s">
        <v>1536</v>
      </c>
      <c r="F901" t="str">
        <f t="shared" si="159"/>
        <v>400464</v>
      </c>
      <c r="G901" t="s">
        <v>1669</v>
      </c>
      <c r="H901" t="s">
        <v>2463</v>
      </c>
      <c r="I901" t="s">
        <v>41</v>
      </c>
      <c r="J901">
        <v>2</v>
      </c>
      <c r="K901">
        <v>10</v>
      </c>
      <c r="L901" t="str">
        <f t="shared" si="158"/>
        <v>520732</v>
      </c>
      <c r="N901" t="s">
        <v>2152</v>
      </c>
      <c r="O901" s="2">
        <v>46230.604953703703</v>
      </c>
      <c r="P901" s="2">
        <v>46230.604953703703</v>
      </c>
      <c r="Q901" s="2">
        <v>46230.604953703703</v>
      </c>
      <c r="R901" t="str">
        <f>"100009649"</f>
        <v>100009649</v>
      </c>
      <c r="S901" s="1">
        <v>47841</v>
      </c>
    </row>
    <row r="902" spans="1:19" x14ac:dyDescent="0.35">
      <c r="A902" t="s">
        <v>2182</v>
      </c>
      <c r="B902" t="s">
        <v>31</v>
      </c>
      <c r="C902" t="s">
        <v>2459</v>
      </c>
      <c r="D902" t="str">
        <f t="shared" si="157"/>
        <v>2505801177</v>
      </c>
      <c r="E902" t="s">
        <v>1536</v>
      </c>
      <c r="F902" t="str">
        <f t="shared" si="159"/>
        <v>400464</v>
      </c>
      <c r="G902" t="s">
        <v>1669</v>
      </c>
      <c r="H902" t="s">
        <v>2463</v>
      </c>
      <c r="I902" t="s">
        <v>41</v>
      </c>
      <c r="J902">
        <v>4</v>
      </c>
      <c r="K902">
        <v>12</v>
      </c>
      <c r="L902" t="str">
        <f t="shared" si="158"/>
        <v>520732</v>
      </c>
      <c r="N902" t="s">
        <v>2152</v>
      </c>
      <c r="O902" s="2">
        <v>46230.60491898148</v>
      </c>
      <c r="P902" s="2">
        <v>46230.60491898148</v>
      </c>
      <c r="Q902" s="2">
        <v>46230.60491898148</v>
      </c>
      <c r="R902" t="str">
        <f>"100009904"</f>
        <v>100009904</v>
      </c>
      <c r="S902" s="1">
        <v>47841</v>
      </c>
    </row>
    <row r="903" spans="1:19" x14ac:dyDescent="0.35">
      <c r="A903" t="s">
        <v>2182</v>
      </c>
      <c r="B903" t="s">
        <v>31</v>
      </c>
      <c r="C903" t="s">
        <v>2459</v>
      </c>
      <c r="D903" t="str">
        <f t="shared" si="157"/>
        <v>2505801177</v>
      </c>
      <c r="E903" t="s">
        <v>1536</v>
      </c>
      <c r="F903" t="str">
        <f t="shared" si="159"/>
        <v>400464</v>
      </c>
      <c r="G903" t="s">
        <v>1669</v>
      </c>
      <c r="H903" t="s">
        <v>2463</v>
      </c>
      <c r="I903" t="s">
        <v>41</v>
      </c>
      <c r="J903">
        <v>4</v>
      </c>
      <c r="K903">
        <v>12</v>
      </c>
      <c r="L903" t="str">
        <f t="shared" si="158"/>
        <v>520732</v>
      </c>
      <c r="N903" t="s">
        <v>2152</v>
      </c>
      <c r="O903" s="2">
        <v>46230.604872685188</v>
      </c>
      <c r="P903" s="2">
        <v>46230.604872685188</v>
      </c>
      <c r="Q903" s="2">
        <v>46230.604872685188</v>
      </c>
      <c r="R903" t="str">
        <f>"100009904"</f>
        <v>100009904</v>
      </c>
      <c r="S903" s="1">
        <v>47841</v>
      </c>
    </row>
    <row r="904" spans="1:19" x14ac:dyDescent="0.35">
      <c r="A904" t="s">
        <v>2182</v>
      </c>
      <c r="B904" t="s">
        <v>31</v>
      </c>
      <c r="C904" t="s">
        <v>2459</v>
      </c>
      <c r="D904" t="str">
        <f t="shared" si="157"/>
        <v>2505801177</v>
      </c>
      <c r="E904" t="s">
        <v>1536</v>
      </c>
      <c r="F904" t="str">
        <f t="shared" si="159"/>
        <v>400464</v>
      </c>
      <c r="G904" t="s">
        <v>1669</v>
      </c>
      <c r="H904" t="s">
        <v>2463</v>
      </c>
      <c r="I904" t="s">
        <v>41</v>
      </c>
      <c r="J904">
        <v>4</v>
      </c>
      <c r="K904">
        <v>12</v>
      </c>
      <c r="L904" t="str">
        <f t="shared" si="158"/>
        <v>520732</v>
      </c>
      <c r="N904" t="s">
        <v>2152</v>
      </c>
      <c r="O904" s="2">
        <v>46230.604826388888</v>
      </c>
      <c r="P904" s="2">
        <v>46230.604826388888</v>
      </c>
      <c r="Q904" s="2">
        <v>46230.604826388888</v>
      </c>
      <c r="R904" t="str">
        <f>"100009904"</f>
        <v>100009904</v>
      </c>
      <c r="S904" s="1">
        <v>47841</v>
      </c>
    </row>
    <row r="905" spans="1:19" x14ac:dyDescent="0.35">
      <c r="A905" t="s">
        <v>2182</v>
      </c>
      <c r="B905" t="s">
        <v>31</v>
      </c>
      <c r="C905" t="s">
        <v>2464</v>
      </c>
      <c r="D905" t="str">
        <f>"2501717886"</f>
        <v>2501717886</v>
      </c>
      <c r="E905" t="s">
        <v>1536</v>
      </c>
      <c r="F905" t="str">
        <f>"401072"</f>
        <v>401072</v>
      </c>
      <c r="G905" t="s">
        <v>1781</v>
      </c>
      <c r="H905" t="s">
        <v>2461</v>
      </c>
      <c r="I905" t="s">
        <v>41</v>
      </c>
      <c r="J905">
        <v>3</v>
      </c>
      <c r="K905">
        <v>3</v>
      </c>
      <c r="L905" t="str">
        <f>"520609"</f>
        <v>520609</v>
      </c>
      <c r="N905" t="s">
        <v>1693</v>
      </c>
      <c r="O905" s="2">
        <v>46230.3983912037</v>
      </c>
      <c r="P905" s="2">
        <v>46230.3983912037</v>
      </c>
      <c r="Q905" s="2">
        <v>46230.3983912037</v>
      </c>
      <c r="R905" t="str">
        <f>"153000258"</f>
        <v>153000258</v>
      </c>
      <c r="S905" s="1">
        <v>47953</v>
      </c>
    </row>
    <row r="906" spans="1:19" x14ac:dyDescent="0.35">
      <c r="A906" t="s">
        <v>2182</v>
      </c>
      <c r="B906" t="s">
        <v>31</v>
      </c>
      <c r="C906" t="s">
        <v>2465</v>
      </c>
      <c r="D906" t="str">
        <f t="shared" ref="D906:D912" si="160">"2501717873"</f>
        <v>2501717873</v>
      </c>
      <c r="E906" t="s">
        <v>1536</v>
      </c>
      <c r="F906" t="str">
        <f>"400426"</f>
        <v>400426</v>
      </c>
      <c r="G906" t="s">
        <v>34</v>
      </c>
      <c r="H906" t="s">
        <v>2447</v>
      </c>
      <c r="I906" t="s">
        <v>37</v>
      </c>
      <c r="J906">
        <v>10</v>
      </c>
      <c r="K906">
        <v>10</v>
      </c>
      <c r="L906" t="str">
        <f t="shared" ref="L906:L912" si="161">"520018"</f>
        <v>520018</v>
      </c>
      <c r="N906" t="s">
        <v>2153</v>
      </c>
      <c r="O906" s="2">
        <v>46230.398958333331</v>
      </c>
      <c r="P906" s="2">
        <v>46230.398958333331</v>
      </c>
      <c r="Q906" s="2">
        <v>46230.398958333331</v>
      </c>
      <c r="R906" t="str">
        <f>"153000231"</f>
        <v>153000231</v>
      </c>
      <c r="S906" s="1">
        <v>47944</v>
      </c>
    </row>
    <row r="907" spans="1:19" x14ac:dyDescent="0.35">
      <c r="A907" t="s">
        <v>2182</v>
      </c>
      <c r="B907" t="s">
        <v>31</v>
      </c>
      <c r="C907" t="s">
        <v>2465</v>
      </c>
      <c r="D907" t="str">
        <f t="shared" si="160"/>
        <v>2501717873</v>
      </c>
      <c r="E907" t="s">
        <v>1536</v>
      </c>
      <c r="F907" t="str">
        <f>"400413"</f>
        <v>400413</v>
      </c>
      <c r="G907" t="s">
        <v>1545</v>
      </c>
      <c r="H907" t="s">
        <v>2452</v>
      </c>
      <c r="I907" t="s">
        <v>37</v>
      </c>
      <c r="J907">
        <v>6</v>
      </c>
      <c r="K907">
        <v>30</v>
      </c>
      <c r="L907" t="str">
        <f t="shared" si="161"/>
        <v>520018</v>
      </c>
      <c r="N907" t="s">
        <v>2153</v>
      </c>
      <c r="O907" s="2">
        <v>46230.398923611108</v>
      </c>
      <c r="P907" s="2">
        <v>46230.398923611108</v>
      </c>
      <c r="Q907" s="2">
        <v>46230.398923611108</v>
      </c>
      <c r="R907" t="str">
        <f>"153000376"</f>
        <v>153000376</v>
      </c>
      <c r="S907" s="1">
        <v>48009</v>
      </c>
    </row>
    <row r="908" spans="1:19" x14ac:dyDescent="0.35">
      <c r="A908" t="s">
        <v>2182</v>
      </c>
      <c r="B908" t="s">
        <v>31</v>
      </c>
      <c r="C908" t="s">
        <v>2465</v>
      </c>
      <c r="D908" t="str">
        <f t="shared" si="160"/>
        <v>2501717873</v>
      </c>
      <c r="E908" t="s">
        <v>1536</v>
      </c>
      <c r="F908" t="str">
        <f>"400413"</f>
        <v>400413</v>
      </c>
      <c r="G908" t="s">
        <v>1545</v>
      </c>
      <c r="H908" t="s">
        <v>2466</v>
      </c>
      <c r="I908" t="s">
        <v>37</v>
      </c>
      <c r="J908">
        <v>24</v>
      </c>
      <c r="K908">
        <v>30</v>
      </c>
      <c r="L908" t="str">
        <f t="shared" si="161"/>
        <v>520018</v>
      </c>
      <c r="N908" t="s">
        <v>2153</v>
      </c>
      <c r="O908" s="2">
        <v>46230.398877314816</v>
      </c>
      <c r="P908" s="2">
        <v>46230.398877314816</v>
      </c>
      <c r="Q908" s="2">
        <v>46230.398877314816</v>
      </c>
      <c r="R908" t="str">
        <f>"153000376"</f>
        <v>153000376</v>
      </c>
      <c r="S908" s="1">
        <v>48009</v>
      </c>
    </row>
    <row r="909" spans="1:19" x14ac:dyDescent="0.35">
      <c r="A909" t="s">
        <v>2182</v>
      </c>
      <c r="B909" t="s">
        <v>31</v>
      </c>
      <c r="C909" t="s">
        <v>2465</v>
      </c>
      <c r="D909" t="str">
        <f t="shared" si="160"/>
        <v>2501717873</v>
      </c>
      <c r="E909" t="s">
        <v>1536</v>
      </c>
      <c r="F909" t="str">
        <f>"400405"</f>
        <v>400405</v>
      </c>
      <c r="G909" t="s">
        <v>519</v>
      </c>
      <c r="H909" t="s">
        <v>2293</v>
      </c>
      <c r="I909" t="s">
        <v>37</v>
      </c>
      <c r="J909">
        <v>10</v>
      </c>
      <c r="K909">
        <v>10</v>
      </c>
      <c r="L909" t="str">
        <f t="shared" si="161"/>
        <v>520018</v>
      </c>
      <c r="N909" t="s">
        <v>2153</v>
      </c>
      <c r="O909" s="2">
        <v>46230.398842592593</v>
      </c>
      <c r="P909" s="2">
        <v>46230.398842592593</v>
      </c>
      <c r="Q909" s="2">
        <v>46230.398842592593</v>
      </c>
      <c r="R909" t="str">
        <f>"153000440"</f>
        <v>153000440</v>
      </c>
      <c r="S909" s="1">
        <v>48036</v>
      </c>
    </row>
    <row r="910" spans="1:19" x14ac:dyDescent="0.35">
      <c r="A910" t="s">
        <v>2182</v>
      </c>
      <c r="B910" t="s">
        <v>31</v>
      </c>
      <c r="C910" t="s">
        <v>2465</v>
      </c>
      <c r="D910" t="str">
        <f t="shared" si="160"/>
        <v>2501717873</v>
      </c>
      <c r="E910" t="s">
        <v>1536</v>
      </c>
      <c r="F910" t="str">
        <f>"400402"</f>
        <v>400402</v>
      </c>
      <c r="G910" t="s">
        <v>1665</v>
      </c>
      <c r="H910" t="s">
        <v>2383</v>
      </c>
      <c r="I910" t="s">
        <v>37</v>
      </c>
      <c r="J910">
        <v>10</v>
      </c>
      <c r="K910">
        <v>10</v>
      </c>
      <c r="L910" t="str">
        <f t="shared" si="161"/>
        <v>520018</v>
      </c>
      <c r="N910" t="s">
        <v>2153</v>
      </c>
      <c r="O910" s="2">
        <v>46230.39880787037</v>
      </c>
      <c r="P910" s="2">
        <v>46230.39880787037</v>
      </c>
      <c r="Q910" s="2">
        <v>46230.39880787037</v>
      </c>
      <c r="R910" t="str">
        <f>"153000363"</f>
        <v>153000363</v>
      </c>
      <c r="S910" s="1">
        <v>48006</v>
      </c>
    </row>
    <row r="911" spans="1:19" x14ac:dyDescent="0.35">
      <c r="A911" t="s">
        <v>2182</v>
      </c>
      <c r="B911" t="s">
        <v>31</v>
      </c>
      <c r="C911" t="s">
        <v>2465</v>
      </c>
      <c r="D911" t="str">
        <f t="shared" si="160"/>
        <v>2501717873</v>
      </c>
      <c r="E911" t="s">
        <v>1536</v>
      </c>
      <c r="F911" t="str">
        <f>"400420"</f>
        <v>400420</v>
      </c>
      <c r="G911" t="s">
        <v>1661</v>
      </c>
      <c r="H911" t="s">
        <v>2209</v>
      </c>
      <c r="I911" t="s">
        <v>37</v>
      </c>
      <c r="J911">
        <v>10</v>
      </c>
      <c r="K911">
        <v>10</v>
      </c>
      <c r="L911" t="str">
        <f t="shared" si="161"/>
        <v>520018</v>
      </c>
      <c r="N911" t="s">
        <v>2153</v>
      </c>
      <c r="O911" s="2">
        <v>46230.398761574077</v>
      </c>
      <c r="P911" s="2">
        <v>46230.398761574077</v>
      </c>
      <c r="Q911" s="2">
        <v>46230.398761574077</v>
      </c>
      <c r="R911" t="str">
        <f>"153000420"</f>
        <v>153000420</v>
      </c>
      <c r="S911" s="1">
        <v>48025</v>
      </c>
    </row>
    <row r="912" spans="1:19" x14ac:dyDescent="0.35">
      <c r="A912" t="s">
        <v>2182</v>
      </c>
      <c r="B912" t="s">
        <v>31</v>
      </c>
      <c r="C912" t="s">
        <v>2465</v>
      </c>
      <c r="D912" t="str">
        <f t="shared" si="160"/>
        <v>2501717873</v>
      </c>
      <c r="E912" t="s">
        <v>1536</v>
      </c>
      <c r="F912" t="str">
        <f>"400900"</f>
        <v>400900</v>
      </c>
      <c r="G912" t="s">
        <v>1702</v>
      </c>
      <c r="H912" t="s">
        <v>2455</v>
      </c>
      <c r="I912" t="s">
        <v>37</v>
      </c>
      <c r="J912">
        <v>10</v>
      </c>
      <c r="K912">
        <v>10</v>
      </c>
      <c r="L912" t="str">
        <f t="shared" si="161"/>
        <v>520018</v>
      </c>
      <c r="N912" t="s">
        <v>2153</v>
      </c>
      <c r="O912" s="2">
        <v>46230.398726851854</v>
      </c>
      <c r="P912" s="2">
        <v>46230.398726851854</v>
      </c>
      <c r="Q912" s="2">
        <v>46230.398726851854</v>
      </c>
      <c r="R912" t="str">
        <f>"950001506"</f>
        <v>950001506</v>
      </c>
      <c r="S912" s="1">
        <v>48049</v>
      </c>
    </row>
    <row r="913" spans="1:19" x14ac:dyDescent="0.35">
      <c r="A913" t="s">
        <v>2182</v>
      </c>
      <c r="B913" t="s">
        <v>31</v>
      </c>
      <c r="C913" t="s">
        <v>2467</v>
      </c>
      <c r="D913" t="str">
        <f>"2501717872"</f>
        <v>2501717872</v>
      </c>
      <c r="E913" t="s">
        <v>1536</v>
      </c>
      <c r="F913" t="str">
        <f>"400900"</f>
        <v>400900</v>
      </c>
      <c r="G913" t="s">
        <v>1702</v>
      </c>
      <c r="H913" t="s">
        <v>2455</v>
      </c>
      <c r="I913" t="s">
        <v>37</v>
      </c>
      <c r="J913">
        <v>4</v>
      </c>
      <c r="K913">
        <v>4</v>
      </c>
      <c r="L913" t="str">
        <f>"521229"</f>
        <v>521229</v>
      </c>
      <c r="N913" t="s">
        <v>2156</v>
      </c>
      <c r="O913" s="2">
        <v>46230.399282407408</v>
      </c>
      <c r="P913" s="2">
        <v>46230.399282407408</v>
      </c>
      <c r="Q913" s="2">
        <v>46230.399282407408</v>
      </c>
      <c r="R913" t="str">
        <f>"950001506"</f>
        <v>950001506</v>
      </c>
      <c r="S913" s="1">
        <v>48049</v>
      </c>
    </row>
    <row r="914" spans="1:19" x14ac:dyDescent="0.35">
      <c r="A914" t="s">
        <v>2182</v>
      </c>
      <c r="B914" t="s">
        <v>31</v>
      </c>
      <c r="C914" t="s">
        <v>2468</v>
      </c>
      <c r="D914" t="str">
        <f t="shared" ref="D914:D938" si="162">"2501717845"</f>
        <v>2501717845</v>
      </c>
      <c r="E914" t="s">
        <v>1536</v>
      </c>
      <c r="F914" t="str">
        <f t="shared" ref="F914:F938" si="163">"400459"</f>
        <v>400459</v>
      </c>
      <c r="G914" t="s">
        <v>1054</v>
      </c>
      <c r="H914" t="s">
        <v>2469</v>
      </c>
      <c r="I914" t="s">
        <v>41</v>
      </c>
      <c r="J914">
        <v>4</v>
      </c>
      <c r="K914">
        <v>76</v>
      </c>
      <c r="L914" t="str">
        <f t="shared" ref="L914:L938" si="164">"520747"</f>
        <v>520747</v>
      </c>
      <c r="N914" t="s">
        <v>1732</v>
      </c>
      <c r="O914" s="2">
        <v>46228.374861111108</v>
      </c>
      <c r="P914" s="2">
        <v>46228.374861111108</v>
      </c>
      <c r="Q914" s="2">
        <v>46228.374861111108</v>
      </c>
      <c r="R914" t="str">
        <f t="shared" ref="R914:R932" si="165">"153000326"</f>
        <v>153000326</v>
      </c>
      <c r="S914" s="1">
        <v>47985</v>
      </c>
    </row>
    <row r="915" spans="1:19" x14ac:dyDescent="0.35">
      <c r="A915" t="s">
        <v>2182</v>
      </c>
      <c r="B915" t="s">
        <v>31</v>
      </c>
      <c r="C915" t="s">
        <v>2468</v>
      </c>
      <c r="D915" t="str">
        <f t="shared" si="162"/>
        <v>2501717845</v>
      </c>
      <c r="E915" t="s">
        <v>1536</v>
      </c>
      <c r="F915" t="str">
        <f t="shared" si="163"/>
        <v>400459</v>
      </c>
      <c r="G915" t="s">
        <v>1054</v>
      </c>
      <c r="H915" t="s">
        <v>2470</v>
      </c>
      <c r="I915" t="s">
        <v>41</v>
      </c>
      <c r="J915">
        <v>4</v>
      </c>
      <c r="K915">
        <v>76</v>
      </c>
      <c r="L915" t="str">
        <f t="shared" si="164"/>
        <v>520747</v>
      </c>
      <c r="N915" t="s">
        <v>1732</v>
      </c>
      <c r="O915" s="2">
        <v>46228.374756944446</v>
      </c>
      <c r="P915" s="2">
        <v>46228.374756944446</v>
      </c>
      <c r="Q915" s="2">
        <v>46228.374756944446</v>
      </c>
      <c r="R915" t="str">
        <f t="shared" si="165"/>
        <v>153000326</v>
      </c>
      <c r="S915" s="1">
        <v>47985</v>
      </c>
    </row>
    <row r="916" spans="1:19" x14ac:dyDescent="0.35">
      <c r="A916" t="s">
        <v>2182</v>
      </c>
      <c r="B916" t="s">
        <v>31</v>
      </c>
      <c r="C916" t="s">
        <v>2468</v>
      </c>
      <c r="D916" t="str">
        <f t="shared" si="162"/>
        <v>2501717845</v>
      </c>
      <c r="E916" t="s">
        <v>1536</v>
      </c>
      <c r="F916" t="str">
        <f t="shared" si="163"/>
        <v>400459</v>
      </c>
      <c r="G916" t="s">
        <v>1054</v>
      </c>
      <c r="H916" t="s">
        <v>2471</v>
      </c>
      <c r="I916" t="s">
        <v>41</v>
      </c>
      <c r="J916">
        <v>4</v>
      </c>
      <c r="K916">
        <v>76</v>
      </c>
      <c r="L916" t="str">
        <f t="shared" si="164"/>
        <v>520747</v>
      </c>
      <c r="N916" t="s">
        <v>1732</v>
      </c>
      <c r="O916" s="2">
        <v>46228.374016203707</v>
      </c>
      <c r="P916" s="2">
        <v>46228.374027777776</v>
      </c>
      <c r="Q916" s="2">
        <v>46228.374027777776</v>
      </c>
      <c r="R916" t="str">
        <f t="shared" si="165"/>
        <v>153000326</v>
      </c>
      <c r="S916" s="1">
        <v>47985</v>
      </c>
    </row>
    <row r="917" spans="1:19" x14ac:dyDescent="0.35">
      <c r="A917" t="s">
        <v>2182</v>
      </c>
      <c r="B917" t="s">
        <v>31</v>
      </c>
      <c r="C917" t="s">
        <v>2468</v>
      </c>
      <c r="D917" t="str">
        <f t="shared" si="162"/>
        <v>2501717845</v>
      </c>
      <c r="E917" t="s">
        <v>1536</v>
      </c>
      <c r="F917" t="str">
        <f t="shared" si="163"/>
        <v>400459</v>
      </c>
      <c r="G917" t="s">
        <v>1054</v>
      </c>
      <c r="H917" t="s">
        <v>2472</v>
      </c>
      <c r="I917" t="s">
        <v>41</v>
      </c>
      <c r="J917">
        <v>4</v>
      </c>
      <c r="K917">
        <v>76</v>
      </c>
      <c r="L917" t="str">
        <f t="shared" si="164"/>
        <v>520747</v>
      </c>
      <c r="N917" t="s">
        <v>1732</v>
      </c>
      <c r="O917" s="2">
        <v>46228.373692129629</v>
      </c>
      <c r="P917" s="2">
        <v>46228.373692129629</v>
      </c>
      <c r="Q917" s="2">
        <v>46228.373692129629</v>
      </c>
      <c r="R917" t="str">
        <f t="shared" si="165"/>
        <v>153000326</v>
      </c>
      <c r="S917" s="1">
        <v>47985</v>
      </c>
    </row>
    <row r="918" spans="1:19" x14ac:dyDescent="0.35">
      <c r="A918" t="s">
        <v>2182</v>
      </c>
      <c r="B918" t="s">
        <v>31</v>
      </c>
      <c r="C918" t="s">
        <v>2468</v>
      </c>
      <c r="D918" t="str">
        <f t="shared" si="162"/>
        <v>2501717845</v>
      </c>
      <c r="E918" t="s">
        <v>1536</v>
      </c>
      <c r="F918" t="str">
        <f t="shared" si="163"/>
        <v>400459</v>
      </c>
      <c r="G918" t="s">
        <v>1054</v>
      </c>
      <c r="H918" t="s">
        <v>2473</v>
      </c>
      <c r="I918" t="s">
        <v>41</v>
      </c>
      <c r="J918">
        <v>4</v>
      </c>
      <c r="K918">
        <v>76</v>
      </c>
      <c r="L918" t="str">
        <f t="shared" si="164"/>
        <v>520747</v>
      </c>
      <c r="N918" t="s">
        <v>1732</v>
      </c>
      <c r="O918" s="2">
        <v>46228.373564814814</v>
      </c>
      <c r="P918" s="2">
        <v>46228.373564814814</v>
      </c>
      <c r="Q918" s="2">
        <v>46228.373564814814</v>
      </c>
      <c r="R918" t="str">
        <f t="shared" si="165"/>
        <v>153000326</v>
      </c>
      <c r="S918" s="1">
        <v>47985</v>
      </c>
    </row>
    <row r="919" spans="1:19" x14ac:dyDescent="0.35">
      <c r="A919" t="s">
        <v>2182</v>
      </c>
      <c r="B919" t="s">
        <v>31</v>
      </c>
      <c r="C919" t="s">
        <v>2468</v>
      </c>
      <c r="D919" t="str">
        <f t="shared" si="162"/>
        <v>2501717845</v>
      </c>
      <c r="E919" t="s">
        <v>1536</v>
      </c>
      <c r="F919" t="str">
        <f t="shared" si="163"/>
        <v>400459</v>
      </c>
      <c r="G919" t="s">
        <v>1054</v>
      </c>
      <c r="H919" t="s">
        <v>2433</v>
      </c>
      <c r="I919" t="s">
        <v>41</v>
      </c>
      <c r="J919">
        <v>4</v>
      </c>
      <c r="K919">
        <v>76</v>
      </c>
      <c r="L919" t="str">
        <f t="shared" si="164"/>
        <v>520747</v>
      </c>
      <c r="N919" t="s">
        <v>1732</v>
      </c>
      <c r="O919" s="2">
        <v>46228.373425925929</v>
      </c>
      <c r="P919" s="2">
        <v>46228.373425925929</v>
      </c>
      <c r="Q919" s="2">
        <v>46228.373425925929</v>
      </c>
      <c r="R919" t="str">
        <f t="shared" si="165"/>
        <v>153000326</v>
      </c>
      <c r="S919" s="1">
        <v>47985</v>
      </c>
    </row>
    <row r="920" spans="1:19" x14ac:dyDescent="0.35">
      <c r="A920" t="s">
        <v>2182</v>
      </c>
      <c r="B920" t="s">
        <v>31</v>
      </c>
      <c r="C920" t="s">
        <v>2468</v>
      </c>
      <c r="D920" t="str">
        <f t="shared" si="162"/>
        <v>2501717845</v>
      </c>
      <c r="E920" t="s">
        <v>1536</v>
      </c>
      <c r="F920" t="str">
        <f t="shared" si="163"/>
        <v>400459</v>
      </c>
      <c r="G920" t="s">
        <v>1054</v>
      </c>
      <c r="H920" t="s">
        <v>2474</v>
      </c>
      <c r="I920" t="s">
        <v>41</v>
      </c>
      <c r="J920">
        <v>4</v>
      </c>
      <c r="K920">
        <v>76</v>
      </c>
      <c r="L920" t="str">
        <f t="shared" si="164"/>
        <v>520747</v>
      </c>
      <c r="N920" t="s">
        <v>1732</v>
      </c>
      <c r="O920" s="2">
        <v>46228.373287037037</v>
      </c>
      <c r="P920" s="2">
        <v>46228.373287037037</v>
      </c>
      <c r="Q920" s="2">
        <v>46228.373287037037</v>
      </c>
      <c r="R920" t="str">
        <f t="shared" si="165"/>
        <v>153000326</v>
      </c>
      <c r="S920" s="1">
        <v>47985</v>
      </c>
    </row>
    <row r="921" spans="1:19" x14ac:dyDescent="0.35">
      <c r="A921" t="s">
        <v>2182</v>
      </c>
      <c r="B921" t="s">
        <v>31</v>
      </c>
      <c r="C921" t="s">
        <v>2468</v>
      </c>
      <c r="D921" t="str">
        <f t="shared" si="162"/>
        <v>2501717845</v>
      </c>
      <c r="E921" t="s">
        <v>1536</v>
      </c>
      <c r="F921" t="str">
        <f t="shared" si="163"/>
        <v>400459</v>
      </c>
      <c r="G921" t="s">
        <v>1054</v>
      </c>
      <c r="H921" t="s">
        <v>2475</v>
      </c>
      <c r="I921" t="s">
        <v>41</v>
      </c>
      <c r="J921">
        <v>4</v>
      </c>
      <c r="K921">
        <v>76</v>
      </c>
      <c r="L921" t="str">
        <f t="shared" si="164"/>
        <v>520747</v>
      </c>
      <c r="N921" t="s">
        <v>1732</v>
      </c>
      <c r="O921" s="2">
        <v>46228.373136574075</v>
      </c>
      <c r="P921" s="2">
        <v>46228.373136574075</v>
      </c>
      <c r="Q921" s="2">
        <v>46228.373136574075</v>
      </c>
      <c r="R921" t="str">
        <f t="shared" si="165"/>
        <v>153000326</v>
      </c>
      <c r="S921" s="1">
        <v>47985</v>
      </c>
    </row>
    <row r="922" spans="1:19" x14ac:dyDescent="0.35">
      <c r="A922" t="s">
        <v>2182</v>
      </c>
      <c r="B922" t="s">
        <v>31</v>
      </c>
      <c r="C922" t="s">
        <v>2468</v>
      </c>
      <c r="D922" t="str">
        <f t="shared" si="162"/>
        <v>2501717845</v>
      </c>
      <c r="E922" t="s">
        <v>1536</v>
      </c>
      <c r="F922" t="str">
        <f t="shared" si="163"/>
        <v>400459</v>
      </c>
      <c r="G922" t="s">
        <v>1054</v>
      </c>
      <c r="H922" t="s">
        <v>2476</v>
      </c>
      <c r="I922" t="s">
        <v>41</v>
      </c>
      <c r="J922">
        <v>4</v>
      </c>
      <c r="K922">
        <v>76</v>
      </c>
      <c r="L922" t="str">
        <f t="shared" si="164"/>
        <v>520747</v>
      </c>
      <c r="N922" t="s">
        <v>1732</v>
      </c>
      <c r="O922" s="2">
        <v>46228.372893518521</v>
      </c>
      <c r="P922" s="2">
        <v>46228.372893518521</v>
      </c>
      <c r="Q922" s="2">
        <v>46228.372893518521</v>
      </c>
      <c r="R922" t="str">
        <f t="shared" si="165"/>
        <v>153000326</v>
      </c>
      <c r="S922" s="1">
        <v>47985</v>
      </c>
    </row>
    <row r="923" spans="1:19" x14ac:dyDescent="0.35">
      <c r="A923" t="s">
        <v>2182</v>
      </c>
      <c r="B923" t="s">
        <v>31</v>
      </c>
      <c r="C923" t="s">
        <v>2468</v>
      </c>
      <c r="D923" t="str">
        <f t="shared" si="162"/>
        <v>2501717845</v>
      </c>
      <c r="E923" t="s">
        <v>1536</v>
      </c>
      <c r="F923" t="str">
        <f t="shared" si="163"/>
        <v>400459</v>
      </c>
      <c r="G923" t="s">
        <v>1054</v>
      </c>
      <c r="H923" t="s">
        <v>2477</v>
      </c>
      <c r="I923" t="s">
        <v>41</v>
      </c>
      <c r="J923">
        <v>4</v>
      </c>
      <c r="K923">
        <v>76</v>
      </c>
      <c r="L923" t="str">
        <f t="shared" si="164"/>
        <v>520747</v>
      </c>
      <c r="N923" t="s">
        <v>1732</v>
      </c>
      <c r="O923" s="2">
        <v>46228.372766203705</v>
      </c>
      <c r="P923" s="2">
        <v>46228.372766203705</v>
      </c>
      <c r="Q923" s="2">
        <v>46228.372766203705</v>
      </c>
      <c r="R923" t="str">
        <f t="shared" si="165"/>
        <v>153000326</v>
      </c>
      <c r="S923" s="1">
        <v>47985</v>
      </c>
    </row>
    <row r="924" spans="1:19" x14ac:dyDescent="0.35">
      <c r="A924" t="s">
        <v>2182</v>
      </c>
      <c r="B924" t="s">
        <v>31</v>
      </c>
      <c r="C924" t="s">
        <v>2468</v>
      </c>
      <c r="D924" t="str">
        <f t="shared" si="162"/>
        <v>2501717845</v>
      </c>
      <c r="E924" t="s">
        <v>1536</v>
      </c>
      <c r="F924" t="str">
        <f t="shared" si="163"/>
        <v>400459</v>
      </c>
      <c r="G924" t="s">
        <v>1054</v>
      </c>
      <c r="H924" t="s">
        <v>2478</v>
      </c>
      <c r="I924" t="s">
        <v>41</v>
      </c>
      <c r="J924">
        <v>4</v>
      </c>
      <c r="K924">
        <v>76</v>
      </c>
      <c r="L924" t="str">
        <f t="shared" si="164"/>
        <v>520747</v>
      </c>
      <c r="N924" t="s">
        <v>1732</v>
      </c>
      <c r="O924" s="2">
        <v>46228.37263888889</v>
      </c>
      <c r="P924" s="2">
        <v>46228.37263888889</v>
      </c>
      <c r="Q924" s="2">
        <v>46228.37263888889</v>
      </c>
      <c r="R924" t="str">
        <f t="shared" si="165"/>
        <v>153000326</v>
      </c>
      <c r="S924" s="1">
        <v>47985</v>
      </c>
    </row>
    <row r="925" spans="1:19" x14ac:dyDescent="0.35">
      <c r="A925" t="s">
        <v>2182</v>
      </c>
      <c r="B925" t="s">
        <v>31</v>
      </c>
      <c r="C925" t="s">
        <v>2468</v>
      </c>
      <c r="D925" t="str">
        <f t="shared" si="162"/>
        <v>2501717845</v>
      </c>
      <c r="E925" t="s">
        <v>1536</v>
      </c>
      <c r="F925" t="str">
        <f t="shared" si="163"/>
        <v>400459</v>
      </c>
      <c r="G925" t="s">
        <v>1054</v>
      </c>
      <c r="H925" t="s">
        <v>2479</v>
      </c>
      <c r="I925" t="s">
        <v>41</v>
      </c>
      <c r="J925">
        <v>4</v>
      </c>
      <c r="K925">
        <v>76</v>
      </c>
      <c r="L925" t="str">
        <f t="shared" si="164"/>
        <v>520747</v>
      </c>
      <c r="N925" t="s">
        <v>1732</v>
      </c>
      <c r="O925" s="2">
        <v>46228.372511574074</v>
      </c>
      <c r="P925" s="2">
        <v>46228.372511574074</v>
      </c>
      <c r="Q925" s="2">
        <v>46228.372511574074</v>
      </c>
      <c r="R925" t="str">
        <f t="shared" si="165"/>
        <v>153000326</v>
      </c>
      <c r="S925" s="1">
        <v>47985</v>
      </c>
    </row>
    <row r="926" spans="1:19" x14ac:dyDescent="0.35">
      <c r="A926" t="s">
        <v>2182</v>
      </c>
      <c r="B926" t="s">
        <v>31</v>
      </c>
      <c r="C926" t="s">
        <v>2468</v>
      </c>
      <c r="D926" t="str">
        <f t="shared" si="162"/>
        <v>2501717845</v>
      </c>
      <c r="E926" t="s">
        <v>1536</v>
      </c>
      <c r="F926" t="str">
        <f t="shared" si="163"/>
        <v>400459</v>
      </c>
      <c r="G926" t="s">
        <v>1054</v>
      </c>
      <c r="H926" t="s">
        <v>2434</v>
      </c>
      <c r="I926" t="s">
        <v>41</v>
      </c>
      <c r="J926">
        <v>4</v>
      </c>
      <c r="K926">
        <v>76</v>
      </c>
      <c r="L926" t="str">
        <f t="shared" si="164"/>
        <v>520747</v>
      </c>
      <c r="N926" t="s">
        <v>1732</v>
      </c>
      <c r="O926" s="2">
        <v>46228.37226851852</v>
      </c>
      <c r="P926" s="2">
        <v>46228.37226851852</v>
      </c>
      <c r="Q926" s="2">
        <v>46228.37226851852</v>
      </c>
      <c r="R926" t="str">
        <f t="shared" si="165"/>
        <v>153000326</v>
      </c>
      <c r="S926" s="1">
        <v>47985</v>
      </c>
    </row>
    <row r="927" spans="1:19" x14ac:dyDescent="0.35">
      <c r="A927" t="s">
        <v>2182</v>
      </c>
      <c r="B927" t="s">
        <v>31</v>
      </c>
      <c r="C927" t="s">
        <v>2468</v>
      </c>
      <c r="D927" t="str">
        <f t="shared" si="162"/>
        <v>2501717845</v>
      </c>
      <c r="E927" t="s">
        <v>1536</v>
      </c>
      <c r="F927" t="str">
        <f t="shared" si="163"/>
        <v>400459</v>
      </c>
      <c r="G927" t="s">
        <v>1054</v>
      </c>
      <c r="H927" t="s">
        <v>2480</v>
      </c>
      <c r="I927" t="s">
        <v>41</v>
      </c>
      <c r="J927">
        <v>4</v>
      </c>
      <c r="K927">
        <v>76</v>
      </c>
      <c r="L927" t="str">
        <f t="shared" si="164"/>
        <v>520747</v>
      </c>
      <c r="N927" t="s">
        <v>1732</v>
      </c>
      <c r="O927" s="2">
        <v>46228.372141203705</v>
      </c>
      <c r="P927" s="2">
        <v>46228.372141203705</v>
      </c>
      <c r="Q927" s="2">
        <v>46228.372141203705</v>
      </c>
      <c r="R927" t="str">
        <f t="shared" si="165"/>
        <v>153000326</v>
      </c>
      <c r="S927" s="1">
        <v>47985</v>
      </c>
    </row>
    <row r="928" spans="1:19" x14ac:dyDescent="0.35">
      <c r="A928" t="s">
        <v>2182</v>
      </c>
      <c r="B928" t="s">
        <v>31</v>
      </c>
      <c r="C928" t="s">
        <v>2468</v>
      </c>
      <c r="D928" t="str">
        <f t="shared" si="162"/>
        <v>2501717845</v>
      </c>
      <c r="E928" t="s">
        <v>1536</v>
      </c>
      <c r="F928" t="str">
        <f t="shared" si="163"/>
        <v>400459</v>
      </c>
      <c r="G928" t="s">
        <v>1054</v>
      </c>
      <c r="H928" t="s">
        <v>2481</v>
      </c>
      <c r="I928" t="s">
        <v>41</v>
      </c>
      <c r="J928">
        <v>4</v>
      </c>
      <c r="K928">
        <v>76</v>
      </c>
      <c r="L928" t="str">
        <f t="shared" si="164"/>
        <v>520747</v>
      </c>
      <c r="N928" t="s">
        <v>1732</v>
      </c>
      <c r="O928" s="2">
        <v>46228.371817129628</v>
      </c>
      <c r="P928" s="2">
        <v>46228.371817129628</v>
      </c>
      <c r="Q928" s="2">
        <v>46228.371817129628</v>
      </c>
      <c r="R928" t="str">
        <f t="shared" si="165"/>
        <v>153000326</v>
      </c>
      <c r="S928" s="1">
        <v>47985</v>
      </c>
    </row>
    <row r="929" spans="1:19" x14ac:dyDescent="0.35">
      <c r="A929" t="s">
        <v>2182</v>
      </c>
      <c r="B929" t="s">
        <v>31</v>
      </c>
      <c r="C929" t="s">
        <v>2468</v>
      </c>
      <c r="D929" t="str">
        <f t="shared" si="162"/>
        <v>2501717845</v>
      </c>
      <c r="E929" t="s">
        <v>1536</v>
      </c>
      <c r="F929" t="str">
        <f t="shared" si="163"/>
        <v>400459</v>
      </c>
      <c r="G929" t="s">
        <v>1054</v>
      </c>
      <c r="H929" t="s">
        <v>2482</v>
      </c>
      <c r="I929" t="s">
        <v>41</v>
      </c>
      <c r="J929">
        <v>4</v>
      </c>
      <c r="K929">
        <v>76</v>
      </c>
      <c r="L929" t="str">
        <f t="shared" si="164"/>
        <v>520747</v>
      </c>
      <c r="N929" t="s">
        <v>1732</v>
      </c>
      <c r="O929" s="2">
        <v>46228.371655092589</v>
      </c>
      <c r="P929" s="2">
        <v>46228.371655092589</v>
      </c>
      <c r="Q929" s="2">
        <v>46228.371655092589</v>
      </c>
      <c r="R929" t="str">
        <f t="shared" si="165"/>
        <v>153000326</v>
      </c>
      <c r="S929" s="1">
        <v>47985</v>
      </c>
    </row>
    <row r="930" spans="1:19" x14ac:dyDescent="0.35">
      <c r="A930" t="s">
        <v>2182</v>
      </c>
      <c r="B930" t="s">
        <v>31</v>
      </c>
      <c r="C930" t="s">
        <v>2468</v>
      </c>
      <c r="D930" t="str">
        <f t="shared" si="162"/>
        <v>2501717845</v>
      </c>
      <c r="E930" t="s">
        <v>1536</v>
      </c>
      <c r="F930" t="str">
        <f t="shared" si="163"/>
        <v>400459</v>
      </c>
      <c r="G930" t="s">
        <v>1054</v>
      </c>
      <c r="H930" t="s">
        <v>2483</v>
      </c>
      <c r="I930" t="s">
        <v>41</v>
      </c>
      <c r="J930">
        <v>4</v>
      </c>
      <c r="K930">
        <v>76</v>
      </c>
      <c r="L930" t="str">
        <f t="shared" si="164"/>
        <v>520747</v>
      </c>
      <c r="N930" t="s">
        <v>1732</v>
      </c>
      <c r="O930" s="2">
        <v>46228.371331018519</v>
      </c>
      <c r="P930" s="2">
        <v>46228.371331018519</v>
      </c>
      <c r="Q930" s="2">
        <v>46228.371331018519</v>
      </c>
      <c r="R930" t="str">
        <f t="shared" si="165"/>
        <v>153000326</v>
      </c>
      <c r="S930" s="1">
        <v>47985</v>
      </c>
    </row>
    <row r="931" spans="1:19" x14ac:dyDescent="0.35">
      <c r="A931" t="s">
        <v>2182</v>
      </c>
      <c r="B931" t="s">
        <v>31</v>
      </c>
      <c r="C931" t="s">
        <v>2468</v>
      </c>
      <c r="D931" t="str">
        <f t="shared" si="162"/>
        <v>2501717845</v>
      </c>
      <c r="E931" t="s">
        <v>1536</v>
      </c>
      <c r="F931" t="str">
        <f t="shared" si="163"/>
        <v>400459</v>
      </c>
      <c r="G931" t="s">
        <v>1054</v>
      </c>
      <c r="H931" t="s">
        <v>2484</v>
      </c>
      <c r="I931" t="s">
        <v>41</v>
      </c>
      <c r="J931">
        <v>4</v>
      </c>
      <c r="K931">
        <v>76</v>
      </c>
      <c r="L931" t="str">
        <f t="shared" si="164"/>
        <v>520747</v>
      </c>
      <c r="N931" t="s">
        <v>1732</v>
      </c>
      <c r="O931" s="2">
        <v>46228.370289351849</v>
      </c>
      <c r="P931" s="2">
        <v>46228.370289351849</v>
      </c>
      <c r="Q931" s="2">
        <v>46228.370289351849</v>
      </c>
      <c r="R931" t="str">
        <f t="shared" si="165"/>
        <v>153000326</v>
      </c>
      <c r="S931" s="1">
        <v>47985</v>
      </c>
    </row>
    <row r="932" spans="1:19" x14ac:dyDescent="0.35">
      <c r="A932" t="s">
        <v>2182</v>
      </c>
      <c r="B932" t="s">
        <v>31</v>
      </c>
      <c r="C932" t="s">
        <v>2468</v>
      </c>
      <c r="D932" t="str">
        <f t="shared" si="162"/>
        <v>2501717845</v>
      </c>
      <c r="E932" t="s">
        <v>1536</v>
      </c>
      <c r="F932" t="str">
        <f t="shared" si="163"/>
        <v>400459</v>
      </c>
      <c r="G932" t="s">
        <v>1054</v>
      </c>
      <c r="H932" t="s">
        <v>2485</v>
      </c>
      <c r="I932" t="s">
        <v>41</v>
      </c>
      <c r="J932">
        <v>4</v>
      </c>
      <c r="K932">
        <v>76</v>
      </c>
      <c r="L932" t="str">
        <f t="shared" si="164"/>
        <v>520747</v>
      </c>
      <c r="N932" t="s">
        <v>1732</v>
      </c>
      <c r="O932" s="2">
        <v>46228.369849537034</v>
      </c>
      <c r="P932" s="2">
        <v>46228.369849537034</v>
      </c>
      <c r="Q932" s="2">
        <v>46228.369849537034</v>
      </c>
      <c r="R932" t="str">
        <f t="shared" si="165"/>
        <v>153000326</v>
      </c>
      <c r="S932" s="1">
        <v>47985</v>
      </c>
    </row>
    <row r="933" spans="1:19" x14ac:dyDescent="0.35">
      <c r="A933" t="s">
        <v>2182</v>
      </c>
      <c r="B933" t="s">
        <v>31</v>
      </c>
      <c r="C933" t="s">
        <v>2468</v>
      </c>
      <c r="D933" t="str">
        <f t="shared" si="162"/>
        <v>2501717845</v>
      </c>
      <c r="E933" t="s">
        <v>1536</v>
      </c>
      <c r="F933" t="str">
        <f t="shared" si="163"/>
        <v>400459</v>
      </c>
      <c r="G933" t="s">
        <v>1054</v>
      </c>
      <c r="H933" t="s">
        <v>2486</v>
      </c>
      <c r="I933" t="s">
        <v>41</v>
      </c>
      <c r="J933">
        <v>4</v>
      </c>
      <c r="K933">
        <v>24</v>
      </c>
      <c r="L933" t="str">
        <f t="shared" si="164"/>
        <v>520747</v>
      </c>
      <c r="N933" t="s">
        <v>1732</v>
      </c>
      <c r="O933" s="2">
        <v>46228.369016203702</v>
      </c>
      <c r="P933" s="2">
        <v>46228.369016203702</v>
      </c>
      <c r="Q933" s="2">
        <v>46228.369016203702</v>
      </c>
      <c r="R933" t="str">
        <f t="shared" ref="R933:R938" si="166">"153000227"</f>
        <v>153000227</v>
      </c>
      <c r="S933" s="1">
        <v>47942</v>
      </c>
    </row>
    <row r="934" spans="1:19" x14ac:dyDescent="0.35">
      <c r="A934" t="s">
        <v>2182</v>
      </c>
      <c r="B934" t="s">
        <v>31</v>
      </c>
      <c r="C934" t="s">
        <v>2468</v>
      </c>
      <c r="D934" t="str">
        <f t="shared" si="162"/>
        <v>2501717845</v>
      </c>
      <c r="E934" t="s">
        <v>1536</v>
      </c>
      <c r="F934" t="str">
        <f t="shared" si="163"/>
        <v>400459</v>
      </c>
      <c r="G934" t="s">
        <v>1054</v>
      </c>
      <c r="H934" t="s">
        <v>2486</v>
      </c>
      <c r="I934" t="s">
        <v>41</v>
      </c>
      <c r="J934">
        <v>4</v>
      </c>
      <c r="K934">
        <v>24</v>
      </c>
      <c r="L934" t="str">
        <f t="shared" si="164"/>
        <v>520747</v>
      </c>
      <c r="N934" t="s">
        <v>1732</v>
      </c>
      <c r="O934" s="2">
        <v>46228.368819444448</v>
      </c>
      <c r="P934" s="2">
        <v>46228.368819444448</v>
      </c>
      <c r="Q934" s="2">
        <v>46228.368819444448</v>
      </c>
      <c r="R934" t="str">
        <f t="shared" si="166"/>
        <v>153000227</v>
      </c>
      <c r="S934" s="1">
        <v>47942</v>
      </c>
    </row>
    <row r="935" spans="1:19" x14ac:dyDescent="0.35">
      <c r="A935" t="s">
        <v>2182</v>
      </c>
      <c r="B935" t="s">
        <v>31</v>
      </c>
      <c r="C935" t="s">
        <v>2468</v>
      </c>
      <c r="D935" t="str">
        <f t="shared" si="162"/>
        <v>2501717845</v>
      </c>
      <c r="E935" t="s">
        <v>1536</v>
      </c>
      <c r="F935" t="str">
        <f t="shared" si="163"/>
        <v>400459</v>
      </c>
      <c r="G935" t="s">
        <v>1054</v>
      </c>
      <c r="H935" t="s">
        <v>2486</v>
      </c>
      <c r="I935" t="s">
        <v>41</v>
      </c>
      <c r="J935">
        <v>4</v>
      </c>
      <c r="K935">
        <v>24</v>
      </c>
      <c r="L935" t="str">
        <f t="shared" si="164"/>
        <v>520747</v>
      </c>
      <c r="N935" t="s">
        <v>1732</v>
      </c>
      <c r="O935" s="2">
        <v>46228.368622685186</v>
      </c>
      <c r="P935" s="2">
        <v>46228.368622685186</v>
      </c>
      <c r="Q935" s="2">
        <v>46228.368622685186</v>
      </c>
      <c r="R935" t="str">
        <f t="shared" si="166"/>
        <v>153000227</v>
      </c>
      <c r="S935" s="1">
        <v>47942</v>
      </c>
    </row>
    <row r="936" spans="1:19" x14ac:dyDescent="0.35">
      <c r="A936" t="s">
        <v>2182</v>
      </c>
      <c r="B936" t="s">
        <v>31</v>
      </c>
      <c r="C936" t="s">
        <v>2468</v>
      </c>
      <c r="D936" t="str">
        <f t="shared" si="162"/>
        <v>2501717845</v>
      </c>
      <c r="E936" t="s">
        <v>1536</v>
      </c>
      <c r="F936" t="str">
        <f t="shared" si="163"/>
        <v>400459</v>
      </c>
      <c r="G936" t="s">
        <v>1054</v>
      </c>
      <c r="H936" t="s">
        <v>2486</v>
      </c>
      <c r="I936" t="s">
        <v>41</v>
      </c>
      <c r="J936">
        <v>4</v>
      </c>
      <c r="K936">
        <v>24</v>
      </c>
      <c r="L936" t="str">
        <f t="shared" si="164"/>
        <v>520747</v>
      </c>
      <c r="N936" t="s">
        <v>1732</v>
      </c>
      <c r="O936" s="2">
        <v>46228.368310185186</v>
      </c>
      <c r="P936" s="2">
        <v>46228.368310185186</v>
      </c>
      <c r="Q936" s="2">
        <v>46228.368310185186</v>
      </c>
      <c r="R936" t="str">
        <f t="shared" si="166"/>
        <v>153000227</v>
      </c>
      <c r="S936" s="1">
        <v>47942</v>
      </c>
    </row>
    <row r="937" spans="1:19" x14ac:dyDescent="0.35">
      <c r="A937" t="s">
        <v>2182</v>
      </c>
      <c r="B937" t="s">
        <v>31</v>
      </c>
      <c r="C937" t="s">
        <v>2468</v>
      </c>
      <c r="D937" t="str">
        <f t="shared" si="162"/>
        <v>2501717845</v>
      </c>
      <c r="E937" t="s">
        <v>1536</v>
      </c>
      <c r="F937" t="str">
        <f t="shared" si="163"/>
        <v>400459</v>
      </c>
      <c r="G937" t="s">
        <v>1054</v>
      </c>
      <c r="H937" t="s">
        <v>2486</v>
      </c>
      <c r="I937" t="s">
        <v>41</v>
      </c>
      <c r="J937">
        <v>4</v>
      </c>
      <c r="K937">
        <v>24</v>
      </c>
      <c r="L937" t="str">
        <f t="shared" si="164"/>
        <v>520747</v>
      </c>
      <c r="N937" t="s">
        <v>1732</v>
      </c>
      <c r="O937" s="2">
        <v>46228.36818287037</v>
      </c>
      <c r="P937" s="2">
        <v>46228.36818287037</v>
      </c>
      <c r="Q937" s="2">
        <v>46228.36818287037</v>
      </c>
      <c r="R937" t="str">
        <f t="shared" si="166"/>
        <v>153000227</v>
      </c>
      <c r="S937" s="1">
        <v>47942</v>
      </c>
    </row>
    <row r="938" spans="1:19" x14ac:dyDescent="0.35">
      <c r="A938" t="s">
        <v>2182</v>
      </c>
      <c r="B938" t="s">
        <v>31</v>
      </c>
      <c r="C938" t="s">
        <v>2468</v>
      </c>
      <c r="D938" t="str">
        <f t="shared" si="162"/>
        <v>2501717845</v>
      </c>
      <c r="E938" t="s">
        <v>1536</v>
      </c>
      <c r="F938" t="str">
        <f t="shared" si="163"/>
        <v>400459</v>
      </c>
      <c r="G938" t="s">
        <v>1054</v>
      </c>
      <c r="H938" t="s">
        <v>2487</v>
      </c>
      <c r="I938" t="s">
        <v>41</v>
      </c>
      <c r="J938">
        <v>4</v>
      </c>
      <c r="K938">
        <v>24</v>
      </c>
      <c r="L938" t="str">
        <f t="shared" si="164"/>
        <v>520747</v>
      </c>
      <c r="N938" t="s">
        <v>1732</v>
      </c>
      <c r="O938" s="2">
        <v>46228.367268518516</v>
      </c>
      <c r="P938" s="2">
        <v>46228.367268518516</v>
      </c>
      <c r="Q938" s="2">
        <v>46228.367268518516</v>
      </c>
      <c r="R938" t="str">
        <f t="shared" si="166"/>
        <v>153000227</v>
      </c>
      <c r="S938" s="1">
        <v>47942</v>
      </c>
    </row>
    <row r="939" spans="1:19" x14ac:dyDescent="0.35">
      <c r="A939" t="s">
        <v>2182</v>
      </c>
      <c r="B939" t="s">
        <v>31</v>
      </c>
      <c r="C939" t="s">
        <v>2488</v>
      </c>
      <c r="D939" t="str">
        <f>"2501717824"</f>
        <v>2501717824</v>
      </c>
      <c r="E939" t="s">
        <v>1536</v>
      </c>
      <c r="F939" t="str">
        <f>"400401"</f>
        <v>400401</v>
      </c>
      <c r="G939" t="s">
        <v>2297</v>
      </c>
      <c r="H939" t="s">
        <v>2298</v>
      </c>
      <c r="I939" t="s">
        <v>41</v>
      </c>
      <c r="J939">
        <v>1</v>
      </c>
      <c r="K939">
        <v>1</v>
      </c>
      <c r="L939" t="str">
        <f>"521051"</f>
        <v>521051</v>
      </c>
      <c r="N939" t="s">
        <v>2157</v>
      </c>
      <c r="O939" s="2">
        <v>46226.365671296298</v>
      </c>
      <c r="P939" s="2">
        <v>46226.365671296298</v>
      </c>
      <c r="Q939" s="2">
        <v>46226.365671296298</v>
      </c>
      <c r="R939" t="str">
        <f>"153000119"</f>
        <v>153000119</v>
      </c>
      <c r="S939" s="1">
        <v>47892</v>
      </c>
    </row>
    <row r="940" spans="1:19" x14ac:dyDescent="0.35">
      <c r="A940" t="s">
        <v>2182</v>
      </c>
      <c r="B940" t="s">
        <v>31</v>
      </c>
      <c r="C940" t="s">
        <v>2489</v>
      </c>
      <c r="D940" t="str">
        <f t="shared" ref="D940:D952" si="167">"2501717823"</f>
        <v>2501717823</v>
      </c>
      <c r="E940" t="s">
        <v>1536</v>
      </c>
      <c r="F940" t="str">
        <f t="shared" ref="F940:F952" si="168">"400428"</f>
        <v>400428</v>
      </c>
      <c r="G940" t="s">
        <v>833</v>
      </c>
      <c r="H940" t="s">
        <v>2490</v>
      </c>
      <c r="I940" t="s">
        <v>41</v>
      </c>
      <c r="J940">
        <v>4</v>
      </c>
      <c r="K940">
        <v>20</v>
      </c>
      <c r="L940" t="str">
        <f t="shared" ref="L940:L952" si="169">"520996"</f>
        <v>520996</v>
      </c>
      <c r="N940" t="s">
        <v>1798</v>
      </c>
      <c r="O940" s="2">
        <v>46226.457094907404</v>
      </c>
      <c r="P940" s="2">
        <v>46226.457094907404</v>
      </c>
      <c r="Q940" s="2">
        <v>46226.457094907404</v>
      </c>
      <c r="R940" t="str">
        <f>"153000241"</f>
        <v>153000241</v>
      </c>
      <c r="S940" s="1">
        <v>47950</v>
      </c>
    </row>
    <row r="941" spans="1:19" x14ac:dyDescent="0.35">
      <c r="A941" t="s">
        <v>2182</v>
      </c>
      <c r="B941" t="s">
        <v>31</v>
      </c>
      <c r="C941" t="s">
        <v>2489</v>
      </c>
      <c r="D941" t="str">
        <f t="shared" si="167"/>
        <v>2501717823</v>
      </c>
      <c r="E941" t="s">
        <v>1536</v>
      </c>
      <c r="F941" t="str">
        <f t="shared" si="168"/>
        <v>400428</v>
      </c>
      <c r="G941" t="s">
        <v>833</v>
      </c>
      <c r="H941" t="s">
        <v>2491</v>
      </c>
      <c r="I941" t="s">
        <v>41</v>
      </c>
      <c r="J941">
        <v>4</v>
      </c>
      <c r="K941">
        <v>20</v>
      </c>
      <c r="L941" t="str">
        <f t="shared" si="169"/>
        <v>520996</v>
      </c>
      <c r="N941" t="s">
        <v>1798</v>
      </c>
      <c r="O941" s="2">
        <v>46226.457025462965</v>
      </c>
      <c r="P941" s="2">
        <v>46226.457025462965</v>
      </c>
      <c r="Q941" s="2">
        <v>46226.457025462965</v>
      </c>
      <c r="R941" t="str">
        <f>"153000241"</f>
        <v>153000241</v>
      </c>
      <c r="S941" s="1">
        <v>47950</v>
      </c>
    </row>
    <row r="942" spans="1:19" x14ac:dyDescent="0.35">
      <c r="A942" t="s">
        <v>2182</v>
      </c>
      <c r="B942" t="s">
        <v>31</v>
      </c>
      <c r="C942" t="s">
        <v>2489</v>
      </c>
      <c r="D942" t="str">
        <f t="shared" si="167"/>
        <v>2501717823</v>
      </c>
      <c r="E942" t="s">
        <v>1536</v>
      </c>
      <c r="F942" t="str">
        <f t="shared" si="168"/>
        <v>400428</v>
      </c>
      <c r="G942" t="s">
        <v>833</v>
      </c>
      <c r="H942" t="s">
        <v>2492</v>
      </c>
      <c r="I942" t="s">
        <v>41</v>
      </c>
      <c r="J942">
        <v>4</v>
      </c>
      <c r="K942">
        <v>20</v>
      </c>
      <c r="L942" t="str">
        <f t="shared" si="169"/>
        <v>520996</v>
      </c>
      <c r="N942" t="s">
        <v>1798</v>
      </c>
      <c r="O942" s="2">
        <v>46226.456921296296</v>
      </c>
      <c r="P942" s="2">
        <v>46226.456921296296</v>
      </c>
      <c r="Q942" s="2">
        <v>46226.456921296296</v>
      </c>
      <c r="R942" t="str">
        <f>"153000241"</f>
        <v>153000241</v>
      </c>
      <c r="S942" s="1">
        <v>47950</v>
      </c>
    </row>
    <row r="943" spans="1:19" x14ac:dyDescent="0.35">
      <c r="A943" t="s">
        <v>2182</v>
      </c>
      <c r="B943" t="s">
        <v>31</v>
      </c>
      <c r="C943" t="s">
        <v>2489</v>
      </c>
      <c r="D943" t="str">
        <f t="shared" si="167"/>
        <v>2501717823</v>
      </c>
      <c r="E943" t="s">
        <v>1536</v>
      </c>
      <c r="F943" t="str">
        <f t="shared" si="168"/>
        <v>400428</v>
      </c>
      <c r="G943" t="s">
        <v>833</v>
      </c>
      <c r="H943" t="s">
        <v>2493</v>
      </c>
      <c r="I943" t="s">
        <v>41</v>
      </c>
      <c r="J943">
        <v>4</v>
      </c>
      <c r="K943">
        <v>20</v>
      </c>
      <c r="L943" t="str">
        <f t="shared" si="169"/>
        <v>520996</v>
      </c>
      <c r="N943" t="s">
        <v>1798</v>
      </c>
      <c r="O943" s="2">
        <v>46226.456793981481</v>
      </c>
      <c r="P943" s="2">
        <v>46226.456793981481</v>
      </c>
      <c r="Q943" s="2">
        <v>46226.456793981481</v>
      </c>
      <c r="R943" t="str">
        <f>"153000241"</f>
        <v>153000241</v>
      </c>
      <c r="S943" s="1">
        <v>47950</v>
      </c>
    </row>
    <row r="944" spans="1:19" x14ac:dyDescent="0.35">
      <c r="A944" t="s">
        <v>2182</v>
      </c>
      <c r="B944" t="s">
        <v>31</v>
      </c>
      <c r="C944" t="s">
        <v>2489</v>
      </c>
      <c r="D944" t="str">
        <f t="shared" si="167"/>
        <v>2501717823</v>
      </c>
      <c r="E944" t="s">
        <v>1536</v>
      </c>
      <c r="F944" t="str">
        <f t="shared" si="168"/>
        <v>400428</v>
      </c>
      <c r="G944" t="s">
        <v>833</v>
      </c>
      <c r="H944" t="s">
        <v>2494</v>
      </c>
      <c r="I944" t="s">
        <v>41</v>
      </c>
      <c r="J944">
        <v>4</v>
      </c>
      <c r="K944">
        <v>20</v>
      </c>
      <c r="L944" t="str">
        <f t="shared" si="169"/>
        <v>520996</v>
      </c>
      <c r="N944" t="s">
        <v>1798</v>
      </c>
      <c r="O944" s="2">
        <v>46226.456747685188</v>
      </c>
      <c r="P944" s="2">
        <v>46226.456747685188</v>
      </c>
      <c r="Q944" s="2">
        <v>46226.456747685188</v>
      </c>
      <c r="R944" t="str">
        <f>"153000241"</f>
        <v>153000241</v>
      </c>
      <c r="S944" s="1">
        <v>47950</v>
      </c>
    </row>
    <row r="945" spans="1:19" x14ac:dyDescent="0.35">
      <c r="A945" t="s">
        <v>2182</v>
      </c>
      <c r="B945" t="s">
        <v>31</v>
      </c>
      <c r="C945" t="s">
        <v>2489</v>
      </c>
      <c r="D945" t="str">
        <f t="shared" si="167"/>
        <v>2501717823</v>
      </c>
      <c r="E945" t="s">
        <v>1536</v>
      </c>
      <c r="F945" t="str">
        <f t="shared" si="168"/>
        <v>400428</v>
      </c>
      <c r="G945" t="s">
        <v>833</v>
      </c>
      <c r="H945" t="s">
        <v>2495</v>
      </c>
      <c r="I945" t="s">
        <v>41</v>
      </c>
      <c r="J945">
        <v>4</v>
      </c>
      <c r="K945">
        <v>30</v>
      </c>
      <c r="L945" t="str">
        <f t="shared" si="169"/>
        <v>520996</v>
      </c>
      <c r="N945" t="s">
        <v>1798</v>
      </c>
      <c r="O945" s="2">
        <v>46226.456712962965</v>
      </c>
      <c r="P945" s="2">
        <v>46226.456712962965</v>
      </c>
      <c r="Q945" s="2">
        <v>46226.456712962965</v>
      </c>
      <c r="R945" t="str">
        <f t="shared" ref="R945:R952" si="170">"153000152"</f>
        <v>153000152</v>
      </c>
      <c r="S945" s="1">
        <v>47904</v>
      </c>
    </row>
    <row r="946" spans="1:19" x14ac:dyDescent="0.35">
      <c r="A946" t="s">
        <v>2182</v>
      </c>
      <c r="B946" t="s">
        <v>31</v>
      </c>
      <c r="C946" t="s">
        <v>2489</v>
      </c>
      <c r="D946" t="str">
        <f t="shared" si="167"/>
        <v>2501717823</v>
      </c>
      <c r="E946" t="s">
        <v>1536</v>
      </c>
      <c r="F946" t="str">
        <f t="shared" si="168"/>
        <v>400428</v>
      </c>
      <c r="G946" t="s">
        <v>833</v>
      </c>
      <c r="H946" t="s">
        <v>2496</v>
      </c>
      <c r="I946" t="s">
        <v>41</v>
      </c>
      <c r="J946">
        <v>4</v>
      </c>
      <c r="K946">
        <v>30</v>
      </c>
      <c r="L946" t="str">
        <f t="shared" si="169"/>
        <v>520996</v>
      </c>
      <c r="N946" t="s">
        <v>1798</v>
      </c>
      <c r="O946" s="2">
        <v>46226.456678240742</v>
      </c>
      <c r="P946" s="2">
        <v>46226.456678240742</v>
      </c>
      <c r="Q946" s="2">
        <v>46226.456678240742</v>
      </c>
      <c r="R946" t="str">
        <f t="shared" si="170"/>
        <v>153000152</v>
      </c>
      <c r="S946" s="1">
        <v>47904</v>
      </c>
    </row>
    <row r="947" spans="1:19" x14ac:dyDescent="0.35">
      <c r="A947" t="s">
        <v>2182</v>
      </c>
      <c r="B947" t="s">
        <v>31</v>
      </c>
      <c r="C947" t="s">
        <v>2489</v>
      </c>
      <c r="D947" t="str">
        <f t="shared" si="167"/>
        <v>2501717823</v>
      </c>
      <c r="E947" t="s">
        <v>1536</v>
      </c>
      <c r="F947" t="str">
        <f t="shared" si="168"/>
        <v>400428</v>
      </c>
      <c r="G947" t="s">
        <v>833</v>
      </c>
      <c r="H947" t="s">
        <v>2497</v>
      </c>
      <c r="I947" t="s">
        <v>41</v>
      </c>
      <c r="J947">
        <v>4</v>
      </c>
      <c r="K947">
        <v>30</v>
      </c>
      <c r="L947" t="str">
        <f t="shared" si="169"/>
        <v>520996</v>
      </c>
      <c r="N947" t="s">
        <v>1798</v>
      </c>
      <c r="O947" s="2">
        <v>46226.456631944442</v>
      </c>
      <c r="P947" s="2">
        <v>46226.456631944442</v>
      </c>
      <c r="Q947" s="2">
        <v>46226.456631944442</v>
      </c>
      <c r="R947" t="str">
        <f t="shared" si="170"/>
        <v>153000152</v>
      </c>
      <c r="S947" s="1">
        <v>47904</v>
      </c>
    </row>
    <row r="948" spans="1:19" x14ac:dyDescent="0.35">
      <c r="A948" t="s">
        <v>2182</v>
      </c>
      <c r="B948" t="s">
        <v>31</v>
      </c>
      <c r="C948" t="s">
        <v>2489</v>
      </c>
      <c r="D948" t="str">
        <f t="shared" si="167"/>
        <v>2501717823</v>
      </c>
      <c r="E948" t="s">
        <v>1536</v>
      </c>
      <c r="F948" t="str">
        <f t="shared" si="168"/>
        <v>400428</v>
      </c>
      <c r="G948" t="s">
        <v>833</v>
      </c>
      <c r="H948" t="s">
        <v>2498</v>
      </c>
      <c r="I948" t="s">
        <v>41</v>
      </c>
      <c r="J948">
        <v>4</v>
      </c>
      <c r="K948">
        <v>30</v>
      </c>
      <c r="L948" t="str">
        <f t="shared" si="169"/>
        <v>520996</v>
      </c>
      <c r="N948" t="s">
        <v>1798</v>
      </c>
      <c r="O948" s="2">
        <v>46226.456597222219</v>
      </c>
      <c r="P948" s="2">
        <v>46226.456597222219</v>
      </c>
      <c r="Q948" s="2">
        <v>46226.456597222219</v>
      </c>
      <c r="R948" t="str">
        <f t="shared" si="170"/>
        <v>153000152</v>
      </c>
      <c r="S948" s="1">
        <v>47904</v>
      </c>
    </row>
    <row r="949" spans="1:19" x14ac:dyDescent="0.35">
      <c r="A949" t="s">
        <v>2182</v>
      </c>
      <c r="B949" t="s">
        <v>31</v>
      </c>
      <c r="C949" t="s">
        <v>2489</v>
      </c>
      <c r="D949" t="str">
        <f t="shared" si="167"/>
        <v>2501717823</v>
      </c>
      <c r="E949" t="s">
        <v>1536</v>
      </c>
      <c r="F949" t="str">
        <f t="shared" si="168"/>
        <v>400428</v>
      </c>
      <c r="G949" t="s">
        <v>833</v>
      </c>
      <c r="H949" t="s">
        <v>2499</v>
      </c>
      <c r="I949" t="s">
        <v>41</v>
      </c>
      <c r="J949">
        <v>4</v>
      </c>
      <c r="K949">
        <v>30</v>
      </c>
      <c r="L949" t="str">
        <f t="shared" si="169"/>
        <v>520996</v>
      </c>
      <c r="N949" t="s">
        <v>1798</v>
      </c>
      <c r="O949" s="2">
        <v>46226.456562500003</v>
      </c>
      <c r="P949" s="2">
        <v>46226.456562500003</v>
      </c>
      <c r="Q949" s="2">
        <v>46226.456562500003</v>
      </c>
      <c r="R949" t="str">
        <f t="shared" si="170"/>
        <v>153000152</v>
      </c>
      <c r="S949" s="1">
        <v>47904</v>
      </c>
    </row>
    <row r="950" spans="1:19" x14ac:dyDescent="0.35">
      <c r="A950" t="s">
        <v>2182</v>
      </c>
      <c r="B950" t="s">
        <v>31</v>
      </c>
      <c r="C950" t="s">
        <v>2489</v>
      </c>
      <c r="D950" t="str">
        <f t="shared" si="167"/>
        <v>2501717823</v>
      </c>
      <c r="E950" t="s">
        <v>1536</v>
      </c>
      <c r="F950" t="str">
        <f t="shared" si="168"/>
        <v>400428</v>
      </c>
      <c r="G950" t="s">
        <v>833</v>
      </c>
      <c r="H950" t="s">
        <v>2500</v>
      </c>
      <c r="I950" t="s">
        <v>41</v>
      </c>
      <c r="J950">
        <v>4</v>
      </c>
      <c r="K950">
        <v>30</v>
      </c>
      <c r="L950" t="str">
        <f t="shared" si="169"/>
        <v>520996</v>
      </c>
      <c r="N950" t="s">
        <v>1798</v>
      </c>
      <c r="O950" s="2">
        <v>46226.45652777778</v>
      </c>
      <c r="P950" s="2">
        <v>46226.45652777778</v>
      </c>
      <c r="Q950" s="2">
        <v>46226.45652777778</v>
      </c>
      <c r="R950" t="str">
        <f t="shared" si="170"/>
        <v>153000152</v>
      </c>
      <c r="S950" s="1">
        <v>47904</v>
      </c>
    </row>
    <row r="951" spans="1:19" x14ac:dyDescent="0.35">
      <c r="A951" t="s">
        <v>2182</v>
      </c>
      <c r="B951" t="s">
        <v>31</v>
      </c>
      <c r="C951" t="s">
        <v>2489</v>
      </c>
      <c r="D951" t="str">
        <f t="shared" si="167"/>
        <v>2501717823</v>
      </c>
      <c r="E951" t="s">
        <v>1536</v>
      </c>
      <c r="F951" t="str">
        <f t="shared" si="168"/>
        <v>400428</v>
      </c>
      <c r="G951" t="s">
        <v>833</v>
      </c>
      <c r="H951" t="s">
        <v>2501</v>
      </c>
      <c r="I951" t="s">
        <v>41</v>
      </c>
      <c r="J951">
        <v>4</v>
      </c>
      <c r="K951">
        <v>30</v>
      </c>
      <c r="L951" t="str">
        <f t="shared" si="169"/>
        <v>520996</v>
      </c>
      <c r="N951" t="s">
        <v>1798</v>
      </c>
      <c r="O951" s="2">
        <v>46226.45648148148</v>
      </c>
      <c r="P951" s="2">
        <v>46226.45648148148</v>
      </c>
      <c r="Q951" s="2">
        <v>46226.45648148148</v>
      </c>
      <c r="R951" t="str">
        <f t="shared" si="170"/>
        <v>153000152</v>
      </c>
      <c r="S951" s="1">
        <v>47904</v>
      </c>
    </row>
    <row r="952" spans="1:19" x14ac:dyDescent="0.35">
      <c r="A952" t="s">
        <v>2182</v>
      </c>
      <c r="B952" t="s">
        <v>31</v>
      </c>
      <c r="C952" t="s">
        <v>2489</v>
      </c>
      <c r="D952" t="str">
        <f t="shared" si="167"/>
        <v>2501717823</v>
      </c>
      <c r="E952" t="s">
        <v>1536</v>
      </c>
      <c r="F952" t="str">
        <f t="shared" si="168"/>
        <v>400428</v>
      </c>
      <c r="G952" t="s">
        <v>833</v>
      </c>
      <c r="H952" t="s">
        <v>2502</v>
      </c>
      <c r="I952" t="s">
        <v>41</v>
      </c>
      <c r="J952">
        <v>2</v>
      </c>
      <c r="K952">
        <v>30</v>
      </c>
      <c r="L952" t="str">
        <f t="shared" si="169"/>
        <v>520996</v>
      </c>
      <c r="N952" t="s">
        <v>1798</v>
      </c>
      <c r="O952" s="2">
        <v>46226.456423611111</v>
      </c>
      <c r="P952" s="2">
        <v>46226.456423611111</v>
      </c>
      <c r="Q952" s="2">
        <v>46226.456423611111</v>
      </c>
      <c r="R952" t="str">
        <f t="shared" si="170"/>
        <v>153000152</v>
      </c>
      <c r="S952" s="1">
        <v>47904</v>
      </c>
    </row>
    <row r="953" spans="1:19" x14ac:dyDescent="0.35">
      <c r="A953" t="s">
        <v>2182</v>
      </c>
      <c r="B953" t="s">
        <v>31</v>
      </c>
      <c r="C953" t="s">
        <v>2503</v>
      </c>
      <c r="D953" t="str">
        <f t="shared" ref="D953:D959" si="171">"2501717798"</f>
        <v>2501717798</v>
      </c>
      <c r="E953" t="s">
        <v>1536</v>
      </c>
      <c r="F953" t="str">
        <f>"400405"</f>
        <v>400405</v>
      </c>
      <c r="G953" t="s">
        <v>519</v>
      </c>
      <c r="H953" t="s">
        <v>2293</v>
      </c>
      <c r="I953" t="s">
        <v>37</v>
      </c>
      <c r="J953">
        <v>30</v>
      </c>
      <c r="K953">
        <v>30</v>
      </c>
      <c r="L953" t="str">
        <f t="shared" ref="L953:L959" si="172">"520192"</f>
        <v>520192</v>
      </c>
      <c r="N953" t="s">
        <v>1678</v>
      </c>
      <c r="O953" s="2">
        <v>46224.360856481479</v>
      </c>
      <c r="P953" s="2">
        <v>46224.360856481479</v>
      </c>
      <c r="Q953" s="2">
        <v>46224.360856481479</v>
      </c>
      <c r="R953" t="str">
        <f>"153000440"</f>
        <v>153000440</v>
      </c>
      <c r="S953" s="1">
        <v>48036</v>
      </c>
    </row>
    <row r="954" spans="1:19" x14ac:dyDescent="0.35">
      <c r="A954" t="s">
        <v>2182</v>
      </c>
      <c r="B954" t="s">
        <v>31</v>
      </c>
      <c r="C954" t="s">
        <v>2503</v>
      </c>
      <c r="D954" t="str">
        <f t="shared" si="171"/>
        <v>2501717798</v>
      </c>
      <c r="E954" t="s">
        <v>1536</v>
      </c>
      <c r="F954" t="str">
        <f>"400398"</f>
        <v>400398</v>
      </c>
      <c r="G954" t="s">
        <v>1562</v>
      </c>
      <c r="H954" t="s">
        <v>2345</v>
      </c>
      <c r="I954" t="s">
        <v>41</v>
      </c>
      <c r="J954">
        <v>2</v>
      </c>
      <c r="K954">
        <v>12</v>
      </c>
      <c r="L954" t="str">
        <f t="shared" si="172"/>
        <v>520192</v>
      </c>
      <c r="N954" t="s">
        <v>1678</v>
      </c>
      <c r="O954" s="2">
        <v>46224.360474537039</v>
      </c>
      <c r="P954" s="2">
        <v>46224.360474537039</v>
      </c>
      <c r="Q954" s="2">
        <v>46224.360474537039</v>
      </c>
      <c r="R954" t="str">
        <f>"100011196"</f>
        <v>100011196</v>
      </c>
      <c r="S954" s="1">
        <v>47857</v>
      </c>
    </row>
    <row r="955" spans="1:19" x14ac:dyDescent="0.35">
      <c r="A955" t="s">
        <v>2182</v>
      </c>
      <c r="B955" t="s">
        <v>31</v>
      </c>
      <c r="C955" t="s">
        <v>2503</v>
      </c>
      <c r="D955" t="str">
        <f t="shared" si="171"/>
        <v>2501717798</v>
      </c>
      <c r="E955" t="s">
        <v>1536</v>
      </c>
      <c r="F955" t="str">
        <f>"400398"</f>
        <v>400398</v>
      </c>
      <c r="G955" t="s">
        <v>1562</v>
      </c>
      <c r="H955" t="s">
        <v>2504</v>
      </c>
      <c r="I955" t="s">
        <v>41</v>
      </c>
      <c r="J955">
        <v>4</v>
      </c>
      <c r="K955">
        <v>12</v>
      </c>
      <c r="L955" t="str">
        <f t="shared" si="172"/>
        <v>520192</v>
      </c>
      <c r="N955" t="s">
        <v>1678</v>
      </c>
      <c r="O955" s="2">
        <v>46224.360381944447</v>
      </c>
      <c r="P955" s="2">
        <v>46224.360381944447</v>
      </c>
      <c r="Q955" s="2">
        <v>46224.360381944447</v>
      </c>
      <c r="R955" t="str">
        <f>"100011196"</f>
        <v>100011196</v>
      </c>
      <c r="S955" s="1">
        <v>47857</v>
      </c>
    </row>
    <row r="956" spans="1:19" x14ac:dyDescent="0.35">
      <c r="A956" t="s">
        <v>2182</v>
      </c>
      <c r="B956" t="s">
        <v>31</v>
      </c>
      <c r="C956" t="s">
        <v>2503</v>
      </c>
      <c r="D956" t="str">
        <f t="shared" si="171"/>
        <v>2501717798</v>
      </c>
      <c r="E956" t="s">
        <v>1536</v>
      </c>
      <c r="F956" t="str">
        <f>"400398"</f>
        <v>400398</v>
      </c>
      <c r="G956" t="s">
        <v>1562</v>
      </c>
      <c r="H956" t="s">
        <v>2504</v>
      </c>
      <c r="I956" t="s">
        <v>41</v>
      </c>
      <c r="J956">
        <v>2</v>
      </c>
      <c r="K956">
        <v>12</v>
      </c>
      <c r="L956" t="str">
        <f t="shared" si="172"/>
        <v>520192</v>
      </c>
      <c r="N956" t="s">
        <v>1678</v>
      </c>
      <c r="O956" s="2">
        <v>46224.360219907408</v>
      </c>
      <c r="P956" s="2">
        <v>46224.360219907408</v>
      </c>
      <c r="Q956" s="2">
        <v>46224.360219907408</v>
      </c>
      <c r="R956" t="str">
        <f>"100011196"</f>
        <v>100011196</v>
      </c>
      <c r="S956" s="1">
        <v>47857</v>
      </c>
    </row>
    <row r="957" spans="1:19" x14ac:dyDescent="0.35">
      <c r="A957" t="s">
        <v>2182</v>
      </c>
      <c r="B957" t="s">
        <v>31</v>
      </c>
      <c r="C957" t="s">
        <v>2503</v>
      </c>
      <c r="D957" t="str">
        <f t="shared" si="171"/>
        <v>2501717798</v>
      </c>
      <c r="E957" t="s">
        <v>1536</v>
      </c>
      <c r="F957" t="str">
        <f>"400398"</f>
        <v>400398</v>
      </c>
      <c r="G957" t="s">
        <v>1562</v>
      </c>
      <c r="H957" t="s">
        <v>2504</v>
      </c>
      <c r="I957" t="s">
        <v>41</v>
      </c>
      <c r="J957">
        <v>4</v>
      </c>
      <c r="K957">
        <v>12</v>
      </c>
      <c r="L957" t="str">
        <f t="shared" si="172"/>
        <v>520192</v>
      </c>
      <c r="N957" t="s">
        <v>1678</v>
      </c>
      <c r="O957" s="2">
        <v>46224.359803240739</v>
      </c>
      <c r="P957" s="2">
        <v>46224.359803240739</v>
      </c>
      <c r="Q957" s="2">
        <v>46224.359803240739</v>
      </c>
      <c r="R957" t="str">
        <f>"100011196"</f>
        <v>100011196</v>
      </c>
      <c r="S957" s="1">
        <v>47857</v>
      </c>
    </row>
    <row r="958" spans="1:19" x14ac:dyDescent="0.35">
      <c r="A958" t="s">
        <v>2182</v>
      </c>
      <c r="B958" t="s">
        <v>31</v>
      </c>
      <c r="C958" t="s">
        <v>2503</v>
      </c>
      <c r="D958" t="str">
        <f t="shared" si="171"/>
        <v>2501717798</v>
      </c>
      <c r="E958" t="s">
        <v>1536</v>
      </c>
      <c r="F958" t="str">
        <f>"400903"</f>
        <v>400903</v>
      </c>
      <c r="G958" t="s">
        <v>1712</v>
      </c>
      <c r="H958" t="s">
        <v>2377</v>
      </c>
      <c r="I958" t="s">
        <v>41</v>
      </c>
      <c r="J958">
        <v>3</v>
      </c>
      <c r="K958">
        <v>4</v>
      </c>
      <c r="L958" t="str">
        <f t="shared" si="172"/>
        <v>520192</v>
      </c>
      <c r="N958" t="s">
        <v>1678</v>
      </c>
      <c r="O958" s="2">
        <v>46224.3590625</v>
      </c>
      <c r="P958" s="2">
        <v>46224.3590625</v>
      </c>
      <c r="Q958" s="2">
        <v>46224.3590625</v>
      </c>
      <c r="R958" t="str">
        <f>"600001029"</f>
        <v>600001029</v>
      </c>
      <c r="S958" s="1">
        <v>47869</v>
      </c>
    </row>
    <row r="959" spans="1:19" x14ac:dyDescent="0.35">
      <c r="A959" t="s">
        <v>2182</v>
      </c>
      <c r="B959" t="s">
        <v>31</v>
      </c>
      <c r="C959" t="s">
        <v>2503</v>
      </c>
      <c r="D959" t="str">
        <f t="shared" si="171"/>
        <v>2501717798</v>
      </c>
      <c r="E959" t="s">
        <v>1536</v>
      </c>
      <c r="F959" t="str">
        <f>"400903"</f>
        <v>400903</v>
      </c>
      <c r="G959" t="s">
        <v>1712</v>
      </c>
      <c r="H959" t="s">
        <v>2505</v>
      </c>
      <c r="I959" t="s">
        <v>41</v>
      </c>
      <c r="J959">
        <v>1</v>
      </c>
      <c r="K959">
        <v>4</v>
      </c>
      <c r="L959" t="str">
        <f t="shared" si="172"/>
        <v>520192</v>
      </c>
      <c r="N959" t="s">
        <v>1678</v>
      </c>
      <c r="O959" s="2">
        <v>46224.358854166669</v>
      </c>
      <c r="P959" s="2">
        <v>46224.358854166669</v>
      </c>
      <c r="Q959" s="2">
        <v>46224.358854166669</v>
      </c>
      <c r="R959" t="str">
        <f>"600001029"</f>
        <v>600001029</v>
      </c>
      <c r="S959" s="1">
        <v>47869</v>
      </c>
    </row>
    <row r="960" spans="1:19" x14ac:dyDescent="0.35">
      <c r="A960" t="s">
        <v>2182</v>
      </c>
      <c r="B960" t="s">
        <v>31</v>
      </c>
      <c r="C960" t="s">
        <v>2506</v>
      </c>
      <c r="D960" t="str">
        <f t="shared" ref="D960:D975" si="173">"2501717797"</f>
        <v>2501717797</v>
      </c>
      <c r="E960" t="s">
        <v>1536</v>
      </c>
      <c r="F960" t="str">
        <f>"400912"</f>
        <v>400912</v>
      </c>
      <c r="G960" t="s">
        <v>174</v>
      </c>
      <c r="H960" t="s">
        <v>2306</v>
      </c>
      <c r="I960" t="s">
        <v>41</v>
      </c>
      <c r="J960">
        <v>1</v>
      </c>
      <c r="K960">
        <v>1</v>
      </c>
      <c r="L960" t="str">
        <f t="shared" ref="L960:L975" si="174">"521227"</f>
        <v>521227</v>
      </c>
      <c r="N960" t="s">
        <v>2159</v>
      </c>
      <c r="O960" s="2">
        <v>46224.44189814815</v>
      </c>
      <c r="P960" s="2">
        <v>46224.44189814815</v>
      </c>
      <c r="Q960" s="2">
        <v>46224.44189814815</v>
      </c>
      <c r="R960" t="str">
        <f>"400004247"</f>
        <v>400004247</v>
      </c>
      <c r="S960" s="1">
        <v>47924</v>
      </c>
    </row>
    <row r="961" spans="1:19" x14ac:dyDescent="0.35">
      <c r="A961" t="s">
        <v>2182</v>
      </c>
      <c r="B961" t="s">
        <v>31</v>
      </c>
      <c r="C961" t="s">
        <v>2506</v>
      </c>
      <c r="D961" t="str">
        <f t="shared" si="173"/>
        <v>2501717797</v>
      </c>
      <c r="E961" t="s">
        <v>1536</v>
      </c>
      <c r="F961" t="str">
        <f>"400912"</f>
        <v>400912</v>
      </c>
      <c r="G961" t="s">
        <v>174</v>
      </c>
      <c r="H961" t="s">
        <v>2345</v>
      </c>
      <c r="I961" t="s">
        <v>41</v>
      </c>
      <c r="J961">
        <v>3</v>
      </c>
      <c r="K961">
        <v>3</v>
      </c>
      <c r="L961" t="str">
        <f t="shared" si="174"/>
        <v>521227</v>
      </c>
      <c r="N961" t="s">
        <v>2159</v>
      </c>
      <c r="O961" s="2">
        <v>46224.441851851851</v>
      </c>
      <c r="P961" s="2">
        <v>46224.441851851851</v>
      </c>
      <c r="Q961" s="2">
        <v>46224.441851851851</v>
      </c>
      <c r="R961" t="str">
        <f>"400004172"</f>
        <v>400004172</v>
      </c>
      <c r="S961" s="1">
        <v>47899</v>
      </c>
    </row>
    <row r="962" spans="1:19" x14ac:dyDescent="0.35">
      <c r="A962" t="s">
        <v>2182</v>
      </c>
      <c r="B962" t="s">
        <v>31</v>
      </c>
      <c r="C962" t="s">
        <v>2506</v>
      </c>
      <c r="D962" t="str">
        <f t="shared" si="173"/>
        <v>2501717797</v>
      </c>
      <c r="E962" t="s">
        <v>1536</v>
      </c>
      <c r="F962" t="str">
        <f t="shared" ref="F962:F968" si="175">"400428"</f>
        <v>400428</v>
      </c>
      <c r="G962" t="s">
        <v>833</v>
      </c>
      <c r="H962" t="s">
        <v>2502</v>
      </c>
      <c r="I962" t="s">
        <v>41</v>
      </c>
      <c r="J962">
        <v>2</v>
      </c>
      <c r="K962">
        <v>22</v>
      </c>
      <c r="L962" t="str">
        <f t="shared" si="174"/>
        <v>521227</v>
      </c>
      <c r="N962" t="s">
        <v>2159</v>
      </c>
      <c r="O962" s="2">
        <v>46224.441817129627</v>
      </c>
      <c r="P962" s="2">
        <v>46224.441817129627</v>
      </c>
      <c r="Q962" s="2">
        <v>46224.441817129627</v>
      </c>
      <c r="R962" t="str">
        <f t="shared" ref="R962:R967" si="176">"153000152"</f>
        <v>153000152</v>
      </c>
      <c r="S962" s="1">
        <v>47904</v>
      </c>
    </row>
    <row r="963" spans="1:19" x14ac:dyDescent="0.35">
      <c r="A963" t="s">
        <v>2182</v>
      </c>
      <c r="B963" t="s">
        <v>31</v>
      </c>
      <c r="C963" t="s">
        <v>2506</v>
      </c>
      <c r="D963" t="str">
        <f t="shared" si="173"/>
        <v>2501717797</v>
      </c>
      <c r="E963" t="s">
        <v>1536</v>
      </c>
      <c r="F963" t="str">
        <f t="shared" si="175"/>
        <v>400428</v>
      </c>
      <c r="G963" t="s">
        <v>833</v>
      </c>
      <c r="H963" t="s">
        <v>2507</v>
      </c>
      <c r="I963" t="s">
        <v>41</v>
      </c>
      <c r="J963">
        <v>4</v>
      </c>
      <c r="K963">
        <v>22</v>
      </c>
      <c r="L963" t="str">
        <f t="shared" si="174"/>
        <v>521227</v>
      </c>
      <c r="N963" t="s">
        <v>2159</v>
      </c>
      <c r="O963" s="2">
        <v>46224.441782407404</v>
      </c>
      <c r="P963" s="2">
        <v>46224.441782407404</v>
      </c>
      <c r="Q963" s="2">
        <v>46224.441782407404</v>
      </c>
      <c r="R963" t="str">
        <f t="shared" si="176"/>
        <v>153000152</v>
      </c>
      <c r="S963" s="1">
        <v>47904</v>
      </c>
    </row>
    <row r="964" spans="1:19" x14ac:dyDescent="0.35">
      <c r="A964" t="s">
        <v>2182</v>
      </c>
      <c r="B964" t="s">
        <v>31</v>
      </c>
      <c r="C964" t="s">
        <v>2506</v>
      </c>
      <c r="D964" t="str">
        <f t="shared" si="173"/>
        <v>2501717797</v>
      </c>
      <c r="E964" t="s">
        <v>1536</v>
      </c>
      <c r="F964" t="str">
        <f t="shared" si="175"/>
        <v>400428</v>
      </c>
      <c r="G964" t="s">
        <v>833</v>
      </c>
      <c r="H964" t="s">
        <v>2508</v>
      </c>
      <c r="I964" t="s">
        <v>41</v>
      </c>
      <c r="J964">
        <v>4</v>
      </c>
      <c r="K964">
        <v>22</v>
      </c>
      <c r="L964" t="str">
        <f t="shared" si="174"/>
        <v>521227</v>
      </c>
      <c r="N964" t="s">
        <v>2159</v>
      </c>
      <c r="O964" s="2">
        <v>46224.441747685189</v>
      </c>
      <c r="P964" s="2">
        <v>46224.441747685189</v>
      </c>
      <c r="Q964" s="2">
        <v>46224.441747685189</v>
      </c>
      <c r="R964" t="str">
        <f t="shared" si="176"/>
        <v>153000152</v>
      </c>
      <c r="S964" s="1">
        <v>47904</v>
      </c>
    </row>
    <row r="965" spans="1:19" x14ac:dyDescent="0.35">
      <c r="A965" t="s">
        <v>2182</v>
      </c>
      <c r="B965" t="s">
        <v>31</v>
      </c>
      <c r="C965" t="s">
        <v>2506</v>
      </c>
      <c r="D965" t="str">
        <f t="shared" si="173"/>
        <v>2501717797</v>
      </c>
      <c r="E965" t="s">
        <v>1536</v>
      </c>
      <c r="F965" t="str">
        <f t="shared" si="175"/>
        <v>400428</v>
      </c>
      <c r="G965" t="s">
        <v>833</v>
      </c>
      <c r="H965" t="s">
        <v>2509</v>
      </c>
      <c r="I965" t="s">
        <v>41</v>
      </c>
      <c r="J965">
        <v>4</v>
      </c>
      <c r="K965">
        <v>22</v>
      </c>
      <c r="L965" t="str">
        <f t="shared" si="174"/>
        <v>521227</v>
      </c>
      <c r="N965" t="s">
        <v>2159</v>
      </c>
      <c r="O965" s="2">
        <v>46224.441712962966</v>
      </c>
      <c r="P965" s="2">
        <v>46224.441712962966</v>
      </c>
      <c r="Q965" s="2">
        <v>46224.441712962966</v>
      </c>
      <c r="R965" t="str">
        <f t="shared" si="176"/>
        <v>153000152</v>
      </c>
      <c r="S965" s="1">
        <v>47904</v>
      </c>
    </row>
    <row r="966" spans="1:19" x14ac:dyDescent="0.35">
      <c r="A966" t="s">
        <v>2182</v>
      </c>
      <c r="B966" t="s">
        <v>31</v>
      </c>
      <c r="C966" t="s">
        <v>2506</v>
      </c>
      <c r="D966" t="str">
        <f t="shared" si="173"/>
        <v>2501717797</v>
      </c>
      <c r="E966" t="s">
        <v>1536</v>
      </c>
      <c r="F966" t="str">
        <f t="shared" si="175"/>
        <v>400428</v>
      </c>
      <c r="G966" t="s">
        <v>833</v>
      </c>
      <c r="H966" t="s">
        <v>2510</v>
      </c>
      <c r="I966" t="s">
        <v>41</v>
      </c>
      <c r="J966">
        <v>4</v>
      </c>
      <c r="K966">
        <v>22</v>
      </c>
      <c r="L966" t="str">
        <f t="shared" si="174"/>
        <v>521227</v>
      </c>
      <c r="N966" t="s">
        <v>2159</v>
      </c>
      <c r="O966" s="2">
        <v>46224.441678240742</v>
      </c>
      <c r="P966" s="2">
        <v>46224.441678240742</v>
      </c>
      <c r="Q966" s="2">
        <v>46224.441678240742</v>
      </c>
      <c r="R966" t="str">
        <f t="shared" si="176"/>
        <v>153000152</v>
      </c>
      <c r="S966" s="1">
        <v>47904</v>
      </c>
    </row>
    <row r="967" spans="1:19" x14ac:dyDescent="0.35">
      <c r="A967" t="s">
        <v>2182</v>
      </c>
      <c r="B967" t="s">
        <v>31</v>
      </c>
      <c r="C967" t="s">
        <v>2506</v>
      </c>
      <c r="D967" t="str">
        <f t="shared" si="173"/>
        <v>2501717797</v>
      </c>
      <c r="E967" t="s">
        <v>1536</v>
      </c>
      <c r="F967" t="str">
        <f t="shared" si="175"/>
        <v>400428</v>
      </c>
      <c r="G967" t="s">
        <v>833</v>
      </c>
      <c r="H967" t="s">
        <v>2511</v>
      </c>
      <c r="I967" t="s">
        <v>41</v>
      </c>
      <c r="J967">
        <v>4</v>
      </c>
      <c r="K967">
        <v>22</v>
      </c>
      <c r="L967" t="str">
        <f t="shared" si="174"/>
        <v>521227</v>
      </c>
      <c r="N967" t="s">
        <v>2159</v>
      </c>
      <c r="O967" s="2">
        <v>46224.441643518519</v>
      </c>
      <c r="P967" s="2">
        <v>46224.441643518519</v>
      </c>
      <c r="Q967" s="2">
        <v>46224.441643518519</v>
      </c>
      <c r="R967" t="str">
        <f t="shared" si="176"/>
        <v>153000152</v>
      </c>
      <c r="S967" s="1">
        <v>47904</v>
      </c>
    </row>
    <row r="968" spans="1:19" x14ac:dyDescent="0.35">
      <c r="A968" t="s">
        <v>2182</v>
      </c>
      <c r="B968" t="s">
        <v>31</v>
      </c>
      <c r="C968" t="s">
        <v>2506</v>
      </c>
      <c r="D968" t="str">
        <f t="shared" si="173"/>
        <v>2501717797</v>
      </c>
      <c r="E968" t="s">
        <v>1536</v>
      </c>
      <c r="F968" t="str">
        <f t="shared" si="175"/>
        <v>400428</v>
      </c>
      <c r="G968" t="s">
        <v>833</v>
      </c>
      <c r="H968" t="s">
        <v>2346</v>
      </c>
      <c r="I968" t="s">
        <v>41</v>
      </c>
      <c r="J968">
        <v>3</v>
      </c>
      <c r="K968">
        <v>3</v>
      </c>
      <c r="L968" t="str">
        <f t="shared" si="174"/>
        <v>521227</v>
      </c>
      <c r="N968" t="s">
        <v>2159</v>
      </c>
      <c r="O968" s="2">
        <v>46224.441608796296</v>
      </c>
      <c r="P968" s="2">
        <v>46224.441608796296</v>
      </c>
      <c r="Q968" s="2">
        <v>46224.441608796296</v>
      </c>
      <c r="R968" t="str">
        <f>"100011166"</f>
        <v>100011166</v>
      </c>
      <c r="S968" s="1">
        <v>47840</v>
      </c>
    </row>
    <row r="969" spans="1:19" x14ac:dyDescent="0.35">
      <c r="A969" t="s">
        <v>2182</v>
      </c>
      <c r="B969" t="s">
        <v>31</v>
      </c>
      <c r="C969" t="s">
        <v>2506</v>
      </c>
      <c r="D969" t="str">
        <f t="shared" si="173"/>
        <v>2501717797</v>
      </c>
      <c r="E969" t="s">
        <v>1536</v>
      </c>
      <c r="F969" t="str">
        <f>"400903"</f>
        <v>400903</v>
      </c>
      <c r="G969" t="s">
        <v>1712</v>
      </c>
      <c r="H969" t="s">
        <v>2505</v>
      </c>
      <c r="I969" t="s">
        <v>41</v>
      </c>
      <c r="J969">
        <v>1</v>
      </c>
      <c r="K969">
        <v>3</v>
      </c>
      <c r="L969" t="str">
        <f t="shared" si="174"/>
        <v>521227</v>
      </c>
      <c r="N969" t="s">
        <v>2159</v>
      </c>
      <c r="O969" s="2">
        <v>46224.441574074073</v>
      </c>
      <c r="P969" s="2">
        <v>46224.441574074073</v>
      </c>
      <c r="Q969" s="2">
        <v>46224.441574074073</v>
      </c>
      <c r="R969" t="str">
        <f>"600001029"</f>
        <v>600001029</v>
      </c>
      <c r="S969" s="1">
        <v>47869</v>
      </c>
    </row>
    <row r="970" spans="1:19" x14ac:dyDescent="0.35">
      <c r="A970" t="s">
        <v>2182</v>
      </c>
      <c r="B970" t="s">
        <v>31</v>
      </c>
      <c r="C970" t="s">
        <v>2506</v>
      </c>
      <c r="D970" t="str">
        <f t="shared" si="173"/>
        <v>2501717797</v>
      </c>
      <c r="E970" t="s">
        <v>1536</v>
      </c>
      <c r="F970" t="str">
        <f>"400903"</f>
        <v>400903</v>
      </c>
      <c r="G970" t="s">
        <v>1712</v>
      </c>
      <c r="H970" t="s">
        <v>2262</v>
      </c>
      <c r="I970" t="s">
        <v>41</v>
      </c>
      <c r="J970">
        <v>2</v>
      </c>
      <c r="K970">
        <v>3</v>
      </c>
      <c r="L970" t="str">
        <f t="shared" si="174"/>
        <v>521227</v>
      </c>
      <c r="N970" t="s">
        <v>2159</v>
      </c>
      <c r="O970" s="2">
        <v>46224.44153935185</v>
      </c>
      <c r="P970" s="2">
        <v>46224.44153935185</v>
      </c>
      <c r="Q970" s="2">
        <v>46224.44153935185</v>
      </c>
      <c r="R970" t="str">
        <f>"600001029"</f>
        <v>600001029</v>
      </c>
      <c r="S970" s="1">
        <v>47869</v>
      </c>
    </row>
    <row r="971" spans="1:19" x14ac:dyDescent="0.35">
      <c r="A971" t="s">
        <v>2182</v>
      </c>
      <c r="B971" t="s">
        <v>31</v>
      </c>
      <c r="C971" t="s">
        <v>2506</v>
      </c>
      <c r="D971" t="str">
        <f t="shared" si="173"/>
        <v>2501717797</v>
      </c>
      <c r="E971" t="s">
        <v>1536</v>
      </c>
      <c r="F971" t="str">
        <f>"401047"</f>
        <v>401047</v>
      </c>
      <c r="G971" t="s">
        <v>1730</v>
      </c>
      <c r="H971" t="s">
        <v>2458</v>
      </c>
      <c r="I971" t="s">
        <v>41</v>
      </c>
      <c r="J971">
        <v>3</v>
      </c>
      <c r="K971">
        <v>3</v>
      </c>
      <c r="L971" t="str">
        <f t="shared" si="174"/>
        <v>521227</v>
      </c>
      <c r="N971" t="s">
        <v>2159</v>
      </c>
      <c r="O971" s="2">
        <v>46224.441504629627</v>
      </c>
      <c r="P971" s="2">
        <v>46224.441504629627</v>
      </c>
      <c r="Q971" s="2">
        <v>46224.441504629627</v>
      </c>
      <c r="R971" t="str">
        <f>"153000283"</f>
        <v>153000283</v>
      </c>
      <c r="S971" s="1">
        <v>47969</v>
      </c>
    </row>
    <row r="972" spans="1:19" x14ac:dyDescent="0.35">
      <c r="A972" t="s">
        <v>2182</v>
      </c>
      <c r="B972" t="s">
        <v>31</v>
      </c>
      <c r="C972" t="s">
        <v>2506</v>
      </c>
      <c r="D972" t="str">
        <f t="shared" si="173"/>
        <v>2501717797</v>
      </c>
      <c r="E972" t="s">
        <v>1536</v>
      </c>
      <c r="F972" t="str">
        <f>"400445"</f>
        <v>400445</v>
      </c>
      <c r="G972" t="s">
        <v>424</v>
      </c>
      <c r="H972" t="s">
        <v>2512</v>
      </c>
      <c r="I972" t="s">
        <v>41</v>
      </c>
      <c r="J972">
        <v>1</v>
      </c>
      <c r="K972">
        <v>11</v>
      </c>
      <c r="L972" t="str">
        <f t="shared" si="174"/>
        <v>521227</v>
      </c>
      <c r="N972" t="s">
        <v>2159</v>
      </c>
      <c r="O972" s="2">
        <v>46224.441458333335</v>
      </c>
      <c r="P972" s="2">
        <v>46224.441458333335</v>
      </c>
      <c r="Q972" s="2">
        <v>46224.441458333335</v>
      </c>
      <c r="R972" t="str">
        <f>"153000242"</f>
        <v>153000242</v>
      </c>
      <c r="S972" s="1">
        <v>47949</v>
      </c>
    </row>
    <row r="973" spans="1:19" x14ac:dyDescent="0.35">
      <c r="A973" t="s">
        <v>2182</v>
      </c>
      <c r="B973" t="s">
        <v>31</v>
      </c>
      <c r="C973" t="s">
        <v>2506</v>
      </c>
      <c r="D973" t="str">
        <f t="shared" si="173"/>
        <v>2501717797</v>
      </c>
      <c r="E973" t="s">
        <v>1536</v>
      </c>
      <c r="F973" t="str">
        <f>"400445"</f>
        <v>400445</v>
      </c>
      <c r="G973" t="s">
        <v>424</v>
      </c>
      <c r="H973" t="s">
        <v>2513</v>
      </c>
      <c r="I973" t="s">
        <v>41</v>
      </c>
      <c r="J973">
        <v>2</v>
      </c>
      <c r="K973">
        <v>11</v>
      </c>
      <c r="L973" t="str">
        <f t="shared" si="174"/>
        <v>521227</v>
      </c>
      <c r="N973" t="s">
        <v>2159</v>
      </c>
      <c r="O973" s="2">
        <v>46224.441423611112</v>
      </c>
      <c r="P973" s="2">
        <v>46224.441423611112</v>
      </c>
      <c r="Q973" s="2">
        <v>46224.441423611112</v>
      </c>
      <c r="R973" t="str">
        <f>"153000242"</f>
        <v>153000242</v>
      </c>
      <c r="S973" s="1">
        <v>47949</v>
      </c>
    </row>
    <row r="974" spans="1:19" x14ac:dyDescent="0.35">
      <c r="A974" t="s">
        <v>2182</v>
      </c>
      <c r="B974" t="s">
        <v>31</v>
      </c>
      <c r="C974" t="s">
        <v>2506</v>
      </c>
      <c r="D974" t="str">
        <f t="shared" si="173"/>
        <v>2501717797</v>
      </c>
      <c r="E974" t="s">
        <v>1536</v>
      </c>
      <c r="F974" t="str">
        <f>"400445"</f>
        <v>400445</v>
      </c>
      <c r="G974" t="s">
        <v>424</v>
      </c>
      <c r="H974" t="s">
        <v>2513</v>
      </c>
      <c r="I974" t="s">
        <v>41</v>
      </c>
      <c r="J974">
        <v>4</v>
      </c>
      <c r="K974">
        <v>11</v>
      </c>
      <c r="L974" t="str">
        <f t="shared" si="174"/>
        <v>521227</v>
      </c>
      <c r="N974" t="s">
        <v>2159</v>
      </c>
      <c r="O974" s="2">
        <v>46224.441377314812</v>
      </c>
      <c r="P974" s="2">
        <v>46224.441377314812</v>
      </c>
      <c r="Q974" s="2">
        <v>46224.441377314812</v>
      </c>
      <c r="R974" t="str">
        <f>"153000242"</f>
        <v>153000242</v>
      </c>
      <c r="S974" s="1">
        <v>47949</v>
      </c>
    </row>
    <row r="975" spans="1:19" x14ac:dyDescent="0.35">
      <c r="A975" t="s">
        <v>2182</v>
      </c>
      <c r="B975" t="s">
        <v>31</v>
      </c>
      <c r="C975" t="s">
        <v>2506</v>
      </c>
      <c r="D975" t="str">
        <f t="shared" si="173"/>
        <v>2501717797</v>
      </c>
      <c r="E975" t="s">
        <v>1536</v>
      </c>
      <c r="F975" t="str">
        <f>"400445"</f>
        <v>400445</v>
      </c>
      <c r="G975" t="s">
        <v>424</v>
      </c>
      <c r="H975" t="s">
        <v>2513</v>
      </c>
      <c r="I975" t="s">
        <v>41</v>
      </c>
      <c r="J975">
        <v>4</v>
      </c>
      <c r="K975">
        <v>11</v>
      </c>
      <c r="L975" t="str">
        <f t="shared" si="174"/>
        <v>521227</v>
      </c>
      <c r="N975" t="s">
        <v>2159</v>
      </c>
      <c r="O975" s="2">
        <v>46224.441307870373</v>
      </c>
      <c r="P975" s="2">
        <v>46224.441307870373</v>
      </c>
      <c r="Q975" s="2">
        <v>46224.441307870373</v>
      </c>
      <c r="R975" t="str">
        <f>"153000242"</f>
        <v>153000242</v>
      </c>
      <c r="S975" s="1">
        <v>47949</v>
      </c>
    </row>
    <row r="976" spans="1:19" x14ac:dyDescent="0.35">
      <c r="A976" t="s">
        <v>2182</v>
      </c>
      <c r="B976" t="s">
        <v>31</v>
      </c>
      <c r="C976" t="s">
        <v>2514</v>
      </c>
      <c r="D976" t="str">
        <f>"2501717778"</f>
        <v>2501717778</v>
      </c>
      <c r="E976" t="s">
        <v>1536</v>
      </c>
      <c r="F976" t="str">
        <f>"400390"</f>
        <v>400390</v>
      </c>
      <c r="G976" t="s">
        <v>1706</v>
      </c>
      <c r="H976" t="s">
        <v>2515</v>
      </c>
      <c r="I976" t="s">
        <v>37</v>
      </c>
      <c r="J976">
        <v>10</v>
      </c>
      <c r="K976">
        <v>10</v>
      </c>
      <c r="L976" t="str">
        <f>"521161"</f>
        <v>521161</v>
      </c>
      <c r="N976" t="s">
        <v>1556</v>
      </c>
      <c r="O976" s="2">
        <v>46221.365740740737</v>
      </c>
      <c r="P976" s="2">
        <v>46221.365740740737</v>
      </c>
      <c r="Q976" s="2">
        <v>46221.365740740737</v>
      </c>
      <c r="R976" t="str">
        <f>"153000370"</f>
        <v>153000370</v>
      </c>
      <c r="S976" s="1">
        <v>48007</v>
      </c>
    </row>
    <row r="977" spans="1:19" x14ac:dyDescent="0.35">
      <c r="A977" t="s">
        <v>2182</v>
      </c>
      <c r="B977" t="s">
        <v>31</v>
      </c>
      <c r="C977" t="s">
        <v>2516</v>
      </c>
      <c r="D977" t="str">
        <f>"2501717764"</f>
        <v>2501717764</v>
      </c>
      <c r="E977" t="s">
        <v>1536</v>
      </c>
      <c r="F977" t="str">
        <f>"400464"</f>
        <v>400464</v>
      </c>
      <c r="G977" t="s">
        <v>1669</v>
      </c>
      <c r="H977" t="s">
        <v>2463</v>
      </c>
      <c r="I977" t="s">
        <v>41</v>
      </c>
      <c r="J977">
        <v>2</v>
      </c>
      <c r="K977">
        <v>2</v>
      </c>
      <c r="L977" t="str">
        <f>"521072"</f>
        <v>521072</v>
      </c>
      <c r="N977" t="s">
        <v>2162</v>
      </c>
      <c r="O977" s="2">
        <v>46221.366689814815</v>
      </c>
      <c r="P977" s="2">
        <v>46221.366689814815</v>
      </c>
      <c r="Q977" s="2">
        <v>46221.366689814815</v>
      </c>
      <c r="R977" t="str">
        <f>"100009649"</f>
        <v>100009649</v>
      </c>
      <c r="S977" s="1">
        <v>47841</v>
      </c>
    </row>
    <row r="978" spans="1:19" x14ac:dyDescent="0.35">
      <c r="A978" t="s">
        <v>2182</v>
      </c>
      <c r="B978" t="s">
        <v>31</v>
      </c>
      <c r="C978" t="s">
        <v>2516</v>
      </c>
      <c r="D978" t="str">
        <f>"2501717764"</f>
        <v>2501717764</v>
      </c>
      <c r="E978" t="s">
        <v>1536</v>
      </c>
      <c r="F978" t="str">
        <f>"400464"</f>
        <v>400464</v>
      </c>
      <c r="G978" t="s">
        <v>1669</v>
      </c>
      <c r="H978" t="s">
        <v>2463</v>
      </c>
      <c r="I978" t="s">
        <v>41</v>
      </c>
      <c r="J978">
        <v>4</v>
      </c>
      <c r="K978">
        <v>8</v>
      </c>
      <c r="L978" t="str">
        <f>"521072"</f>
        <v>521072</v>
      </c>
      <c r="N978" t="s">
        <v>2162</v>
      </c>
      <c r="O978" s="2">
        <v>46221.366481481484</v>
      </c>
      <c r="P978" s="2">
        <v>46221.366481481484</v>
      </c>
      <c r="Q978" s="2">
        <v>46221.366481481484</v>
      </c>
      <c r="R978" t="str">
        <f>"100010746"</f>
        <v>100010746</v>
      </c>
      <c r="S978" s="1">
        <v>47841</v>
      </c>
    </row>
    <row r="979" spans="1:19" x14ac:dyDescent="0.35">
      <c r="A979" t="s">
        <v>2182</v>
      </c>
      <c r="B979" t="s">
        <v>31</v>
      </c>
      <c r="C979" t="s">
        <v>2516</v>
      </c>
      <c r="D979" t="str">
        <f>"2501717764"</f>
        <v>2501717764</v>
      </c>
      <c r="E979" t="s">
        <v>1536</v>
      </c>
      <c r="F979" t="str">
        <f>"400464"</f>
        <v>400464</v>
      </c>
      <c r="G979" t="s">
        <v>1669</v>
      </c>
      <c r="H979" t="s">
        <v>2327</v>
      </c>
      <c r="I979" t="s">
        <v>41</v>
      </c>
      <c r="J979">
        <v>4</v>
      </c>
      <c r="K979">
        <v>8</v>
      </c>
      <c r="L979" t="str">
        <f>"521072"</f>
        <v>521072</v>
      </c>
      <c r="N979" t="s">
        <v>2162</v>
      </c>
      <c r="O979" s="2">
        <v>46221.366307870368</v>
      </c>
      <c r="P979" s="2">
        <v>46221.366319444445</v>
      </c>
      <c r="Q979" s="2">
        <v>46221.366319444445</v>
      </c>
      <c r="R979" t="str">
        <f>"100010746"</f>
        <v>100010746</v>
      </c>
      <c r="S979" s="1">
        <v>47841</v>
      </c>
    </row>
    <row r="980" spans="1:19" x14ac:dyDescent="0.35">
      <c r="A980" t="s">
        <v>2182</v>
      </c>
      <c r="B980" t="s">
        <v>31</v>
      </c>
      <c r="C980" t="s">
        <v>2517</v>
      </c>
      <c r="D980" t="str">
        <f>"2501717731"</f>
        <v>2501717731</v>
      </c>
      <c r="E980" t="s">
        <v>1536</v>
      </c>
      <c r="F980" t="str">
        <f>"400390"</f>
        <v>400390</v>
      </c>
      <c r="G980" t="s">
        <v>1706</v>
      </c>
      <c r="H980" t="s">
        <v>2515</v>
      </c>
      <c r="I980" t="s">
        <v>37</v>
      </c>
      <c r="J980">
        <v>28</v>
      </c>
      <c r="K980">
        <v>28</v>
      </c>
      <c r="L980" t="str">
        <f>"520824"</f>
        <v>520824</v>
      </c>
      <c r="N980" t="s">
        <v>1856</v>
      </c>
      <c r="O980" s="2">
        <v>46219.381435185183</v>
      </c>
      <c r="P980" s="2">
        <v>46219.381435185183</v>
      </c>
      <c r="Q980" s="2">
        <v>46219.381435185183</v>
      </c>
      <c r="R980" t="str">
        <f>"153000370"</f>
        <v>153000370</v>
      </c>
      <c r="S980" s="1">
        <v>48007</v>
      </c>
    </row>
    <row r="981" spans="1:19" x14ac:dyDescent="0.35">
      <c r="A981" t="s">
        <v>2182</v>
      </c>
      <c r="B981" t="s">
        <v>31</v>
      </c>
      <c r="C981" t="s">
        <v>2517</v>
      </c>
      <c r="D981" t="str">
        <f>"2501717731"</f>
        <v>2501717731</v>
      </c>
      <c r="E981" t="s">
        <v>1536</v>
      </c>
      <c r="F981" t="str">
        <f>"400411"</f>
        <v>400411</v>
      </c>
      <c r="G981" t="s">
        <v>1537</v>
      </c>
      <c r="H981" t="s">
        <v>2236</v>
      </c>
      <c r="I981" t="s">
        <v>41</v>
      </c>
      <c r="J981">
        <v>2</v>
      </c>
      <c r="K981">
        <v>8</v>
      </c>
      <c r="L981" t="str">
        <f>"520824"</f>
        <v>520824</v>
      </c>
      <c r="N981" t="s">
        <v>1856</v>
      </c>
      <c r="O981" s="2">
        <v>46219.381296296298</v>
      </c>
      <c r="P981" s="2">
        <v>46219.381296296298</v>
      </c>
      <c r="Q981" s="2">
        <v>46219.381296296298</v>
      </c>
      <c r="R981" t="str">
        <f>"153000352"</f>
        <v>153000352</v>
      </c>
      <c r="S981" s="1">
        <v>48002</v>
      </c>
    </row>
    <row r="982" spans="1:19" x14ac:dyDescent="0.35">
      <c r="A982" t="s">
        <v>2182</v>
      </c>
      <c r="B982" t="s">
        <v>31</v>
      </c>
      <c r="C982" t="s">
        <v>2517</v>
      </c>
      <c r="D982" t="str">
        <f>"2501717731"</f>
        <v>2501717731</v>
      </c>
      <c r="E982" t="s">
        <v>1536</v>
      </c>
      <c r="F982" t="str">
        <f>"400411"</f>
        <v>400411</v>
      </c>
      <c r="G982" t="s">
        <v>1537</v>
      </c>
      <c r="H982" t="s">
        <v>2518</v>
      </c>
      <c r="I982" t="s">
        <v>41</v>
      </c>
      <c r="J982">
        <v>4</v>
      </c>
      <c r="K982">
        <v>8</v>
      </c>
      <c r="L982" t="str">
        <f>"520824"</f>
        <v>520824</v>
      </c>
      <c r="N982" t="s">
        <v>1856</v>
      </c>
      <c r="O982" s="2">
        <v>46219.381157407406</v>
      </c>
      <c r="P982" s="2">
        <v>46219.381157407406</v>
      </c>
      <c r="Q982" s="2">
        <v>46219.381157407406</v>
      </c>
      <c r="R982" t="str">
        <f>"153000352"</f>
        <v>153000352</v>
      </c>
      <c r="S982" s="1">
        <v>48002</v>
      </c>
    </row>
    <row r="983" spans="1:19" x14ac:dyDescent="0.35">
      <c r="A983" t="s">
        <v>2182</v>
      </c>
      <c r="B983" t="s">
        <v>31</v>
      </c>
      <c r="C983" t="s">
        <v>2517</v>
      </c>
      <c r="D983" t="str">
        <f>"2501717731"</f>
        <v>2501717731</v>
      </c>
      <c r="E983" t="s">
        <v>1536</v>
      </c>
      <c r="F983" t="str">
        <f>"400411"</f>
        <v>400411</v>
      </c>
      <c r="G983" t="s">
        <v>1537</v>
      </c>
      <c r="H983" t="s">
        <v>2244</v>
      </c>
      <c r="I983" t="s">
        <v>41</v>
      </c>
      <c r="J983">
        <v>2</v>
      </c>
      <c r="K983">
        <v>8</v>
      </c>
      <c r="L983" t="str">
        <f>"520824"</f>
        <v>520824</v>
      </c>
      <c r="N983" t="s">
        <v>1856</v>
      </c>
      <c r="O983" s="2">
        <v>46219.380995370368</v>
      </c>
      <c r="P983" s="2">
        <v>46219.380995370368</v>
      </c>
      <c r="Q983" s="2">
        <v>46219.380995370368</v>
      </c>
      <c r="R983" t="str">
        <f>"153000352"</f>
        <v>153000352</v>
      </c>
      <c r="S983" s="1">
        <v>48002</v>
      </c>
    </row>
    <row r="984" spans="1:19" x14ac:dyDescent="0.35">
      <c r="A984" t="s">
        <v>2182</v>
      </c>
      <c r="B984" t="s">
        <v>31</v>
      </c>
      <c r="C984" t="s">
        <v>2519</v>
      </c>
      <c r="D984" t="str">
        <f t="shared" ref="D984:D989" si="177">"2501717720"</f>
        <v>2501717720</v>
      </c>
      <c r="E984" t="s">
        <v>1536</v>
      </c>
      <c r="F984" t="str">
        <f>"401047"</f>
        <v>401047</v>
      </c>
      <c r="G984" t="s">
        <v>1730</v>
      </c>
      <c r="H984" t="s">
        <v>2520</v>
      </c>
      <c r="I984" t="s">
        <v>41</v>
      </c>
      <c r="J984">
        <v>2</v>
      </c>
      <c r="K984">
        <v>2</v>
      </c>
      <c r="L984" t="str">
        <f t="shared" ref="L984:L989" si="178">"521059"</f>
        <v>521059</v>
      </c>
      <c r="N984" t="s">
        <v>2164</v>
      </c>
      <c r="O984" s="2">
        <v>46218.634340277778</v>
      </c>
      <c r="P984" s="2">
        <v>46218.634340277778</v>
      </c>
      <c r="Q984" s="2">
        <v>46218.634340277778</v>
      </c>
      <c r="R984" t="str">
        <f>"153000283"</f>
        <v>153000283</v>
      </c>
      <c r="S984" s="1">
        <v>47969</v>
      </c>
    </row>
    <row r="985" spans="1:19" x14ac:dyDescent="0.35">
      <c r="A985" t="s">
        <v>2182</v>
      </c>
      <c r="B985" t="s">
        <v>31</v>
      </c>
      <c r="C985" t="s">
        <v>2519</v>
      </c>
      <c r="D985" t="str">
        <f t="shared" si="177"/>
        <v>2501717720</v>
      </c>
      <c r="E985" t="s">
        <v>1536</v>
      </c>
      <c r="F985" t="str">
        <f>"400903"</f>
        <v>400903</v>
      </c>
      <c r="G985" t="s">
        <v>1712</v>
      </c>
      <c r="H985" t="s">
        <v>2262</v>
      </c>
      <c r="I985" t="s">
        <v>41</v>
      </c>
      <c r="J985">
        <v>2</v>
      </c>
      <c r="K985">
        <v>2</v>
      </c>
      <c r="L985" t="str">
        <f t="shared" si="178"/>
        <v>521059</v>
      </c>
      <c r="N985" t="s">
        <v>2164</v>
      </c>
      <c r="O985" s="2">
        <v>46218.634236111109</v>
      </c>
      <c r="P985" s="2">
        <v>46218.634236111109</v>
      </c>
      <c r="Q985" s="2">
        <v>46218.634236111109</v>
      </c>
      <c r="R985" t="str">
        <f>"600001029"</f>
        <v>600001029</v>
      </c>
      <c r="S985" s="1">
        <v>47869</v>
      </c>
    </row>
    <row r="986" spans="1:19" x14ac:dyDescent="0.35">
      <c r="A986" t="s">
        <v>2182</v>
      </c>
      <c r="B986" t="s">
        <v>31</v>
      </c>
      <c r="C986" t="s">
        <v>2519</v>
      </c>
      <c r="D986" t="str">
        <f t="shared" si="177"/>
        <v>2501717720</v>
      </c>
      <c r="E986" t="s">
        <v>1536</v>
      </c>
      <c r="F986" t="str">
        <f>"401149"</f>
        <v>401149</v>
      </c>
      <c r="G986" t="s">
        <v>1051</v>
      </c>
      <c r="H986" t="s">
        <v>2521</v>
      </c>
      <c r="I986" t="s">
        <v>41</v>
      </c>
      <c r="J986">
        <v>2</v>
      </c>
      <c r="K986">
        <v>2</v>
      </c>
      <c r="L986" t="str">
        <f t="shared" si="178"/>
        <v>521059</v>
      </c>
      <c r="N986" t="s">
        <v>2164</v>
      </c>
      <c r="O986" s="2">
        <v>46218.633981481478</v>
      </c>
      <c r="P986" s="2">
        <v>46218.633981481478</v>
      </c>
      <c r="Q986" s="2">
        <v>46218.633981481478</v>
      </c>
      <c r="R986" t="str">
        <f>"100010270"</f>
        <v>100010270</v>
      </c>
      <c r="S986" s="1">
        <v>47760</v>
      </c>
    </row>
    <row r="987" spans="1:19" x14ac:dyDescent="0.35">
      <c r="A987" t="s">
        <v>2182</v>
      </c>
      <c r="B987" t="s">
        <v>31</v>
      </c>
      <c r="C987" t="s">
        <v>2519</v>
      </c>
      <c r="D987" t="str">
        <f t="shared" si="177"/>
        <v>2501717720</v>
      </c>
      <c r="E987" t="s">
        <v>1536</v>
      </c>
      <c r="F987" t="str">
        <f>"400511"</f>
        <v>400511</v>
      </c>
      <c r="G987" t="s">
        <v>2360</v>
      </c>
      <c r="H987" t="s">
        <v>2368</v>
      </c>
      <c r="I987" t="s">
        <v>41</v>
      </c>
      <c r="J987">
        <v>2</v>
      </c>
      <c r="K987">
        <v>2</v>
      </c>
      <c r="L987" t="str">
        <f t="shared" si="178"/>
        <v>521059</v>
      </c>
      <c r="N987" t="s">
        <v>2164</v>
      </c>
      <c r="O987" s="2">
        <v>46218.63386574074</v>
      </c>
      <c r="P987" s="2">
        <v>46218.63386574074</v>
      </c>
      <c r="Q987" s="2">
        <v>46218.63386574074</v>
      </c>
      <c r="R987" t="str">
        <f>"100010032"</f>
        <v>100010032</v>
      </c>
      <c r="S987" s="1">
        <v>47761</v>
      </c>
    </row>
    <row r="988" spans="1:19" x14ac:dyDescent="0.35">
      <c r="A988" t="s">
        <v>2182</v>
      </c>
      <c r="B988" t="s">
        <v>31</v>
      </c>
      <c r="C988" t="s">
        <v>2519</v>
      </c>
      <c r="D988" t="str">
        <f t="shared" si="177"/>
        <v>2501717720</v>
      </c>
      <c r="E988" t="s">
        <v>1536</v>
      </c>
      <c r="F988" t="str">
        <f>"400441"</f>
        <v>400441</v>
      </c>
      <c r="G988" t="s">
        <v>65</v>
      </c>
      <c r="H988" t="s">
        <v>2369</v>
      </c>
      <c r="I988" t="s">
        <v>41</v>
      </c>
      <c r="J988">
        <v>3</v>
      </c>
      <c r="K988">
        <v>7</v>
      </c>
      <c r="L988" t="str">
        <f t="shared" si="178"/>
        <v>521059</v>
      </c>
      <c r="N988" t="s">
        <v>2164</v>
      </c>
      <c r="O988" s="2">
        <v>46218.633402777778</v>
      </c>
      <c r="P988" s="2">
        <v>46218.633402777778</v>
      </c>
      <c r="Q988" s="2">
        <v>46218.633402777778</v>
      </c>
      <c r="R988" t="str">
        <f>"153000268"</f>
        <v>153000268</v>
      </c>
      <c r="S988" s="1">
        <v>47964</v>
      </c>
    </row>
    <row r="989" spans="1:19" x14ac:dyDescent="0.35">
      <c r="A989" t="s">
        <v>2182</v>
      </c>
      <c r="B989" t="s">
        <v>31</v>
      </c>
      <c r="C989" t="s">
        <v>2519</v>
      </c>
      <c r="D989" t="str">
        <f t="shared" si="177"/>
        <v>2501717720</v>
      </c>
      <c r="E989" t="s">
        <v>1536</v>
      </c>
      <c r="F989" t="str">
        <f>"400441"</f>
        <v>400441</v>
      </c>
      <c r="G989" t="s">
        <v>65</v>
      </c>
      <c r="H989" t="s">
        <v>2522</v>
      </c>
      <c r="I989" t="s">
        <v>41</v>
      </c>
      <c r="J989">
        <v>4</v>
      </c>
      <c r="K989">
        <v>7</v>
      </c>
      <c r="L989" t="str">
        <f t="shared" si="178"/>
        <v>521059</v>
      </c>
      <c r="N989" t="s">
        <v>2164</v>
      </c>
      <c r="O989" s="2">
        <v>46218.633275462962</v>
      </c>
      <c r="P989" s="2">
        <v>46218.633275462962</v>
      </c>
      <c r="Q989" s="2">
        <v>46218.633275462962</v>
      </c>
      <c r="R989" t="str">
        <f>"153000268"</f>
        <v>153000268</v>
      </c>
      <c r="S989" s="1">
        <v>47964</v>
      </c>
    </row>
    <row r="990" spans="1:19" x14ac:dyDescent="0.35">
      <c r="A990" t="s">
        <v>2182</v>
      </c>
      <c r="B990" t="s">
        <v>31</v>
      </c>
      <c r="C990" t="s">
        <v>2523</v>
      </c>
      <c r="D990" t="str">
        <f>"2501717712"</f>
        <v>2501717712</v>
      </c>
      <c r="E990" t="s">
        <v>1536</v>
      </c>
      <c r="F990" t="str">
        <f t="shared" ref="F990:F998" si="179">"400405"</f>
        <v>400405</v>
      </c>
      <c r="G990" t="s">
        <v>519</v>
      </c>
      <c r="H990" t="s">
        <v>2317</v>
      </c>
      <c r="I990" t="s">
        <v>37</v>
      </c>
      <c r="J990">
        <v>15</v>
      </c>
      <c r="K990">
        <v>223</v>
      </c>
      <c r="L990" t="str">
        <f>"520605"</f>
        <v>520605</v>
      </c>
      <c r="N990" t="s">
        <v>1719</v>
      </c>
      <c r="O990" s="2">
        <v>46217.448680555557</v>
      </c>
      <c r="P990" s="2">
        <v>46217.448680555557</v>
      </c>
      <c r="Q990" s="2">
        <v>46217.448680555557</v>
      </c>
      <c r="R990" t="str">
        <f t="shared" ref="R990:R998" si="180">"153000440"</f>
        <v>153000440</v>
      </c>
      <c r="S990" s="1">
        <v>48036</v>
      </c>
    </row>
    <row r="991" spans="1:19" x14ac:dyDescent="0.35">
      <c r="A991" t="s">
        <v>2182</v>
      </c>
      <c r="B991" t="s">
        <v>31</v>
      </c>
      <c r="C991" t="s">
        <v>2523</v>
      </c>
      <c r="D991" t="str">
        <f>"2501717712"</f>
        <v>2501717712</v>
      </c>
      <c r="E991" t="s">
        <v>1536</v>
      </c>
      <c r="F991" t="str">
        <f t="shared" si="179"/>
        <v>400405</v>
      </c>
      <c r="G991" t="s">
        <v>519</v>
      </c>
      <c r="H991" t="s">
        <v>2524</v>
      </c>
      <c r="I991" t="s">
        <v>37</v>
      </c>
      <c r="J991">
        <v>52</v>
      </c>
      <c r="K991">
        <v>223</v>
      </c>
      <c r="L991" t="str">
        <f>"520605"</f>
        <v>520605</v>
      </c>
      <c r="N991" t="s">
        <v>1719</v>
      </c>
      <c r="O991" s="2">
        <v>46217.448564814818</v>
      </c>
      <c r="P991" s="2">
        <v>46217.448564814818</v>
      </c>
      <c r="Q991" s="2">
        <v>46217.448564814818</v>
      </c>
      <c r="R991" t="str">
        <f t="shared" si="180"/>
        <v>153000440</v>
      </c>
      <c r="S991" s="1">
        <v>48036</v>
      </c>
    </row>
    <row r="992" spans="1:19" x14ac:dyDescent="0.35">
      <c r="A992" t="s">
        <v>2182</v>
      </c>
      <c r="B992" t="s">
        <v>31</v>
      </c>
      <c r="C992" t="s">
        <v>2523</v>
      </c>
      <c r="D992" t="str">
        <f>"2501717712"</f>
        <v>2501717712</v>
      </c>
      <c r="E992" t="s">
        <v>1536</v>
      </c>
      <c r="F992" t="str">
        <f t="shared" si="179"/>
        <v>400405</v>
      </c>
      <c r="G992" t="s">
        <v>519</v>
      </c>
      <c r="H992" t="s">
        <v>2525</v>
      </c>
      <c r="I992" t="s">
        <v>37</v>
      </c>
      <c r="J992">
        <v>52</v>
      </c>
      <c r="K992">
        <v>223</v>
      </c>
      <c r="L992" t="str">
        <f>"520605"</f>
        <v>520605</v>
      </c>
      <c r="N992" t="s">
        <v>1719</v>
      </c>
      <c r="O992" s="2">
        <v>46217.448483796295</v>
      </c>
      <c r="P992" s="2">
        <v>46217.448483796295</v>
      </c>
      <c r="Q992" s="2">
        <v>46217.448483796295</v>
      </c>
      <c r="R992" t="str">
        <f t="shared" si="180"/>
        <v>153000440</v>
      </c>
      <c r="S992" s="1">
        <v>48036</v>
      </c>
    </row>
    <row r="993" spans="1:19" x14ac:dyDescent="0.35">
      <c r="A993" t="s">
        <v>2182</v>
      </c>
      <c r="B993" t="s">
        <v>31</v>
      </c>
      <c r="C993" t="s">
        <v>2523</v>
      </c>
      <c r="D993" t="str">
        <f>"2501717712"</f>
        <v>2501717712</v>
      </c>
      <c r="E993" t="s">
        <v>1536</v>
      </c>
      <c r="F993" t="str">
        <f t="shared" si="179"/>
        <v>400405</v>
      </c>
      <c r="G993" t="s">
        <v>519</v>
      </c>
      <c r="H993" t="s">
        <v>2310</v>
      </c>
      <c r="I993" t="s">
        <v>37</v>
      </c>
      <c r="J993">
        <v>52</v>
      </c>
      <c r="K993">
        <v>223</v>
      </c>
      <c r="L993" t="str">
        <f>"520605"</f>
        <v>520605</v>
      </c>
      <c r="N993" t="s">
        <v>1719</v>
      </c>
      <c r="O993" s="2">
        <v>46217.448391203703</v>
      </c>
      <c r="P993" s="2">
        <v>46217.44840277778</v>
      </c>
      <c r="Q993" s="2">
        <v>46217.44840277778</v>
      </c>
      <c r="R993" t="str">
        <f t="shared" si="180"/>
        <v>153000440</v>
      </c>
      <c r="S993" s="1">
        <v>48036</v>
      </c>
    </row>
    <row r="994" spans="1:19" x14ac:dyDescent="0.35">
      <c r="A994" t="s">
        <v>2182</v>
      </c>
      <c r="B994" t="s">
        <v>31</v>
      </c>
      <c r="C994" t="s">
        <v>2523</v>
      </c>
      <c r="D994" t="str">
        <f>"2501717712"</f>
        <v>2501717712</v>
      </c>
      <c r="E994" t="s">
        <v>1536</v>
      </c>
      <c r="F994" t="str">
        <f t="shared" si="179"/>
        <v>400405</v>
      </c>
      <c r="G994" t="s">
        <v>519</v>
      </c>
      <c r="H994" t="s">
        <v>2526</v>
      </c>
      <c r="I994" t="s">
        <v>37</v>
      </c>
      <c r="J994">
        <v>52</v>
      </c>
      <c r="K994">
        <v>223</v>
      </c>
      <c r="L994" t="str">
        <f>"520605"</f>
        <v>520605</v>
      </c>
      <c r="N994" t="s">
        <v>1719</v>
      </c>
      <c r="O994" s="2">
        <v>46217.448298611111</v>
      </c>
      <c r="P994" s="2">
        <v>46217.448298611111</v>
      </c>
      <c r="Q994" s="2">
        <v>46217.448298611111</v>
      </c>
      <c r="R994" t="str">
        <f t="shared" si="180"/>
        <v>153000440</v>
      </c>
      <c r="S994" s="1">
        <v>48036</v>
      </c>
    </row>
    <row r="995" spans="1:19" x14ac:dyDescent="0.35">
      <c r="A995" t="s">
        <v>2182</v>
      </c>
      <c r="B995" t="s">
        <v>31</v>
      </c>
      <c r="C995" t="s">
        <v>2527</v>
      </c>
      <c r="D995" t="str">
        <f>"2501717703"</f>
        <v>2501717703</v>
      </c>
      <c r="E995" t="s">
        <v>1536</v>
      </c>
      <c r="F995" t="str">
        <f t="shared" si="179"/>
        <v>400405</v>
      </c>
      <c r="G995" t="s">
        <v>519</v>
      </c>
      <c r="H995" t="s">
        <v>2377</v>
      </c>
      <c r="I995" t="s">
        <v>37</v>
      </c>
      <c r="J995">
        <v>52</v>
      </c>
      <c r="K995">
        <v>78</v>
      </c>
      <c r="L995" t="str">
        <f>"521161"</f>
        <v>521161</v>
      </c>
      <c r="N995" t="s">
        <v>1556</v>
      </c>
      <c r="O995" s="2">
        <v>46217.414479166669</v>
      </c>
      <c r="P995" s="2">
        <v>46217.414479166669</v>
      </c>
      <c r="Q995" s="2">
        <v>46217.414479166669</v>
      </c>
      <c r="R995" t="str">
        <f t="shared" si="180"/>
        <v>153000440</v>
      </c>
      <c r="S995" s="1">
        <v>48036</v>
      </c>
    </row>
    <row r="996" spans="1:19" x14ac:dyDescent="0.35">
      <c r="A996" t="s">
        <v>2182</v>
      </c>
      <c r="B996" t="s">
        <v>31</v>
      </c>
      <c r="C996" t="s">
        <v>2527</v>
      </c>
      <c r="D996" t="str">
        <f>"2501717703"</f>
        <v>2501717703</v>
      </c>
      <c r="E996" t="s">
        <v>1536</v>
      </c>
      <c r="F996" t="str">
        <f t="shared" si="179"/>
        <v>400405</v>
      </c>
      <c r="G996" t="s">
        <v>519</v>
      </c>
      <c r="H996" t="s">
        <v>2262</v>
      </c>
      <c r="I996" t="s">
        <v>37</v>
      </c>
      <c r="J996">
        <v>26</v>
      </c>
      <c r="K996">
        <v>78</v>
      </c>
      <c r="L996" t="str">
        <f>"521161"</f>
        <v>521161</v>
      </c>
      <c r="N996" t="s">
        <v>1556</v>
      </c>
      <c r="O996" s="2">
        <v>46217.4141087963</v>
      </c>
      <c r="P996" s="2">
        <v>46217.4141087963</v>
      </c>
      <c r="Q996" s="2">
        <v>46217.4141087963</v>
      </c>
      <c r="R996" t="str">
        <f t="shared" si="180"/>
        <v>153000440</v>
      </c>
      <c r="S996" s="1">
        <v>48036</v>
      </c>
    </row>
    <row r="997" spans="1:19" x14ac:dyDescent="0.35">
      <c r="A997" t="s">
        <v>2182</v>
      </c>
      <c r="B997" t="s">
        <v>31</v>
      </c>
      <c r="C997" t="s">
        <v>2528</v>
      </c>
      <c r="D997" t="str">
        <f>"2501717702"</f>
        <v>2501717702</v>
      </c>
      <c r="E997" t="s">
        <v>1536</v>
      </c>
      <c r="F997" t="str">
        <f t="shared" si="179"/>
        <v>400405</v>
      </c>
      <c r="G997" t="s">
        <v>519</v>
      </c>
      <c r="H997" t="s">
        <v>2262</v>
      </c>
      <c r="I997" t="s">
        <v>37</v>
      </c>
      <c r="J997">
        <v>26</v>
      </c>
      <c r="K997">
        <v>78</v>
      </c>
      <c r="L997" t="str">
        <f>"521161"</f>
        <v>521161</v>
      </c>
      <c r="N997" t="s">
        <v>1556</v>
      </c>
      <c r="O997" s="2">
        <v>46217.413506944446</v>
      </c>
      <c r="P997" s="2">
        <v>46217.413506944446</v>
      </c>
      <c r="Q997" s="2">
        <v>46217.413506944446</v>
      </c>
      <c r="R997" t="str">
        <f t="shared" si="180"/>
        <v>153000440</v>
      </c>
      <c r="S997" s="1">
        <v>48036</v>
      </c>
    </row>
    <row r="998" spans="1:19" x14ac:dyDescent="0.35">
      <c r="A998" t="s">
        <v>2182</v>
      </c>
      <c r="B998" t="s">
        <v>31</v>
      </c>
      <c r="C998" t="s">
        <v>2528</v>
      </c>
      <c r="D998" t="str">
        <f>"2501717702"</f>
        <v>2501717702</v>
      </c>
      <c r="E998" t="s">
        <v>1536</v>
      </c>
      <c r="F998" t="str">
        <f t="shared" si="179"/>
        <v>400405</v>
      </c>
      <c r="G998" t="s">
        <v>519</v>
      </c>
      <c r="H998" t="s">
        <v>2529</v>
      </c>
      <c r="I998" t="s">
        <v>37</v>
      </c>
      <c r="J998">
        <v>52</v>
      </c>
      <c r="K998">
        <v>78</v>
      </c>
      <c r="L998" t="str">
        <f>"521161"</f>
        <v>521161</v>
      </c>
      <c r="N998" t="s">
        <v>1556</v>
      </c>
      <c r="O998" s="2">
        <v>46217.413217592592</v>
      </c>
      <c r="P998" s="2">
        <v>46217.413217592592</v>
      </c>
      <c r="Q998" s="2">
        <v>46217.413217592592</v>
      </c>
      <c r="R998" t="str">
        <f t="shared" si="180"/>
        <v>153000440</v>
      </c>
      <c r="S998" s="1">
        <v>48036</v>
      </c>
    </row>
    <row r="999" spans="1:19" x14ac:dyDescent="0.35">
      <c r="A999" t="s">
        <v>2182</v>
      </c>
      <c r="B999" t="s">
        <v>31</v>
      </c>
      <c r="C999" t="s">
        <v>2530</v>
      </c>
      <c r="D999" t="str">
        <f>"2501717700"</f>
        <v>2501717700</v>
      </c>
      <c r="E999" t="s">
        <v>1536</v>
      </c>
      <c r="F999" t="str">
        <f>"400420"</f>
        <v>400420</v>
      </c>
      <c r="G999" t="s">
        <v>1661</v>
      </c>
      <c r="H999" t="s">
        <v>2228</v>
      </c>
      <c r="I999" t="s">
        <v>37</v>
      </c>
      <c r="J999">
        <v>52</v>
      </c>
      <c r="K999">
        <v>208</v>
      </c>
      <c r="L999" t="str">
        <f>"520605"</f>
        <v>520605</v>
      </c>
      <c r="N999" t="s">
        <v>1719</v>
      </c>
      <c r="O999" s="2">
        <v>46217.316689814812</v>
      </c>
      <c r="P999" s="2">
        <v>46217.316689814812</v>
      </c>
      <c r="Q999" s="2">
        <v>46217.316689814812</v>
      </c>
      <c r="R999" t="str">
        <f>"153000420"</f>
        <v>153000420</v>
      </c>
      <c r="S999" s="1">
        <v>48025</v>
      </c>
    </row>
    <row r="1000" spans="1:19" x14ac:dyDescent="0.35">
      <c r="A1000" t="s">
        <v>2182</v>
      </c>
      <c r="B1000" t="s">
        <v>31</v>
      </c>
      <c r="C1000" t="s">
        <v>2530</v>
      </c>
      <c r="D1000" t="str">
        <f>"2501717700"</f>
        <v>2501717700</v>
      </c>
      <c r="E1000" t="s">
        <v>1536</v>
      </c>
      <c r="F1000" t="str">
        <f>"400420"</f>
        <v>400420</v>
      </c>
      <c r="G1000" t="s">
        <v>1661</v>
      </c>
      <c r="H1000" t="s">
        <v>2290</v>
      </c>
      <c r="I1000" t="s">
        <v>37</v>
      </c>
      <c r="J1000">
        <v>52</v>
      </c>
      <c r="K1000">
        <v>208</v>
      </c>
      <c r="L1000" t="str">
        <f>"520605"</f>
        <v>520605</v>
      </c>
      <c r="N1000" t="s">
        <v>1719</v>
      </c>
      <c r="O1000" s="2">
        <v>46217.316493055558</v>
      </c>
      <c r="P1000" s="2">
        <v>46217.316493055558</v>
      </c>
      <c r="Q1000" s="2">
        <v>46217.316493055558</v>
      </c>
      <c r="R1000" t="str">
        <f>"153000420"</f>
        <v>153000420</v>
      </c>
      <c r="S1000" s="1">
        <v>48025</v>
      </c>
    </row>
    <row r="1001" spans="1:19" x14ac:dyDescent="0.35">
      <c r="A1001" t="s">
        <v>2182</v>
      </c>
      <c r="B1001" t="s">
        <v>31</v>
      </c>
      <c r="C1001" t="s">
        <v>2530</v>
      </c>
      <c r="D1001" t="str">
        <f>"2501717700"</f>
        <v>2501717700</v>
      </c>
      <c r="E1001" t="s">
        <v>1536</v>
      </c>
      <c r="F1001" t="str">
        <f>"400420"</f>
        <v>400420</v>
      </c>
      <c r="G1001" t="s">
        <v>1661</v>
      </c>
      <c r="H1001" t="s">
        <v>2291</v>
      </c>
      <c r="I1001" t="s">
        <v>37</v>
      </c>
      <c r="J1001">
        <v>52</v>
      </c>
      <c r="K1001">
        <v>208</v>
      </c>
      <c r="L1001" t="str">
        <f>"520605"</f>
        <v>520605</v>
      </c>
      <c r="N1001" t="s">
        <v>1719</v>
      </c>
      <c r="O1001" s="2">
        <v>46217.316319444442</v>
      </c>
      <c r="P1001" s="2">
        <v>46217.316319444442</v>
      </c>
      <c r="Q1001" s="2">
        <v>46217.316319444442</v>
      </c>
      <c r="R1001" t="str">
        <f>"153000420"</f>
        <v>153000420</v>
      </c>
      <c r="S1001" s="1">
        <v>48025</v>
      </c>
    </row>
    <row r="1002" spans="1:19" x14ac:dyDescent="0.35">
      <c r="A1002" t="s">
        <v>2182</v>
      </c>
      <c r="B1002" t="s">
        <v>31</v>
      </c>
      <c r="C1002" t="s">
        <v>2530</v>
      </c>
      <c r="D1002" t="str">
        <f>"2501717700"</f>
        <v>2501717700</v>
      </c>
      <c r="E1002" t="s">
        <v>1536</v>
      </c>
      <c r="F1002" t="str">
        <f>"400420"</f>
        <v>400420</v>
      </c>
      <c r="G1002" t="s">
        <v>1661</v>
      </c>
      <c r="H1002" t="s">
        <v>2526</v>
      </c>
      <c r="I1002" t="s">
        <v>37</v>
      </c>
      <c r="J1002">
        <v>52</v>
      </c>
      <c r="K1002">
        <v>208</v>
      </c>
      <c r="L1002" t="str">
        <f>"520605"</f>
        <v>520605</v>
      </c>
      <c r="N1002" t="s">
        <v>1719</v>
      </c>
      <c r="O1002" s="2">
        <v>46217.316180555557</v>
      </c>
      <c r="P1002" s="2">
        <v>46217.316180555557</v>
      </c>
      <c r="Q1002" s="2">
        <v>46217.316180555557</v>
      </c>
      <c r="R1002" t="str">
        <f>"153000420"</f>
        <v>153000420</v>
      </c>
      <c r="S1002" s="1">
        <v>48025</v>
      </c>
    </row>
    <row r="1003" spans="1:19" x14ac:dyDescent="0.35">
      <c r="A1003" t="s">
        <v>2182</v>
      </c>
      <c r="B1003" t="s">
        <v>31</v>
      </c>
      <c r="C1003" t="s">
        <v>2531</v>
      </c>
      <c r="D1003" t="str">
        <f t="shared" ref="D1003:D1015" si="181">"2501717706"</f>
        <v>2501717706</v>
      </c>
      <c r="E1003" t="s">
        <v>1536</v>
      </c>
      <c r="F1003" t="str">
        <f>"400426"</f>
        <v>400426</v>
      </c>
      <c r="G1003" t="s">
        <v>34</v>
      </c>
      <c r="H1003" t="s">
        <v>2427</v>
      </c>
      <c r="I1003" t="s">
        <v>37</v>
      </c>
      <c r="J1003">
        <v>22</v>
      </c>
      <c r="K1003">
        <v>100</v>
      </c>
      <c r="L1003" t="str">
        <f t="shared" ref="L1003:L1015" si="182">"521181"</f>
        <v>521181</v>
      </c>
      <c r="N1003" t="s">
        <v>1883</v>
      </c>
      <c r="O1003" s="2">
        <v>46217.321828703702</v>
      </c>
      <c r="P1003" s="2">
        <v>46217.321828703702</v>
      </c>
      <c r="Q1003" s="2">
        <v>46217.321828703702</v>
      </c>
      <c r="R1003" t="str">
        <f>"153000231"</f>
        <v>153000231</v>
      </c>
      <c r="S1003" s="1">
        <v>47944</v>
      </c>
    </row>
    <row r="1004" spans="1:19" x14ac:dyDescent="0.35">
      <c r="A1004" t="s">
        <v>2182</v>
      </c>
      <c r="B1004" t="s">
        <v>31</v>
      </c>
      <c r="C1004" t="s">
        <v>2531</v>
      </c>
      <c r="D1004" t="str">
        <f t="shared" si="181"/>
        <v>2501717706</v>
      </c>
      <c r="E1004" t="s">
        <v>1536</v>
      </c>
      <c r="F1004" t="str">
        <f>"400426"</f>
        <v>400426</v>
      </c>
      <c r="G1004" t="s">
        <v>34</v>
      </c>
      <c r="H1004" t="s">
        <v>2532</v>
      </c>
      <c r="I1004" t="s">
        <v>37</v>
      </c>
      <c r="J1004">
        <v>24</v>
      </c>
      <c r="K1004">
        <v>100</v>
      </c>
      <c r="L1004" t="str">
        <f t="shared" si="182"/>
        <v>521181</v>
      </c>
      <c r="N1004" t="s">
        <v>1883</v>
      </c>
      <c r="O1004" s="2">
        <v>46217.321435185186</v>
      </c>
      <c r="P1004" s="2">
        <v>46217.321435185186</v>
      </c>
      <c r="Q1004" s="2">
        <v>46217.321435185186</v>
      </c>
      <c r="R1004" t="str">
        <f>"153000231"</f>
        <v>153000231</v>
      </c>
      <c r="S1004" s="1">
        <v>47944</v>
      </c>
    </row>
    <row r="1005" spans="1:19" x14ac:dyDescent="0.35">
      <c r="A1005" t="s">
        <v>2182</v>
      </c>
      <c r="B1005" t="s">
        <v>31</v>
      </c>
      <c r="C1005" t="s">
        <v>2531</v>
      </c>
      <c r="D1005" t="str">
        <f t="shared" si="181"/>
        <v>2501717706</v>
      </c>
      <c r="E1005" t="s">
        <v>1536</v>
      </c>
      <c r="F1005" t="str">
        <f>"400426"</f>
        <v>400426</v>
      </c>
      <c r="G1005" t="s">
        <v>34</v>
      </c>
      <c r="H1005" t="s">
        <v>2319</v>
      </c>
      <c r="I1005" t="s">
        <v>37</v>
      </c>
      <c r="J1005">
        <v>24</v>
      </c>
      <c r="K1005">
        <v>100</v>
      </c>
      <c r="L1005" t="str">
        <f t="shared" si="182"/>
        <v>521181</v>
      </c>
      <c r="N1005" t="s">
        <v>1883</v>
      </c>
      <c r="O1005" s="2">
        <v>46217.321284722224</v>
      </c>
      <c r="P1005" s="2">
        <v>46217.321284722224</v>
      </c>
      <c r="Q1005" s="2">
        <v>46217.321284722224</v>
      </c>
      <c r="R1005" t="str">
        <f>"153000231"</f>
        <v>153000231</v>
      </c>
      <c r="S1005" s="1">
        <v>47944</v>
      </c>
    </row>
    <row r="1006" spans="1:19" x14ac:dyDescent="0.35">
      <c r="A1006" t="s">
        <v>2182</v>
      </c>
      <c r="B1006" t="s">
        <v>31</v>
      </c>
      <c r="C1006" t="s">
        <v>2531</v>
      </c>
      <c r="D1006" t="str">
        <f t="shared" si="181"/>
        <v>2501717706</v>
      </c>
      <c r="E1006" t="s">
        <v>1536</v>
      </c>
      <c r="F1006" t="str">
        <f>"400426"</f>
        <v>400426</v>
      </c>
      <c r="G1006" t="s">
        <v>34</v>
      </c>
      <c r="H1006" t="s">
        <v>2289</v>
      </c>
      <c r="I1006" t="s">
        <v>37</v>
      </c>
      <c r="J1006">
        <v>24</v>
      </c>
      <c r="K1006">
        <v>100</v>
      </c>
      <c r="L1006" t="str">
        <f t="shared" si="182"/>
        <v>521181</v>
      </c>
      <c r="N1006" t="s">
        <v>1883</v>
      </c>
      <c r="O1006" s="2">
        <v>46217.320983796293</v>
      </c>
      <c r="P1006" s="2">
        <v>46217.320983796293</v>
      </c>
      <c r="Q1006" s="2">
        <v>46217.320983796293</v>
      </c>
      <c r="R1006" t="str">
        <f>"153000231"</f>
        <v>153000231</v>
      </c>
      <c r="S1006" s="1">
        <v>47944</v>
      </c>
    </row>
    <row r="1007" spans="1:19" x14ac:dyDescent="0.35">
      <c r="A1007" t="s">
        <v>2182</v>
      </c>
      <c r="B1007" t="s">
        <v>31</v>
      </c>
      <c r="C1007" t="s">
        <v>2531</v>
      </c>
      <c r="D1007" t="str">
        <f t="shared" si="181"/>
        <v>2501717706</v>
      </c>
      <c r="E1007" t="s">
        <v>1536</v>
      </c>
      <c r="F1007" t="str">
        <f>"400426"</f>
        <v>400426</v>
      </c>
      <c r="G1007" t="s">
        <v>34</v>
      </c>
      <c r="H1007" t="s">
        <v>2393</v>
      </c>
      <c r="I1007" t="s">
        <v>37</v>
      </c>
      <c r="J1007">
        <v>6</v>
      </c>
      <c r="K1007">
        <v>100</v>
      </c>
      <c r="L1007" t="str">
        <f t="shared" si="182"/>
        <v>521181</v>
      </c>
      <c r="N1007" t="s">
        <v>1883</v>
      </c>
      <c r="O1007" s="2">
        <v>46217.320787037039</v>
      </c>
      <c r="P1007" s="2">
        <v>46217.320787037039</v>
      </c>
      <c r="Q1007" s="2">
        <v>46217.320787037039</v>
      </c>
      <c r="R1007" t="str">
        <f>"153000231"</f>
        <v>153000231</v>
      </c>
      <c r="S1007" s="1">
        <v>47944</v>
      </c>
    </row>
    <row r="1008" spans="1:19" x14ac:dyDescent="0.35">
      <c r="A1008" t="s">
        <v>2182</v>
      </c>
      <c r="B1008" t="s">
        <v>31</v>
      </c>
      <c r="C1008" t="s">
        <v>2531</v>
      </c>
      <c r="D1008" t="str">
        <f t="shared" si="181"/>
        <v>2501717706</v>
      </c>
      <c r="E1008" t="s">
        <v>1536</v>
      </c>
      <c r="F1008" t="str">
        <f>"400413"</f>
        <v>400413</v>
      </c>
      <c r="G1008" t="s">
        <v>1545</v>
      </c>
      <c r="H1008" t="s">
        <v>2448</v>
      </c>
      <c r="I1008" t="s">
        <v>37</v>
      </c>
      <c r="J1008">
        <v>14</v>
      </c>
      <c r="K1008">
        <v>100</v>
      </c>
      <c r="L1008" t="str">
        <f t="shared" si="182"/>
        <v>521181</v>
      </c>
      <c r="N1008" t="s">
        <v>1883</v>
      </c>
      <c r="O1008" s="2">
        <v>46217.320520833331</v>
      </c>
      <c r="P1008" s="2">
        <v>46217.320520833331</v>
      </c>
      <c r="Q1008" s="2">
        <v>46217.320520833331</v>
      </c>
      <c r="R1008" t="str">
        <f>"153000382"</f>
        <v>153000382</v>
      </c>
      <c r="S1008" s="1">
        <v>48009</v>
      </c>
    </row>
    <row r="1009" spans="1:19" x14ac:dyDescent="0.35">
      <c r="A1009" t="s">
        <v>2182</v>
      </c>
      <c r="B1009" t="s">
        <v>31</v>
      </c>
      <c r="C1009" t="s">
        <v>2531</v>
      </c>
      <c r="D1009" t="str">
        <f t="shared" si="181"/>
        <v>2501717706</v>
      </c>
      <c r="E1009" t="s">
        <v>1536</v>
      </c>
      <c r="F1009" t="str">
        <f>"400413"</f>
        <v>400413</v>
      </c>
      <c r="G1009" t="s">
        <v>1545</v>
      </c>
      <c r="H1009" t="s">
        <v>2533</v>
      </c>
      <c r="I1009" t="s">
        <v>37</v>
      </c>
      <c r="J1009">
        <v>24</v>
      </c>
      <c r="K1009">
        <v>100</v>
      </c>
      <c r="L1009" t="str">
        <f t="shared" si="182"/>
        <v>521181</v>
      </c>
      <c r="N1009" t="s">
        <v>1883</v>
      </c>
      <c r="O1009" s="2">
        <v>46217.320185185185</v>
      </c>
      <c r="P1009" s="2">
        <v>46217.320185185185</v>
      </c>
      <c r="Q1009" s="2">
        <v>46217.320185185185</v>
      </c>
      <c r="R1009" t="str">
        <f>"153000382"</f>
        <v>153000382</v>
      </c>
      <c r="S1009" s="1">
        <v>48009</v>
      </c>
    </row>
    <row r="1010" spans="1:19" x14ac:dyDescent="0.35">
      <c r="A1010" t="s">
        <v>2182</v>
      </c>
      <c r="B1010" t="s">
        <v>31</v>
      </c>
      <c r="C1010" t="s">
        <v>2531</v>
      </c>
      <c r="D1010" t="str">
        <f t="shared" si="181"/>
        <v>2501717706</v>
      </c>
      <c r="E1010" t="s">
        <v>1536</v>
      </c>
      <c r="F1010" t="str">
        <f>"400413"</f>
        <v>400413</v>
      </c>
      <c r="G1010" t="s">
        <v>1545</v>
      </c>
      <c r="H1010" t="s">
        <v>2534</v>
      </c>
      <c r="I1010" t="s">
        <v>37</v>
      </c>
      <c r="J1010">
        <v>24</v>
      </c>
      <c r="K1010">
        <v>100</v>
      </c>
      <c r="L1010" t="str">
        <f t="shared" si="182"/>
        <v>521181</v>
      </c>
      <c r="N1010" t="s">
        <v>1883</v>
      </c>
      <c r="O1010" s="2">
        <v>46217.3200462963</v>
      </c>
      <c r="P1010" s="2">
        <v>46217.3200462963</v>
      </c>
      <c r="Q1010" s="2">
        <v>46217.3200462963</v>
      </c>
      <c r="R1010" t="str">
        <f>"153000382"</f>
        <v>153000382</v>
      </c>
      <c r="S1010" s="1">
        <v>48009</v>
      </c>
    </row>
    <row r="1011" spans="1:19" x14ac:dyDescent="0.35">
      <c r="A1011" t="s">
        <v>2182</v>
      </c>
      <c r="B1011" t="s">
        <v>31</v>
      </c>
      <c r="C1011" t="s">
        <v>2531</v>
      </c>
      <c r="D1011" t="str">
        <f t="shared" si="181"/>
        <v>2501717706</v>
      </c>
      <c r="E1011" t="s">
        <v>1536</v>
      </c>
      <c r="F1011" t="str">
        <f>"400413"</f>
        <v>400413</v>
      </c>
      <c r="G1011" t="s">
        <v>1545</v>
      </c>
      <c r="H1011" t="s">
        <v>2535</v>
      </c>
      <c r="I1011" t="s">
        <v>37</v>
      </c>
      <c r="J1011">
        <v>24</v>
      </c>
      <c r="K1011">
        <v>100</v>
      </c>
      <c r="L1011" t="str">
        <f t="shared" si="182"/>
        <v>521181</v>
      </c>
      <c r="N1011" t="s">
        <v>1883</v>
      </c>
      <c r="O1011" s="2">
        <v>46217.319745370369</v>
      </c>
      <c r="P1011" s="2">
        <v>46217.319745370369</v>
      </c>
      <c r="Q1011" s="2">
        <v>46217.319745370369</v>
      </c>
      <c r="R1011" t="str">
        <f>"153000382"</f>
        <v>153000382</v>
      </c>
      <c r="S1011" s="1">
        <v>48009</v>
      </c>
    </row>
    <row r="1012" spans="1:19" x14ac:dyDescent="0.35">
      <c r="A1012" t="s">
        <v>2182</v>
      </c>
      <c r="B1012" t="s">
        <v>31</v>
      </c>
      <c r="C1012" t="s">
        <v>2531</v>
      </c>
      <c r="D1012" t="str">
        <f t="shared" si="181"/>
        <v>2501717706</v>
      </c>
      <c r="E1012" t="s">
        <v>1536</v>
      </c>
      <c r="F1012" t="str">
        <f>"400413"</f>
        <v>400413</v>
      </c>
      <c r="G1012" t="s">
        <v>1545</v>
      </c>
      <c r="H1012" t="s">
        <v>2536</v>
      </c>
      <c r="I1012" t="s">
        <v>37</v>
      </c>
      <c r="J1012">
        <v>14</v>
      </c>
      <c r="K1012">
        <v>100</v>
      </c>
      <c r="L1012" t="str">
        <f t="shared" si="182"/>
        <v>521181</v>
      </c>
      <c r="N1012" t="s">
        <v>1883</v>
      </c>
      <c r="O1012" s="2">
        <v>46217.318738425929</v>
      </c>
      <c r="P1012" s="2">
        <v>46217.318738425929</v>
      </c>
      <c r="Q1012" s="2">
        <v>46217.318738425929</v>
      </c>
      <c r="R1012" t="str">
        <f>"153000382"</f>
        <v>153000382</v>
      </c>
      <c r="S1012" s="1">
        <v>48009</v>
      </c>
    </row>
    <row r="1013" spans="1:19" x14ac:dyDescent="0.35">
      <c r="A1013" t="s">
        <v>2182</v>
      </c>
      <c r="B1013" t="s">
        <v>31</v>
      </c>
      <c r="C1013" t="s">
        <v>2531</v>
      </c>
      <c r="D1013" t="str">
        <f t="shared" si="181"/>
        <v>2501717706</v>
      </c>
      <c r="E1013" t="s">
        <v>1536</v>
      </c>
      <c r="F1013" t="str">
        <f>"400402"</f>
        <v>400402</v>
      </c>
      <c r="G1013" t="s">
        <v>1665</v>
      </c>
      <c r="H1013" t="s">
        <v>2383</v>
      </c>
      <c r="I1013" t="s">
        <v>37</v>
      </c>
      <c r="J1013">
        <v>4</v>
      </c>
      <c r="K1013">
        <v>80</v>
      </c>
      <c r="L1013" t="str">
        <f t="shared" si="182"/>
        <v>521181</v>
      </c>
      <c r="N1013" t="s">
        <v>1883</v>
      </c>
      <c r="O1013" s="2">
        <v>46217.318506944444</v>
      </c>
      <c r="P1013" s="2">
        <v>46217.318506944444</v>
      </c>
      <c r="Q1013" s="2">
        <v>46217.318506944444</v>
      </c>
      <c r="R1013" t="str">
        <f>"153000363"</f>
        <v>153000363</v>
      </c>
      <c r="S1013" s="1">
        <v>48006</v>
      </c>
    </row>
    <row r="1014" spans="1:19" x14ac:dyDescent="0.35">
      <c r="A1014" t="s">
        <v>2182</v>
      </c>
      <c r="B1014" t="s">
        <v>31</v>
      </c>
      <c r="C1014" t="s">
        <v>2531</v>
      </c>
      <c r="D1014" t="str">
        <f t="shared" si="181"/>
        <v>2501717706</v>
      </c>
      <c r="E1014" t="s">
        <v>1536</v>
      </c>
      <c r="F1014" t="str">
        <f>"400402"</f>
        <v>400402</v>
      </c>
      <c r="G1014" t="s">
        <v>1665</v>
      </c>
      <c r="H1014" t="s">
        <v>2352</v>
      </c>
      <c r="I1014" t="s">
        <v>37</v>
      </c>
      <c r="J1014">
        <v>52</v>
      </c>
      <c r="K1014">
        <v>80</v>
      </c>
      <c r="L1014" t="str">
        <f t="shared" si="182"/>
        <v>521181</v>
      </c>
      <c r="N1014" t="s">
        <v>1883</v>
      </c>
      <c r="O1014" s="2">
        <v>46217.318020833336</v>
      </c>
      <c r="P1014" s="2">
        <v>46217.318020833336</v>
      </c>
      <c r="Q1014" s="2">
        <v>46217.318020833336</v>
      </c>
      <c r="R1014" t="str">
        <f>"153000363"</f>
        <v>153000363</v>
      </c>
      <c r="S1014" s="1">
        <v>48006</v>
      </c>
    </row>
    <row r="1015" spans="1:19" x14ac:dyDescent="0.35">
      <c r="A1015" t="s">
        <v>2182</v>
      </c>
      <c r="B1015" t="s">
        <v>31</v>
      </c>
      <c r="C1015" t="s">
        <v>2531</v>
      </c>
      <c r="D1015" t="str">
        <f t="shared" si="181"/>
        <v>2501717706</v>
      </c>
      <c r="E1015" t="s">
        <v>1536</v>
      </c>
      <c r="F1015" t="str">
        <f>"400402"</f>
        <v>400402</v>
      </c>
      <c r="G1015" t="s">
        <v>1665</v>
      </c>
      <c r="H1015" t="s">
        <v>2537</v>
      </c>
      <c r="I1015" t="s">
        <v>37</v>
      </c>
      <c r="J1015">
        <v>24</v>
      </c>
      <c r="K1015">
        <v>80</v>
      </c>
      <c r="L1015" t="str">
        <f t="shared" si="182"/>
        <v>521181</v>
      </c>
      <c r="N1015" t="s">
        <v>1883</v>
      </c>
      <c r="O1015" s="2">
        <v>46217.317546296297</v>
      </c>
      <c r="P1015" s="2">
        <v>46217.317546296297</v>
      </c>
      <c r="Q1015" s="2">
        <v>46217.317546296297</v>
      </c>
      <c r="R1015" t="str">
        <f>"153000363"</f>
        <v>153000363</v>
      </c>
      <c r="S1015" s="1">
        <v>48006</v>
      </c>
    </row>
    <row r="1016" spans="1:19" x14ac:dyDescent="0.35">
      <c r="A1016" t="s">
        <v>2182</v>
      </c>
      <c r="B1016" t="s">
        <v>31</v>
      </c>
      <c r="C1016" t="s">
        <v>2538</v>
      </c>
      <c r="D1016" t="str">
        <f>"2501717697"</f>
        <v>2501717697</v>
      </c>
      <c r="E1016" t="s">
        <v>1536</v>
      </c>
      <c r="F1016" t="str">
        <f>"400630"</f>
        <v>400630</v>
      </c>
      <c r="G1016" t="s">
        <v>1742</v>
      </c>
      <c r="H1016" t="s">
        <v>2435</v>
      </c>
      <c r="I1016" t="s">
        <v>41</v>
      </c>
      <c r="J1016">
        <v>3</v>
      </c>
      <c r="K1016">
        <v>3</v>
      </c>
      <c r="L1016" t="str">
        <f>"521083"</f>
        <v>521083</v>
      </c>
      <c r="N1016" t="s">
        <v>1745</v>
      </c>
      <c r="O1016" s="2">
        <v>46216.316851851851</v>
      </c>
      <c r="P1016" s="2">
        <v>46216.316851851851</v>
      </c>
      <c r="Q1016" s="2">
        <v>46216.316851851851</v>
      </c>
      <c r="R1016" t="str">
        <f>"153000344"</f>
        <v>153000344</v>
      </c>
      <c r="S1016" s="1">
        <v>48001</v>
      </c>
    </row>
    <row r="1017" spans="1:19" x14ac:dyDescent="0.35">
      <c r="A1017" t="s">
        <v>2182</v>
      </c>
      <c r="B1017" t="s">
        <v>31</v>
      </c>
      <c r="C1017" t="s">
        <v>2539</v>
      </c>
      <c r="D1017" t="str">
        <f t="shared" ref="D1017:D1038" si="183">"2501717664"</f>
        <v>2501717664</v>
      </c>
      <c r="E1017" t="s">
        <v>1536</v>
      </c>
      <c r="F1017" t="str">
        <f t="shared" ref="F1017:F1026" si="184">"400441"</f>
        <v>400441</v>
      </c>
      <c r="G1017" t="s">
        <v>65</v>
      </c>
      <c r="H1017" t="s">
        <v>2540</v>
      </c>
      <c r="I1017" t="s">
        <v>41</v>
      </c>
      <c r="J1017">
        <v>4</v>
      </c>
      <c r="K1017">
        <v>12</v>
      </c>
      <c r="L1017" t="str">
        <f t="shared" ref="L1017:L1038" si="185">"520015"</f>
        <v>520015</v>
      </c>
      <c r="N1017" t="s">
        <v>2172</v>
      </c>
      <c r="O1017" s="2">
        <v>46212.317685185182</v>
      </c>
      <c r="P1017" s="2">
        <v>46212.317685185182</v>
      </c>
      <c r="Q1017" s="2">
        <v>46212.317685185182</v>
      </c>
      <c r="R1017" t="str">
        <f>"153000268"</f>
        <v>153000268</v>
      </c>
      <c r="S1017" s="1">
        <v>47964</v>
      </c>
    </row>
    <row r="1018" spans="1:19" x14ac:dyDescent="0.35">
      <c r="A1018" t="s">
        <v>2182</v>
      </c>
      <c r="B1018" t="s">
        <v>31</v>
      </c>
      <c r="C1018" t="s">
        <v>2539</v>
      </c>
      <c r="D1018" t="str">
        <f t="shared" si="183"/>
        <v>2501717664</v>
      </c>
      <c r="E1018" t="s">
        <v>1536</v>
      </c>
      <c r="F1018" t="str">
        <f t="shared" si="184"/>
        <v>400441</v>
      </c>
      <c r="G1018" t="s">
        <v>65</v>
      </c>
      <c r="H1018" t="s">
        <v>2541</v>
      </c>
      <c r="I1018" t="s">
        <v>41</v>
      </c>
      <c r="J1018">
        <v>4</v>
      </c>
      <c r="K1018">
        <v>20</v>
      </c>
      <c r="L1018" t="str">
        <f t="shared" si="185"/>
        <v>520015</v>
      </c>
      <c r="N1018" t="s">
        <v>2172</v>
      </c>
      <c r="O1018" s="2">
        <v>46212.317499999997</v>
      </c>
      <c r="P1018" s="2">
        <v>46212.317499999997</v>
      </c>
      <c r="Q1018" s="2">
        <v>46212.317499999997</v>
      </c>
      <c r="R1018" t="str">
        <f>"153000269"</f>
        <v>153000269</v>
      </c>
      <c r="S1018" s="1">
        <v>47964</v>
      </c>
    </row>
    <row r="1019" spans="1:19" x14ac:dyDescent="0.35">
      <c r="A1019" t="s">
        <v>2182</v>
      </c>
      <c r="B1019" t="s">
        <v>31</v>
      </c>
      <c r="C1019" t="s">
        <v>2539</v>
      </c>
      <c r="D1019" t="str">
        <f t="shared" si="183"/>
        <v>2501717664</v>
      </c>
      <c r="E1019" t="s">
        <v>1536</v>
      </c>
      <c r="F1019" t="str">
        <f t="shared" si="184"/>
        <v>400441</v>
      </c>
      <c r="G1019" t="s">
        <v>65</v>
      </c>
      <c r="H1019" t="s">
        <v>2542</v>
      </c>
      <c r="I1019" t="s">
        <v>41</v>
      </c>
      <c r="J1019">
        <v>4</v>
      </c>
      <c r="K1019">
        <v>20</v>
      </c>
      <c r="L1019" t="str">
        <f t="shared" si="185"/>
        <v>520015</v>
      </c>
      <c r="N1019" t="s">
        <v>2172</v>
      </c>
      <c r="O1019" s="2">
        <v>46212.317372685182</v>
      </c>
      <c r="P1019" s="2">
        <v>46212.317372685182</v>
      </c>
      <c r="Q1019" s="2">
        <v>46212.317372685182</v>
      </c>
      <c r="R1019" t="str">
        <f>"153000269"</f>
        <v>153000269</v>
      </c>
      <c r="S1019" s="1">
        <v>47964</v>
      </c>
    </row>
    <row r="1020" spans="1:19" x14ac:dyDescent="0.35">
      <c r="A1020" t="s">
        <v>2182</v>
      </c>
      <c r="B1020" t="s">
        <v>31</v>
      </c>
      <c r="C1020" t="s">
        <v>2539</v>
      </c>
      <c r="D1020" t="str">
        <f t="shared" si="183"/>
        <v>2501717664</v>
      </c>
      <c r="E1020" t="s">
        <v>1536</v>
      </c>
      <c r="F1020" t="str">
        <f t="shared" si="184"/>
        <v>400441</v>
      </c>
      <c r="G1020" t="s">
        <v>65</v>
      </c>
      <c r="H1020" t="s">
        <v>2543</v>
      </c>
      <c r="I1020" t="s">
        <v>41</v>
      </c>
      <c r="J1020">
        <v>4</v>
      </c>
      <c r="K1020">
        <v>12</v>
      </c>
      <c r="L1020" t="str">
        <f t="shared" si="185"/>
        <v>520015</v>
      </c>
      <c r="N1020" t="s">
        <v>2172</v>
      </c>
      <c r="O1020" s="2">
        <v>46212.317129629628</v>
      </c>
      <c r="P1020" s="2">
        <v>46212.317129629628</v>
      </c>
      <c r="Q1020" s="2">
        <v>46212.317129629628</v>
      </c>
      <c r="R1020" t="str">
        <f>"153000268"</f>
        <v>153000268</v>
      </c>
      <c r="S1020" s="1">
        <v>47964</v>
      </c>
    </row>
    <row r="1021" spans="1:19" x14ac:dyDescent="0.35">
      <c r="A1021" t="s">
        <v>2182</v>
      </c>
      <c r="B1021" t="s">
        <v>31</v>
      </c>
      <c r="C1021" t="s">
        <v>2539</v>
      </c>
      <c r="D1021" t="str">
        <f t="shared" si="183"/>
        <v>2501717664</v>
      </c>
      <c r="E1021" t="s">
        <v>1536</v>
      </c>
      <c r="F1021" t="str">
        <f t="shared" si="184"/>
        <v>400441</v>
      </c>
      <c r="G1021" t="s">
        <v>65</v>
      </c>
      <c r="H1021" t="s">
        <v>2544</v>
      </c>
      <c r="I1021" t="s">
        <v>41</v>
      </c>
      <c r="J1021">
        <v>4</v>
      </c>
      <c r="K1021">
        <v>20</v>
      </c>
      <c r="L1021" t="str">
        <f t="shared" si="185"/>
        <v>520015</v>
      </c>
      <c r="N1021" t="s">
        <v>2172</v>
      </c>
      <c r="O1021" s="2">
        <v>46212.316979166666</v>
      </c>
      <c r="P1021" s="2">
        <v>46212.316979166666</v>
      </c>
      <c r="Q1021" s="2">
        <v>46212.316979166666</v>
      </c>
      <c r="R1021" t="str">
        <f>"153000269"</f>
        <v>153000269</v>
      </c>
      <c r="S1021" s="1">
        <v>47964</v>
      </c>
    </row>
    <row r="1022" spans="1:19" x14ac:dyDescent="0.35">
      <c r="A1022" t="s">
        <v>2182</v>
      </c>
      <c r="B1022" t="s">
        <v>31</v>
      </c>
      <c r="C1022" t="s">
        <v>2539</v>
      </c>
      <c r="D1022" t="str">
        <f t="shared" si="183"/>
        <v>2501717664</v>
      </c>
      <c r="E1022" t="s">
        <v>1536</v>
      </c>
      <c r="F1022" t="str">
        <f t="shared" si="184"/>
        <v>400441</v>
      </c>
      <c r="G1022" t="s">
        <v>65</v>
      </c>
      <c r="H1022" t="s">
        <v>2545</v>
      </c>
      <c r="I1022" t="s">
        <v>41</v>
      </c>
      <c r="J1022">
        <v>4</v>
      </c>
      <c r="K1022">
        <v>20</v>
      </c>
      <c r="L1022" t="str">
        <f t="shared" si="185"/>
        <v>520015</v>
      </c>
      <c r="N1022" t="s">
        <v>2172</v>
      </c>
      <c r="O1022" s="2">
        <v>46212.316828703704</v>
      </c>
      <c r="P1022" s="2">
        <v>46212.316828703704</v>
      </c>
      <c r="Q1022" s="2">
        <v>46212.316828703704</v>
      </c>
      <c r="R1022" t="str">
        <f>"153000269"</f>
        <v>153000269</v>
      </c>
      <c r="S1022" s="1">
        <v>47964</v>
      </c>
    </row>
    <row r="1023" spans="1:19" x14ac:dyDescent="0.35">
      <c r="A1023" t="s">
        <v>2182</v>
      </c>
      <c r="B1023" t="s">
        <v>31</v>
      </c>
      <c r="C1023" t="s">
        <v>2539</v>
      </c>
      <c r="D1023" t="str">
        <f t="shared" si="183"/>
        <v>2501717664</v>
      </c>
      <c r="E1023" t="s">
        <v>1536</v>
      </c>
      <c r="F1023" t="str">
        <f t="shared" si="184"/>
        <v>400441</v>
      </c>
      <c r="G1023" t="s">
        <v>65</v>
      </c>
      <c r="H1023" t="s">
        <v>2546</v>
      </c>
      <c r="I1023" t="s">
        <v>41</v>
      </c>
      <c r="J1023">
        <v>4</v>
      </c>
      <c r="K1023">
        <v>12</v>
      </c>
      <c r="L1023" t="str">
        <f t="shared" si="185"/>
        <v>520015</v>
      </c>
      <c r="N1023" t="s">
        <v>2172</v>
      </c>
      <c r="O1023" s="2">
        <v>46212.316608796296</v>
      </c>
      <c r="P1023" s="2">
        <v>46212.316608796296</v>
      </c>
      <c r="Q1023" s="2">
        <v>46212.316608796296</v>
      </c>
      <c r="R1023" t="str">
        <f>"153000268"</f>
        <v>153000268</v>
      </c>
      <c r="S1023" s="1">
        <v>47964</v>
      </c>
    </row>
    <row r="1024" spans="1:19" x14ac:dyDescent="0.35">
      <c r="A1024" t="s">
        <v>2182</v>
      </c>
      <c r="B1024" t="s">
        <v>31</v>
      </c>
      <c r="C1024" t="s">
        <v>2539</v>
      </c>
      <c r="D1024" t="str">
        <f t="shared" si="183"/>
        <v>2501717664</v>
      </c>
      <c r="E1024" t="s">
        <v>1536</v>
      </c>
      <c r="F1024" t="str">
        <f t="shared" si="184"/>
        <v>400441</v>
      </c>
      <c r="G1024" t="s">
        <v>65</v>
      </c>
      <c r="H1024" t="s">
        <v>2547</v>
      </c>
      <c r="I1024" t="s">
        <v>41</v>
      </c>
      <c r="J1024">
        <v>4</v>
      </c>
      <c r="K1024">
        <v>20</v>
      </c>
      <c r="L1024" t="str">
        <f t="shared" si="185"/>
        <v>520015</v>
      </c>
      <c r="N1024" t="s">
        <v>2172</v>
      </c>
      <c r="O1024" s="2">
        <v>46212.316342592596</v>
      </c>
      <c r="P1024" s="2">
        <v>46212.316342592596</v>
      </c>
      <c r="Q1024" s="2">
        <v>46212.316342592596</v>
      </c>
      <c r="R1024" t="str">
        <f>"153000269"</f>
        <v>153000269</v>
      </c>
      <c r="S1024" s="1">
        <v>47964</v>
      </c>
    </row>
    <row r="1025" spans="1:19" x14ac:dyDescent="0.35">
      <c r="A1025" t="s">
        <v>2182</v>
      </c>
      <c r="B1025" t="s">
        <v>31</v>
      </c>
      <c r="C1025" t="s">
        <v>2539</v>
      </c>
      <c r="D1025" t="str">
        <f t="shared" si="183"/>
        <v>2501717664</v>
      </c>
      <c r="E1025" t="s">
        <v>1536</v>
      </c>
      <c r="F1025" t="str">
        <f t="shared" si="184"/>
        <v>400441</v>
      </c>
      <c r="G1025" t="s">
        <v>65</v>
      </c>
      <c r="H1025" t="s">
        <v>2435</v>
      </c>
      <c r="I1025" t="s">
        <v>41</v>
      </c>
      <c r="J1025">
        <v>4</v>
      </c>
      <c r="K1025">
        <v>8</v>
      </c>
      <c r="L1025" t="str">
        <f t="shared" si="185"/>
        <v>520015</v>
      </c>
      <c r="N1025" t="s">
        <v>2172</v>
      </c>
      <c r="O1025" s="2">
        <v>46212.315706018519</v>
      </c>
      <c r="P1025" s="2">
        <v>46212.315706018519</v>
      </c>
      <c r="Q1025" s="2">
        <v>46212.315706018519</v>
      </c>
      <c r="R1025" t="str">
        <f>"153000266"</f>
        <v>153000266</v>
      </c>
      <c r="S1025" s="1">
        <v>47962</v>
      </c>
    </row>
    <row r="1026" spans="1:19" x14ac:dyDescent="0.35">
      <c r="A1026" t="s">
        <v>2182</v>
      </c>
      <c r="B1026" t="s">
        <v>31</v>
      </c>
      <c r="C1026" t="s">
        <v>2539</v>
      </c>
      <c r="D1026" t="str">
        <f t="shared" si="183"/>
        <v>2501717664</v>
      </c>
      <c r="E1026" t="s">
        <v>1536</v>
      </c>
      <c r="F1026" t="str">
        <f t="shared" si="184"/>
        <v>400441</v>
      </c>
      <c r="G1026" t="s">
        <v>65</v>
      </c>
      <c r="H1026" t="s">
        <v>2548</v>
      </c>
      <c r="I1026" t="s">
        <v>41</v>
      </c>
      <c r="J1026">
        <v>4</v>
      </c>
      <c r="K1026">
        <v>8</v>
      </c>
      <c r="L1026" t="str">
        <f t="shared" si="185"/>
        <v>520015</v>
      </c>
      <c r="N1026" t="s">
        <v>2172</v>
      </c>
      <c r="O1026" s="2">
        <v>46212.314710648148</v>
      </c>
      <c r="P1026" s="2">
        <v>46212.314710648148</v>
      </c>
      <c r="Q1026" s="2">
        <v>46212.314710648148</v>
      </c>
      <c r="R1026" t="str">
        <f>"153000266"</f>
        <v>153000266</v>
      </c>
      <c r="S1026" s="1">
        <v>47962</v>
      </c>
    </row>
    <row r="1027" spans="1:19" x14ac:dyDescent="0.35">
      <c r="A1027" t="s">
        <v>2182</v>
      </c>
      <c r="B1027" t="s">
        <v>31</v>
      </c>
      <c r="C1027" t="s">
        <v>2539</v>
      </c>
      <c r="D1027" t="str">
        <f t="shared" si="183"/>
        <v>2501717664</v>
      </c>
      <c r="E1027" t="s">
        <v>1536</v>
      </c>
      <c r="F1027" t="str">
        <f>"400424"</f>
        <v>400424</v>
      </c>
      <c r="G1027" t="s">
        <v>1704</v>
      </c>
      <c r="H1027" t="s">
        <v>2549</v>
      </c>
      <c r="I1027" t="s">
        <v>41</v>
      </c>
      <c r="J1027">
        <v>4</v>
      </c>
      <c r="K1027">
        <v>16</v>
      </c>
      <c r="L1027" t="str">
        <f t="shared" si="185"/>
        <v>520015</v>
      </c>
      <c r="N1027" t="s">
        <v>2172</v>
      </c>
      <c r="O1027" s="2">
        <v>46212.314560185187</v>
      </c>
      <c r="P1027" s="2">
        <v>46212.314560185187</v>
      </c>
      <c r="Q1027" s="2">
        <v>46212.314560185187</v>
      </c>
      <c r="R1027" t="str">
        <f>"153000354"</f>
        <v>153000354</v>
      </c>
      <c r="S1027" s="1">
        <v>48004</v>
      </c>
    </row>
    <row r="1028" spans="1:19" x14ac:dyDescent="0.35">
      <c r="A1028" t="s">
        <v>2182</v>
      </c>
      <c r="B1028" t="s">
        <v>31</v>
      </c>
      <c r="C1028" t="s">
        <v>2539</v>
      </c>
      <c r="D1028" t="str">
        <f t="shared" si="183"/>
        <v>2501717664</v>
      </c>
      <c r="E1028" t="s">
        <v>1536</v>
      </c>
      <c r="F1028" t="str">
        <f>"400424"</f>
        <v>400424</v>
      </c>
      <c r="G1028" t="s">
        <v>1704</v>
      </c>
      <c r="H1028" t="s">
        <v>2550</v>
      </c>
      <c r="I1028" t="s">
        <v>41</v>
      </c>
      <c r="J1028">
        <v>4</v>
      </c>
      <c r="K1028">
        <v>16</v>
      </c>
      <c r="L1028" t="str">
        <f t="shared" si="185"/>
        <v>520015</v>
      </c>
      <c r="N1028" t="s">
        <v>2172</v>
      </c>
      <c r="O1028" s="2">
        <v>46212.31417824074</v>
      </c>
      <c r="P1028" s="2">
        <v>46212.31417824074</v>
      </c>
      <c r="Q1028" s="2">
        <v>46212.31417824074</v>
      </c>
      <c r="R1028" t="str">
        <f>"153000354"</f>
        <v>153000354</v>
      </c>
      <c r="S1028" s="1">
        <v>48004</v>
      </c>
    </row>
    <row r="1029" spans="1:19" x14ac:dyDescent="0.35">
      <c r="A1029" t="s">
        <v>2182</v>
      </c>
      <c r="B1029" t="s">
        <v>31</v>
      </c>
      <c r="C1029" t="s">
        <v>2539</v>
      </c>
      <c r="D1029" t="str">
        <f t="shared" si="183"/>
        <v>2501717664</v>
      </c>
      <c r="E1029" t="s">
        <v>1536</v>
      </c>
      <c r="F1029" t="str">
        <f>"400424"</f>
        <v>400424</v>
      </c>
      <c r="G1029" t="s">
        <v>1704</v>
      </c>
      <c r="H1029" t="s">
        <v>2551</v>
      </c>
      <c r="I1029" t="s">
        <v>41</v>
      </c>
      <c r="J1029">
        <v>4</v>
      </c>
      <c r="K1029">
        <v>16</v>
      </c>
      <c r="L1029" t="str">
        <f t="shared" si="185"/>
        <v>520015</v>
      </c>
      <c r="N1029" t="s">
        <v>2172</v>
      </c>
      <c r="O1029" s="2">
        <v>46212.313993055555</v>
      </c>
      <c r="P1029" s="2">
        <v>46212.313993055555</v>
      </c>
      <c r="Q1029" s="2">
        <v>46212.313993055555</v>
      </c>
      <c r="R1029" t="str">
        <f>"153000354"</f>
        <v>153000354</v>
      </c>
      <c r="S1029" s="1">
        <v>48004</v>
      </c>
    </row>
    <row r="1030" spans="1:19" x14ac:dyDescent="0.35">
      <c r="A1030" t="s">
        <v>2182</v>
      </c>
      <c r="B1030" t="s">
        <v>31</v>
      </c>
      <c r="C1030" t="s">
        <v>2539</v>
      </c>
      <c r="D1030" t="str">
        <f t="shared" si="183"/>
        <v>2501717664</v>
      </c>
      <c r="E1030" t="s">
        <v>1536</v>
      </c>
      <c r="F1030" t="str">
        <f>"400424"</f>
        <v>400424</v>
      </c>
      <c r="G1030" t="s">
        <v>1704</v>
      </c>
      <c r="H1030" t="s">
        <v>2552</v>
      </c>
      <c r="I1030" t="s">
        <v>41</v>
      </c>
      <c r="J1030">
        <v>4</v>
      </c>
      <c r="K1030">
        <v>16</v>
      </c>
      <c r="L1030" t="str">
        <f t="shared" si="185"/>
        <v>520015</v>
      </c>
      <c r="N1030" t="s">
        <v>2172</v>
      </c>
      <c r="O1030" s="2">
        <v>46212.313715277778</v>
      </c>
      <c r="P1030" s="2">
        <v>46212.313715277778</v>
      </c>
      <c r="Q1030" s="2">
        <v>46212.313715277778</v>
      </c>
      <c r="R1030" t="str">
        <f>"153000354"</f>
        <v>153000354</v>
      </c>
      <c r="S1030" s="1">
        <v>48004</v>
      </c>
    </row>
    <row r="1031" spans="1:19" x14ac:dyDescent="0.35">
      <c r="A1031" t="s">
        <v>2182</v>
      </c>
      <c r="B1031" t="s">
        <v>31</v>
      </c>
      <c r="C1031" t="s">
        <v>2539</v>
      </c>
      <c r="D1031" t="str">
        <f t="shared" si="183"/>
        <v>2501717664</v>
      </c>
      <c r="E1031" t="s">
        <v>1536</v>
      </c>
      <c r="F1031" t="str">
        <f t="shared" ref="F1031:F1036" si="186">"401047"</f>
        <v>401047</v>
      </c>
      <c r="G1031" t="s">
        <v>1730</v>
      </c>
      <c r="H1031" t="s">
        <v>2520</v>
      </c>
      <c r="I1031" t="s">
        <v>41</v>
      </c>
      <c r="J1031">
        <v>2</v>
      </c>
      <c r="K1031">
        <v>14</v>
      </c>
      <c r="L1031" t="str">
        <f t="shared" si="185"/>
        <v>520015</v>
      </c>
      <c r="N1031" t="s">
        <v>2172</v>
      </c>
      <c r="O1031" s="2">
        <v>46212.312905092593</v>
      </c>
      <c r="P1031" s="2">
        <v>46212.312905092593</v>
      </c>
      <c r="Q1031" s="2">
        <v>46212.312905092593</v>
      </c>
      <c r="R1031" t="str">
        <f>"153000283"</f>
        <v>153000283</v>
      </c>
      <c r="S1031" s="1">
        <v>47969</v>
      </c>
    </row>
    <row r="1032" spans="1:19" x14ac:dyDescent="0.35">
      <c r="A1032" t="s">
        <v>2182</v>
      </c>
      <c r="B1032" t="s">
        <v>31</v>
      </c>
      <c r="C1032" t="s">
        <v>2539</v>
      </c>
      <c r="D1032" t="str">
        <f t="shared" si="183"/>
        <v>2501717664</v>
      </c>
      <c r="E1032" t="s">
        <v>1536</v>
      </c>
      <c r="F1032" t="str">
        <f t="shared" si="186"/>
        <v>401047</v>
      </c>
      <c r="G1032" t="s">
        <v>1730</v>
      </c>
      <c r="H1032" t="s">
        <v>2553</v>
      </c>
      <c r="I1032" t="s">
        <v>41</v>
      </c>
      <c r="J1032">
        <v>4</v>
      </c>
      <c r="K1032">
        <v>14</v>
      </c>
      <c r="L1032" t="str">
        <f t="shared" si="185"/>
        <v>520015</v>
      </c>
      <c r="N1032" t="s">
        <v>2172</v>
      </c>
      <c r="O1032" s="2">
        <v>46212.312708333331</v>
      </c>
      <c r="P1032" s="2">
        <v>46212.312708333331</v>
      </c>
      <c r="Q1032" s="2">
        <v>46212.312708333331</v>
      </c>
      <c r="R1032" t="str">
        <f>"153000283"</f>
        <v>153000283</v>
      </c>
      <c r="S1032" s="1">
        <v>47969</v>
      </c>
    </row>
    <row r="1033" spans="1:19" x14ac:dyDescent="0.35">
      <c r="A1033" t="s">
        <v>2182</v>
      </c>
      <c r="B1033" t="s">
        <v>31</v>
      </c>
      <c r="C1033" t="s">
        <v>2539</v>
      </c>
      <c r="D1033" t="str">
        <f t="shared" si="183"/>
        <v>2501717664</v>
      </c>
      <c r="E1033" t="s">
        <v>1536</v>
      </c>
      <c r="F1033" t="str">
        <f t="shared" si="186"/>
        <v>401047</v>
      </c>
      <c r="G1033" t="s">
        <v>1730</v>
      </c>
      <c r="H1033" t="s">
        <v>2553</v>
      </c>
      <c r="I1033" t="s">
        <v>41</v>
      </c>
      <c r="J1033">
        <v>4</v>
      </c>
      <c r="K1033">
        <v>14</v>
      </c>
      <c r="L1033" t="str">
        <f t="shared" si="185"/>
        <v>520015</v>
      </c>
      <c r="N1033" t="s">
        <v>2172</v>
      </c>
      <c r="O1033" s="2">
        <v>46212.312557870369</v>
      </c>
      <c r="P1033" s="2">
        <v>46212.312557870369</v>
      </c>
      <c r="Q1033" s="2">
        <v>46212.312557870369</v>
      </c>
      <c r="R1033" t="str">
        <f>"153000283"</f>
        <v>153000283</v>
      </c>
      <c r="S1033" s="1">
        <v>47969</v>
      </c>
    </row>
    <row r="1034" spans="1:19" x14ac:dyDescent="0.35">
      <c r="A1034" t="s">
        <v>2182</v>
      </c>
      <c r="B1034" t="s">
        <v>31</v>
      </c>
      <c r="C1034" t="s">
        <v>2539</v>
      </c>
      <c r="D1034" t="str">
        <f t="shared" si="183"/>
        <v>2501717664</v>
      </c>
      <c r="E1034" t="s">
        <v>1536</v>
      </c>
      <c r="F1034" t="str">
        <f t="shared" si="186"/>
        <v>401047</v>
      </c>
      <c r="G1034" t="s">
        <v>1730</v>
      </c>
      <c r="H1034" t="s">
        <v>2553</v>
      </c>
      <c r="I1034" t="s">
        <v>41</v>
      </c>
      <c r="J1034">
        <v>4</v>
      </c>
      <c r="K1034">
        <v>14</v>
      </c>
      <c r="L1034" t="str">
        <f t="shared" si="185"/>
        <v>520015</v>
      </c>
      <c r="N1034" t="s">
        <v>2172</v>
      </c>
      <c r="O1034" s="2">
        <v>46212.311782407407</v>
      </c>
      <c r="P1034" s="2">
        <v>46212.311782407407</v>
      </c>
      <c r="Q1034" s="2">
        <v>46212.311782407407</v>
      </c>
      <c r="R1034" t="str">
        <f>"153000283"</f>
        <v>153000283</v>
      </c>
      <c r="S1034" s="1">
        <v>47969</v>
      </c>
    </row>
    <row r="1035" spans="1:19" x14ac:dyDescent="0.35">
      <c r="A1035" t="s">
        <v>2182</v>
      </c>
      <c r="B1035" t="s">
        <v>31</v>
      </c>
      <c r="C1035" t="s">
        <v>2539</v>
      </c>
      <c r="D1035" t="str">
        <f t="shared" si="183"/>
        <v>2501717664</v>
      </c>
      <c r="E1035" t="s">
        <v>1536</v>
      </c>
      <c r="F1035" t="str">
        <f t="shared" si="186"/>
        <v>401047</v>
      </c>
      <c r="G1035" t="s">
        <v>1730</v>
      </c>
      <c r="H1035" t="s">
        <v>2554</v>
      </c>
      <c r="I1035" t="s">
        <v>41</v>
      </c>
      <c r="J1035">
        <v>4</v>
      </c>
      <c r="K1035">
        <v>6</v>
      </c>
      <c r="L1035" t="str">
        <f t="shared" si="185"/>
        <v>520015</v>
      </c>
      <c r="N1035" t="s">
        <v>2172</v>
      </c>
      <c r="O1035" s="2">
        <v>46212.311400462961</v>
      </c>
      <c r="P1035" s="2">
        <v>46212.311400462961</v>
      </c>
      <c r="Q1035" s="2">
        <v>46212.311400462961</v>
      </c>
      <c r="R1035" t="str">
        <f>"153000217"</f>
        <v>153000217</v>
      </c>
      <c r="S1035" s="1">
        <v>47935</v>
      </c>
    </row>
    <row r="1036" spans="1:19" x14ac:dyDescent="0.35">
      <c r="A1036" t="s">
        <v>2182</v>
      </c>
      <c r="B1036" t="s">
        <v>31</v>
      </c>
      <c r="C1036" t="s">
        <v>2539</v>
      </c>
      <c r="D1036" t="str">
        <f t="shared" si="183"/>
        <v>2501717664</v>
      </c>
      <c r="E1036" t="s">
        <v>1536</v>
      </c>
      <c r="F1036" t="str">
        <f t="shared" si="186"/>
        <v>401047</v>
      </c>
      <c r="G1036" t="s">
        <v>1730</v>
      </c>
      <c r="H1036" t="s">
        <v>2520</v>
      </c>
      <c r="I1036" t="s">
        <v>41</v>
      </c>
      <c r="J1036">
        <v>2</v>
      </c>
      <c r="K1036">
        <v>6</v>
      </c>
      <c r="L1036" t="str">
        <f t="shared" si="185"/>
        <v>520015</v>
      </c>
      <c r="N1036" t="s">
        <v>2172</v>
      </c>
      <c r="O1036" s="2">
        <v>46212.311122685183</v>
      </c>
      <c r="P1036" s="2">
        <v>46212.311122685183</v>
      </c>
      <c r="Q1036" s="2">
        <v>46212.311122685183</v>
      </c>
      <c r="R1036" t="str">
        <f>"153000217"</f>
        <v>153000217</v>
      </c>
      <c r="S1036" s="1">
        <v>47935</v>
      </c>
    </row>
    <row r="1037" spans="1:19" x14ac:dyDescent="0.35">
      <c r="A1037" t="s">
        <v>2182</v>
      </c>
      <c r="B1037" t="s">
        <v>31</v>
      </c>
      <c r="C1037" t="s">
        <v>2539</v>
      </c>
      <c r="D1037" t="str">
        <f t="shared" si="183"/>
        <v>2501717664</v>
      </c>
      <c r="E1037" t="s">
        <v>1536</v>
      </c>
      <c r="F1037" t="str">
        <f>"400903"</f>
        <v>400903</v>
      </c>
      <c r="G1037" t="s">
        <v>1712</v>
      </c>
      <c r="H1037" t="s">
        <v>2555</v>
      </c>
      <c r="I1037" t="s">
        <v>41</v>
      </c>
      <c r="J1037">
        <v>4</v>
      </c>
      <c r="K1037">
        <v>8</v>
      </c>
      <c r="L1037" t="str">
        <f t="shared" si="185"/>
        <v>520015</v>
      </c>
      <c r="N1037" t="s">
        <v>2172</v>
      </c>
      <c r="O1037" s="2">
        <v>46212.310983796298</v>
      </c>
      <c r="P1037" s="2">
        <v>46212.310983796298</v>
      </c>
      <c r="Q1037" s="2">
        <v>46212.310983796298</v>
      </c>
      <c r="R1037" t="str">
        <f>"600001029"</f>
        <v>600001029</v>
      </c>
      <c r="S1037" s="1">
        <v>47869</v>
      </c>
    </row>
    <row r="1038" spans="1:19" x14ac:dyDescent="0.35">
      <c r="A1038" t="s">
        <v>2182</v>
      </c>
      <c r="B1038" t="s">
        <v>31</v>
      </c>
      <c r="C1038" t="s">
        <v>2539</v>
      </c>
      <c r="D1038" t="str">
        <f t="shared" si="183"/>
        <v>2501717664</v>
      </c>
      <c r="E1038" t="s">
        <v>1536</v>
      </c>
      <c r="F1038" t="str">
        <f>"400903"</f>
        <v>400903</v>
      </c>
      <c r="G1038" t="s">
        <v>1712</v>
      </c>
      <c r="H1038" t="s">
        <v>2555</v>
      </c>
      <c r="I1038" t="s">
        <v>41</v>
      </c>
      <c r="J1038">
        <v>4</v>
      </c>
      <c r="K1038">
        <v>8</v>
      </c>
      <c r="L1038" t="str">
        <f t="shared" si="185"/>
        <v>520015</v>
      </c>
      <c r="N1038" t="s">
        <v>2172</v>
      </c>
      <c r="O1038" s="2">
        <v>46212.31077546296</v>
      </c>
      <c r="P1038" s="2">
        <v>46212.31077546296</v>
      </c>
      <c r="Q1038" s="2">
        <v>46212.31077546296</v>
      </c>
      <c r="R1038" t="str">
        <f>"600001029"</f>
        <v>600001029</v>
      </c>
      <c r="S1038" s="1">
        <v>47869</v>
      </c>
    </row>
    <row r="1039" spans="1:19" x14ac:dyDescent="0.35">
      <c r="A1039" t="s">
        <v>2182</v>
      </c>
      <c r="B1039" t="s">
        <v>31</v>
      </c>
      <c r="C1039" t="s">
        <v>2556</v>
      </c>
      <c r="D1039" t="str">
        <f>"2501717643"</f>
        <v>2501717643</v>
      </c>
      <c r="E1039" t="s">
        <v>1536</v>
      </c>
      <c r="F1039" t="str">
        <f>"400417"</f>
        <v>400417</v>
      </c>
      <c r="G1039" t="s">
        <v>376</v>
      </c>
      <c r="H1039" t="s">
        <v>2557</v>
      </c>
      <c r="I1039" t="s">
        <v>378</v>
      </c>
      <c r="J1039">
        <v>16</v>
      </c>
      <c r="K1039">
        <v>40</v>
      </c>
      <c r="L1039" t="str">
        <f>"521076"</f>
        <v>521076</v>
      </c>
      <c r="N1039" t="s">
        <v>2174</v>
      </c>
      <c r="O1039" s="2">
        <v>46211.307210648149</v>
      </c>
      <c r="P1039" s="2">
        <v>46211.307210648149</v>
      </c>
      <c r="Q1039" s="2">
        <v>46211.307210648149</v>
      </c>
      <c r="R1039" t="str">
        <f>"153000398"</f>
        <v>153000398</v>
      </c>
      <c r="S1039" s="1">
        <v>48014</v>
      </c>
    </row>
    <row r="1040" spans="1:19" x14ac:dyDescent="0.35">
      <c r="A1040" t="s">
        <v>2182</v>
      </c>
      <c r="B1040" t="s">
        <v>31</v>
      </c>
      <c r="C1040" t="s">
        <v>2556</v>
      </c>
      <c r="D1040" t="str">
        <f>"2501717643"</f>
        <v>2501717643</v>
      </c>
      <c r="E1040" t="s">
        <v>1536</v>
      </c>
      <c r="F1040" t="str">
        <f>"400417"</f>
        <v>400417</v>
      </c>
      <c r="G1040" t="s">
        <v>376</v>
      </c>
      <c r="H1040" t="s">
        <v>2558</v>
      </c>
      <c r="I1040" t="s">
        <v>378</v>
      </c>
      <c r="J1040">
        <v>24</v>
      </c>
      <c r="K1040">
        <v>40</v>
      </c>
      <c r="L1040" t="str">
        <f>"521076"</f>
        <v>521076</v>
      </c>
      <c r="N1040" t="s">
        <v>2174</v>
      </c>
      <c r="O1040" s="2">
        <v>46211.30709490741</v>
      </c>
      <c r="P1040" s="2">
        <v>46211.30709490741</v>
      </c>
      <c r="Q1040" s="2">
        <v>46211.30709490741</v>
      </c>
      <c r="R1040" t="str">
        <f>"153000398"</f>
        <v>153000398</v>
      </c>
      <c r="S1040" s="1">
        <v>48014</v>
      </c>
    </row>
    <row r="1041" spans="1:19" x14ac:dyDescent="0.35">
      <c r="A1041" t="s">
        <v>2182</v>
      </c>
      <c r="B1041" t="s">
        <v>31</v>
      </c>
      <c r="C1041" t="s">
        <v>2559</v>
      </c>
      <c r="D1041" t="str">
        <f>"2501717638"</f>
        <v>2501717638</v>
      </c>
      <c r="E1041" t="s">
        <v>1536</v>
      </c>
      <c r="F1041" t="str">
        <f>"400390"</f>
        <v>400390</v>
      </c>
      <c r="G1041" t="s">
        <v>1706</v>
      </c>
      <c r="H1041" t="s">
        <v>2515</v>
      </c>
      <c r="I1041" t="s">
        <v>37</v>
      </c>
      <c r="J1041">
        <v>10</v>
      </c>
      <c r="K1041">
        <v>26</v>
      </c>
      <c r="L1041" t="str">
        <f>"521161"</f>
        <v>521161</v>
      </c>
      <c r="N1041" t="s">
        <v>1556</v>
      </c>
      <c r="O1041" s="2">
        <v>46211.306666666664</v>
      </c>
      <c r="P1041" s="2">
        <v>46211.306666666664</v>
      </c>
      <c r="Q1041" s="2">
        <v>46211.306666666664</v>
      </c>
      <c r="R1041" t="str">
        <f>"153000370"</f>
        <v>153000370</v>
      </c>
      <c r="S1041" s="1">
        <v>48007</v>
      </c>
    </row>
    <row r="1042" spans="1:19" x14ac:dyDescent="0.35">
      <c r="A1042" t="s">
        <v>2182</v>
      </c>
      <c r="B1042" t="s">
        <v>31</v>
      </c>
      <c r="C1042" t="s">
        <v>2559</v>
      </c>
      <c r="D1042" t="str">
        <f>"2501717638"</f>
        <v>2501717638</v>
      </c>
      <c r="E1042" t="s">
        <v>1536</v>
      </c>
      <c r="F1042" t="str">
        <f>"400390"</f>
        <v>400390</v>
      </c>
      <c r="G1042" t="s">
        <v>1706</v>
      </c>
      <c r="H1042" t="s">
        <v>2560</v>
      </c>
      <c r="I1042" t="s">
        <v>37</v>
      </c>
      <c r="J1042">
        <v>16</v>
      </c>
      <c r="K1042">
        <v>26</v>
      </c>
      <c r="L1042" t="str">
        <f>"521161"</f>
        <v>521161</v>
      </c>
      <c r="N1042" t="s">
        <v>1556</v>
      </c>
      <c r="O1042" s="2">
        <v>46211.306250000001</v>
      </c>
      <c r="P1042" s="2">
        <v>46211.306250000001</v>
      </c>
      <c r="Q1042" s="2">
        <v>46211.306250000001</v>
      </c>
      <c r="R1042" t="str">
        <f>"153000370"</f>
        <v>153000370</v>
      </c>
      <c r="S1042" s="1">
        <v>48007</v>
      </c>
    </row>
    <row r="1043" spans="1:19" x14ac:dyDescent="0.35">
      <c r="A1043" t="s">
        <v>2182</v>
      </c>
      <c r="B1043" t="s">
        <v>31</v>
      </c>
      <c r="C1043" t="s">
        <v>2561</v>
      </c>
      <c r="D1043" t="str">
        <f>"2501717623"</f>
        <v>2501717623</v>
      </c>
      <c r="E1043" t="s">
        <v>1536</v>
      </c>
      <c r="F1043" t="str">
        <f>"400409"</f>
        <v>400409</v>
      </c>
      <c r="G1043" t="s">
        <v>1888</v>
      </c>
      <c r="H1043" t="s">
        <v>2356</v>
      </c>
      <c r="I1043" t="s">
        <v>37</v>
      </c>
      <c r="J1043">
        <v>12</v>
      </c>
      <c r="K1043">
        <v>96</v>
      </c>
      <c r="L1043" t="str">
        <f>"521197"</f>
        <v>521197</v>
      </c>
      <c r="N1043" t="s">
        <v>1887</v>
      </c>
      <c r="O1043" s="2">
        <v>46210.389039351852</v>
      </c>
      <c r="P1043" s="2">
        <v>46210.389039351852</v>
      </c>
      <c r="Q1043" s="2">
        <v>46210.389039351852</v>
      </c>
      <c r="R1043" t="str">
        <f>"153000333"</f>
        <v>153000333</v>
      </c>
      <c r="S1043" s="1">
        <v>47986</v>
      </c>
    </row>
    <row r="1044" spans="1:19" x14ac:dyDescent="0.35">
      <c r="A1044" t="s">
        <v>2182</v>
      </c>
      <c r="B1044" t="s">
        <v>31</v>
      </c>
      <c r="C1044" t="s">
        <v>2561</v>
      </c>
      <c r="D1044" t="str">
        <f>"2501717623"</f>
        <v>2501717623</v>
      </c>
      <c r="E1044" t="s">
        <v>1536</v>
      </c>
      <c r="F1044" t="str">
        <f>"400409"</f>
        <v>400409</v>
      </c>
      <c r="G1044" t="s">
        <v>1888</v>
      </c>
      <c r="H1044" t="s">
        <v>2562</v>
      </c>
      <c r="I1044" t="s">
        <v>37</v>
      </c>
      <c r="J1044">
        <v>52</v>
      </c>
      <c r="K1044">
        <v>96</v>
      </c>
      <c r="L1044" t="str">
        <f>"521197"</f>
        <v>521197</v>
      </c>
      <c r="N1044" t="s">
        <v>1887</v>
      </c>
      <c r="O1044" s="2">
        <v>46210.388993055552</v>
      </c>
      <c r="P1044" s="2">
        <v>46210.388993055552</v>
      </c>
      <c r="Q1044" s="2">
        <v>46210.388993055552</v>
      </c>
      <c r="R1044" t="str">
        <f>"153000333"</f>
        <v>153000333</v>
      </c>
      <c r="S1044" s="1">
        <v>47986</v>
      </c>
    </row>
    <row r="1045" spans="1:19" x14ac:dyDescent="0.35">
      <c r="A1045" t="s">
        <v>2182</v>
      </c>
      <c r="B1045" t="s">
        <v>31</v>
      </c>
      <c r="C1045" t="s">
        <v>2561</v>
      </c>
      <c r="D1045" t="str">
        <f>"2501717623"</f>
        <v>2501717623</v>
      </c>
      <c r="E1045" t="s">
        <v>1536</v>
      </c>
      <c r="F1045" t="str">
        <f>"400409"</f>
        <v>400409</v>
      </c>
      <c r="G1045" t="s">
        <v>1888</v>
      </c>
      <c r="H1045" t="s">
        <v>2563</v>
      </c>
      <c r="I1045" t="s">
        <v>37</v>
      </c>
      <c r="J1045">
        <v>32</v>
      </c>
      <c r="K1045">
        <v>96</v>
      </c>
      <c r="L1045" t="str">
        <f>"521197"</f>
        <v>521197</v>
      </c>
      <c r="N1045" t="s">
        <v>1887</v>
      </c>
      <c r="O1045" s="2">
        <v>46210.388958333337</v>
      </c>
      <c r="P1045" s="2">
        <v>46210.388958333337</v>
      </c>
      <c r="Q1045" s="2">
        <v>46210.388958333337</v>
      </c>
      <c r="R1045" t="str">
        <f>"153000333"</f>
        <v>153000333</v>
      </c>
      <c r="S1045" s="1">
        <v>47986</v>
      </c>
    </row>
    <row r="1046" spans="1:19" x14ac:dyDescent="0.35">
      <c r="A1046" t="s">
        <v>2182</v>
      </c>
      <c r="B1046" t="s">
        <v>31</v>
      </c>
      <c r="C1046" t="s">
        <v>2564</v>
      </c>
      <c r="D1046" t="str">
        <f>"2501717615"</f>
        <v>2501717615</v>
      </c>
      <c r="E1046" t="s">
        <v>1536</v>
      </c>
      <c r="F1046" t="str">
        <f>"400405"</f>
        <v>400405</v>
      </c>
      <c r="G1046" t="s">
        <v>519</v>
      </c>
      <c r="H1046" t="s">
        <v>2565</v>
      </c>
      <c r="I1046" t="s">
        <v>37</v>
      </c>
      <c r="J1046">
        <v>43</v>
      </c>
      <c r="K1046">
        <v>89</v>
      </c>
      <c r="L1046" t="str">
        <f>"520605"</f>
        <v>520605</v>
      </c>
      <c r="N1046" t="s">
        <v>1719</v>
      </c>
      <c r="O1046" s="2">
        <v>46210.38858796296</v>
      </c>
      <c r="P1046" s="2">
        <v>46210.38858796296</v>
      </c>
      <c r="Q1046" s="2">
        <v>46210.38858796296</v>
      </c>
      <c r="R1046" t="str">
        <f>"153000359"</f>
        <v>153000359</v>
      </c>
      <c r="S1046" s="1">
        <v>48005</v>
      </c>
    </row>
    <row r="1047" spans="1:19" x14ac:dyDescent="0.35">
      <c r="A1047" t="s">
        <v>2182</v>
      </c>
      <c r="B1047" t="s">
        <v>31</v>
      </c>
      <c r="C1047" t="s">
        <v>2564</v>
      </c>
      <c r="D1047" t="str">
        <f>"2501717615"</f>
        <v>2501717615</v>
      </c>
      <c r="E1047" t="s">
        <v>1536</v>
      </c>
      <c r="F1047" t="str">
        <f>"400405"</f>
        <v>400405</v>
      </c>
      <c r="G1047" t="s">
        <v>519</v>
      </c>
      <c r="H1047" t="s">
        <v>2566</v>
      </c>
      <c r="I1047" t="s">
        <v>37</v>
      </c>
      <c r="J1047">
        <v>46</v>
      </c>
      <c r="K1047">
        <v>89</v>
      </c>
      <c r="L1047" t="str">
        <f>"520605"</f>
        <v>520605</v>
      </c>
      <c r="N1047" t="s">
        <v>1719</v>
      </c>
      <c r="O1047" s="2">
        <v>46210.38853009259</v>
      </c>
      <c r="P1047" s="2">
        <v>46210.38853009259</v>
      </c>
      <c r="Q1047" s="2">
        <v>46210.38853009259</v>
      </c>
      <c r="R1047" t="str">
        <f>"153000359"</f>
        <v>153000359</v>
      </c>
      <c r="S1047" s="1">
        <v>48005</v>
      </c>
    </row>
    <row r="1048" spans="1:19" x14ac:dyDescent="0.35">
      <c r="A1048" t="s">
        <v>2182</v>
      </c>
      <c r="B1048" t="s">
        <v>31</v>
      </c>
      <c r="C1048" t="s">
        <v>2567</v>
      </c>
      <c r="D1048" t="str">
        <f t="shared" ref="D1048:D1057" si="187">"2501717632"</f>
        <v>2501717632</v>
      </c>
      <c r="E1048" t="s">
        <v>1536</v>
      </c>
      <c r="F1048" t="str">
        <f t="shared" ref="F1048:F1057" si="188">"400766"</f>
        <v>400766</v>
      </c>
      <c r="G1048" t="s">
        <v>2568</v>
      </c>
      <c r="H1048" t="s">
        <v>2569</v>
      </c>
      <c r="I1048" t="s">
        <v>41</v>
      </c>
      <c r="J1048">
        <v>1</v>
      </c>
      <c r="K1048">
        <v>24</v>
      </c>
      <c r="L1048" t="str">
        <f t="shared" ref="L1048:L1057" si="189">"520818"</f>
        <v>520818</v>
      </c>
      <c r="N1048" t="s">
        <v>2175</v>
      </c>
      <c r="O1048" s="2">
        <v>46210.388275462959</v>
      </c>
      <c r="P1048" s="2">
        <v>46210.388275462959</v>
      </c>
      <c r="Q1048" s="2">
        <v>46210.388275462959</v>
      </c>
      <c r="R1048" t="str">
        <f>"153000250"</f>
        <v>153000250</v>
      </c>
      <c r="S1048" s="1">
        <v>47951</v>
      </c>
    </row>
    <row r="1049" spans="1:19" x14ac:dyDescent="0.35">
      <c r="A1049" t="s">
        <v>2182</v>
      </c>
      <c r="B1049" t="s">
        <v>31</v>
      </c>
      <c r="C1049" t="s">
        <v>2567</v>
      </c>
      <c r="D1049" t="str">
        <f t="shared" si="187"/>
        <v>2501717632</v>
      </c>
      <c r="E1049" t="s">
        <v>1536</v>
      </c>
      <c r="F1049" t="str">
        <f t="shared" si="188"/>
        <v>400766</v>
      </c>
      <c r="G1049" t="s">
        <v>2568</v>
      </c>
      <c r="H1049" t="s">
        <v>2570</v>
      </c>
      <c r="I1049" t="s">
        <v>41</v>
      </c>
      <c r="J1049">
        <v>2</v>
      </c>
      <c r="K1049">
        <v>2</v>
      </c>
      <c r="L1049" t="str">
        <f t="shared" si="189"/>
        <v>520818</v>
      </c>
      <c r="N1049" t="s">
        <v>2175</v>
      </c>
      <c r="O1049" s="2">
        <v>46210.388240740744</v>
      </c>
      <c r="P1049" s="2">
        <v>46210.388240740744</v>
      </c>
      <c r="Q1049" s="2">
        <v>46210.388240740744</v>
      </c>
      <c r="R1049" t="str">
        <f>"153000197"</f>
        <v>153000197</v>
      </c>
      <c r="S1049" s="1">
        <v>47951</v>
      </c>
    </row>
    <row r="1050" spans="1:19" x14ac:dyDescent="0.35">
      <c r="A1050" t="s">
        <v>2182</v>
      </c>
      <c r="B1050" t="s">
        <v>31</v>
      </c>
      <c r="C1050" t="s">
        <v>2567</v>
      </c>
      <c r="D1050" t="str">
        <f t="shared" si="187"/>
        <v>2501717632</v>
      </c>
      <c r="E1050" t="s">
        <v>1536</v>
      </c>
      <c r="F1050" t="str">
        <f t="shared" si="188"/>
        <v>400766</v>
      </c>
      <c r="G1050" t="s">
        <v>2568</v>
      </c>
      <c r="H1050" t="s">
        <v>2570</v>
      </c>
      <c r="I1050" t="s">
        <v>41</v>
      </c>
      <c r="J1050">
        <v>4</v>
      </c>
      <c r="K1050">
        <v>24</v>
      </c>
      <c r="L1050" t="str">
        <f t="shared" si="189"/>
        <v>520818</v>
      </c>
      <c r="N1050" t="s">
        <v>2175</v>
      </c>
      <c r="O1050" s="2">
        <v>46210.388206018521</v>
      </c>
      <c r="P1050" s="2">
        <v>46210.388206018521</v>
      </c>
      <c r="Q1050" s="2">
        <v>46210.388206018521</v>
      </c>
      <c r="R1050" t="str">
        <f>"153000250"</f>
        <v>153000250</v>
      </c>
      <c r="S1050" s="1">
        <v>47951</v>
      </c>
    </row>
    <row r="1051" spans="1:19" x14ac:dyDescent="0.35">
      <c r="A1051" t="s">
        <v>2182</v>
      </c>
      <c r="B1051" t="s">
        <v>31</v>
      </c>
      <c r="C1051" t="s">
        <v>2567</v>
      </c>
      <c r="D1051" t="str">
        <f t="shared" si="187"/>
        <v>2501717632</v>
      </c>
      <c r="E1051" t="s">
        <v>1536</v>
      </c>
      <c r="F1051" t="str">
        <f t="shared" si="188"/>
        <v>400766</v>
      </c>
      <c r="G1051" t="s">
        <v>2568</v>
      </c>
      <c r="H1051" t="s">
        <v>2570</v>
      </c>
      <c r="I1051" t="s">
        <v>41</v>
      </c>
      <c r="J1051">
        <v>4</v>
      </c>
      <c r="K1051">
        <v>4</v>
      </c>
      <c r="L1051" t="str">
        <f t="shared" si="189"/>
        <v>520818</v>
      </c>
      <c r="N1051" t="s">
        <v>2175</v>
      </c>
      <c r="O1051" s="2">
        <v>46210.388159722221</v>
      </c>
      <c r="P1051" s="2">
        <v>46210.388159722221</v>
      </c>
      <c r="Q1051" s="2">
        <v>46210.388159722221</v>
      </c>
      <c r="R1051" t="str">
        <f>"153000201"</f>
        <v>153000201</v>
      </c>
      <c r="S1051" s="1">
        <v>47951</v>
      </c>
    </row>
    <row r="1052" spans="1:19" x14ac:dyDescent="0.35">
      <c r="A1052" t="s">
        <v>2182</v>
      </c>
      <c r="B1052" t="s">
        <v>31</v>
      </c>
      <c r="C1052" t="s">
        <v>2567</v>
      </c>
      <c r="D1052" t="str">
        <f t="shared" si="187"/>
        <v>2501717632</v>
      </c>
      <c r="E1052" t="s">
        <v>1536</v>
      </c>
      <c r="F1052" t="str">
        <f t="shared" si="188"/>
        <v>400766</v>
      </c>
      <c r="G1052" t="s">
        <v>2568</v>
      </c>
      <c r="H1052" t="s">
        <v>2570</v>
      </c>
      <c r="I1052" t="s">
        <v>41</v>
      </c>
      <c r="J1052">
        <v>4</v>
      </c>
      <c r="K1052">
        <v>24</v>
      </c>
      <c r="L1052" t="str">
        <f t="shared" si="189"/>
        <v>520818</v>
      </c>
      <c r="N1052" t="s">
        <v>2175</v>
      </c>
      <c r="O1052" s="2">
        <v>46210.388101851851</v>
      </c>
      <c r="P1052" s="2">
        <v>46210.388101851851</v>
      </c>
      <c r="Q1052" s="2">
        <v>46210.388101851851</v>
      </c>
      <c r="R1052" t="str">
        <f>"153000250"</f>
        <v>153000250</v>
      </c>
      <c r="S1052" s="1">
        <v>47951</v>
      </c>
    </row>
    <row r="1053" spans="1:19" x14ac:dyDescent="0.35">
      <c r="A1053" t="s">
        <v>2182</v>
      </c>
      <c r="B1053" t="s">
        <v>31</v>
      </c>
      <c r="C1053" t="s">
        <v>2567</v>
      </c>
      <c r="D1053" t="str">
        <f t="shared" si="187"/>
        <v>2501717632</v>
      </c>
      <c r="E1053" t="s">
        <v>1536</v>
      </c>
      <c r="F1053" t="str">
        <f t="shared" si="188"/>
        <v>400766</v>
      </c>
      <c r="G1053" t="s">
        <v>2568</v>
      </c>
      <c r="H1053" t="s">
        <v>2571</v>
      </c>
      <c r="I1053" t="s">
        <v>41</v>
      </c>
      <c r="J1053">
        <v>4</v>
      </c>
      <c r="K1053">
        <v>4</v>
      </c>
      <c r="L1053" t="str">
        <f t="shared" si="189"/>
        <v>520818</v>
      </c>
      <c r="N1053" t="s">
        <v>2175</v>
      </c>
      <c r="O1053" s="2">
        <v>46210.388032407405</v>
      </c>
      <c r="P1053" s="2">
        <v>46210.388032407405</v>
      </c>
      <c r="Q1053" s="2">
        <v>46210.388032407405</v>
      </c>
      <c r="R1053" t="str">
        <f>"153000206"</f>
        <v>153000206</v>
      </c>
      <c r="S1053" s="1">
        <v>47951</v>
      </c>
    </row>
    <row r="1054" spans="1:19" x14ac:dyDescent="0.35">
      <c r="A1054" t="s">
        <v>2182</v>
      </c>
      <c r="B1054" t="s">
        <v>31</v>
      </c>
      <c r="C1054" t="s">
        <v>2567</v>
      </c>
      <c r="D1054" t="str">
        <f t="shared" si="187"/>
        <v>2501717632</v>
      </c>
      <c r="E1054" t="s">
        <v>1536</v>
      </c>
      <c r="F1054" t="str">
        <f t="shared" si="188"/>
        <v>400766</v>
      </c>
      <c r="G1054" t="s">
        <v>2568</v>
      </c>
      <c r="H1054" t="s">
        <v>2571</v>
      </c>
      <c r="I1054" t="s">
        <v>41</v>
      </c>
      <c r="J1054">
        <v>3</v>
      </c>
      <c r="K1054">
        <v>24</v>
      </c>
      <c r="L1054" t="str">
        <f t="shared" si="189"/>
        <v>520818</v>
      </c>
      <c r="N1054" t="s">
        <v>2175</v>
      </c>
      <c r="O1054" s="2">
        <v>46210.387986111113</v>
      </c>
      <c r="P1054" s="2">
        <v>46210.387986111113</v>
      </c>
      <c r="Q1054" s="2">
        <v>46210.387986111113</v>
      </c>
      <c r="R1054" t="str">
        <f>"153000250"</f>
        <v>153000250</v>
      </c>
      <c r="S1054" s="1">
        <v>47951</v>
      </c>
    </row>
    <row r="1055" spans="1:19" x14ac:dyDescent="0.35">
      <c r="A1055" t="s">
        <v>2182</v>
      </c>
      <c r="B1055" t="s">
        <v>31</v>
      </c>
      <c r="C1055" t="s">
        <v>2567</v>
      </c>
      <c r="D1055" t="str">
        <f t="shared" si="187"/>
        <v>2501717632</v>
      </c>
      <c r="E1055" t="s">
        <v>1536</v>
      </c>
      <c r="F1055" t="str">
        <f t="shared" si="188"/>
        <v>400766</v>
      </c>
      <c r="G1055" t="s">
        <v>2568</v>
      </c>
      <c r="H1055" t="s">
        <v>2571</v>
      </c>
      <c r="I1055" t="s">
        <v>41</v>
      </c>
      <c r="J1055">
        <v>4</v>
      </c>
      <c r="K1055">
        <v>24</v>
      </c>
      <c r="L1055" t="str">
        <f t="shared" si="189"/>
        <v>520818</v>
      </c>
      <c r="N1055" t="s">
        <v>2175</v>
      </c>
      <c r="O1055" s="2">
        <v>46210.387916666667</v>
      </c>
      <c r="P1055" s="2">
        <v>46210.387916666667</v>
      </c>
      <c r="Q1055" s="2">
        <v>46210.387916666667</v>
      </c>
      <c r="R1055" t="str">
        <f>"153000250"</f>
        <v>153000250</v>
      </c>
      <c r="S1055" s="1">
        <v>47951</v>
      </c>
    </row>
    <row r="1056" spans="1:19" x14ac:dyDescent="0.35">
      <c r="A1056" t="s">
        <v>2182</v>
      </c>
      <c r="B1056" t="s">
        <v>31</v>
      </c>
      <c r="C1056" t="s">
        <v>2567</v>
      </c>
      <c r="D1056" t="str">
        <f t="shared" si="187"/>
        <v>2501717632</v>
      </c>
      <c r="E1056" t="s">
        <v>1536</v>
      </c>
      <c r="F1056" t="str">
        <f t="shared" si="188"/>
        <v>400766</v>
      </c>
      <c r="G1056" t="s">
        <v>2568</v>
      </c>
      <c r="H1056" t="s">
        <v>2571</v>
      </c>
      <c r="I1056" t="s">
        <v>41</v>
      </c>
      <c r="J1056">
        <v>4</v>
      </c>
      <c r="K1056">
        <v>24</v>
      </c>
      <c r="L1056" t="str">
        <f t="shared" si="189"/>
        <v>520818</v>
      </c>
      <c r="N1056" t="s">
        <v>2175</v>
      </c>
      <c r="O1056" s="2">
        <v>46210.386886574073</v>
      </c>
      <c r="P1056" s="2">
        <v>46210.386886574073</v>
      </c>
      <c r="Q1056" s="2">
        <v>46210.386886574073</v>
      </c>
      <c r="R1056" t="str">
        <f>"153000250"</f>
        <v>153000250</v>
      </c>
      <c r="S1056" s="1">
        <v>47951</v>
      </c>
    </row>
    <row r="1057" spans="1:19" x14ac:dyDescent="0.35">
      <c r="A1057" t="s">
        <v>2182</v>
      </c>
      <c r="B1057" t="s">
        <v>31</v>
      </c>
      <c r="C1057" t="s">
        <v>2567</v>
      </c>
      <c r="D1057" t="str">
        <f t="shared" si="187"/>
        <v>2501717632</v>
      </c>
      <c r="E1057" t="s">
        <v>1536</v>
      </c>
      <c r="F1057" t="str">
        <f t="shared" si="188"/>
        <v>400766</v>
      </c>
      <c r="G1057" t="s">
        <v>2568</v>
      </c>
      <c r="H1057" t="s">
        <v>2571</v>
      </c>
      <c r="I1057" t="s">
        <v>41</v>
      </c>
      <c r="J1057">
        <v>4</v>
      </c>
      <c r="K1057">
        <v>24</v>
      </c>
      <c r="L1057" t="str">
        <f t="shared" si="189"/>
        <v>520818</v>
      </c>
      <c r="N1057" t="s">
        <v>2175</v>
      </c>
      <c r="O1057" s="2">
        <v>46210.386840277781</v>
      </c>
      <c r="P1057" s="2">
        <v>46210.386840277781</v>
      </c>
      <c r="Q1057" s="2">
        <v>46210.386840277781</v>
      </c>
      <c r="R1057" t="str">
        <f>"153000250"</f>
        <v>153000250</v>
      </c>
      <c r="S1057" s="1">
        <v>47951</v>
      </c>
    </row>
    <row r="1058" spans="1:19" x14ac:dyDescent="0.35">
      <c r="A1058" t="s">
        <v>2182</v>
      </c>
      <c r="B1058" t="s">
        <v>31</v>
      </c>
      <c r="C1058" t="s">
        <v>2572</v>
      </c>
      <c r="D1058" t="str">
        <f t="shared" ref="D1058:D1072" si="190">"2501717627"</f>
        <v>2501717627</v>
      </c>
      <c r="E1058" t="s">
        <v>1536</v>
      </c>
      <c r="F1058" t="str">
        <f>"400919"</f>
        <v>400919</v>
      </c>
      <c r="G1058" t="s">
        <v>2573</v>
      </c>
      <c r="H1058" t="s">
        <v>2574</v>
      </c>
      <c r="I1058" t="s">
        <v>37</v>
      </c>
      <c r="J1058">
        <v>3</v>
      </c>
      <c r="K1058">
        <v>40</v>
      </c>
      <c r="L1058" t="str">
        <f t="shared" ref="L1058:L1104" si="191">"521181"</f>
        <v>521181</v>
      </c>
      <c r="N1058" t="s">
        <v>1883</v>
      </c>
      <c r="O1058" s="2">
        <v>46210.33525462963</v>
      </c>
      <c r="P1058" s="2">
        <v>46210.33525462963</v>
      </c>
      <c r="Q1058" s="2">
        <v>46210.33525462963</v>
      </c>
      <c r="R1058" t="str">
        <f>"153000265"</f>
        <v>153000265</v>
      </c>
      <c r="S1058" s="1">
        <v>47964</v>
      </c>
    </row>
    <row r="1059" spans="1:19" x14ac:dyDescent="0.35">
      <c r="A1059" t="s">
        <v>2182</v>
      </c>
      <c r="B1059" t="s">
        <v>31</v>
      </c>
      <c r="C1059" t="s">
        <v>2572</v>
      </c>
      <c r="D1059" t="str">
        <f t="shared" si="190"/>
        <v>2501717627</v>
      </c>
      <c r="E1059" t="s">
        <v>1536</v>
      </c>
      <c r="F1059" t="str">
        <f>"400919"</f>
        <v>400919</v>
      </c>
      <c r="G1059" t="s">
        <v>2573</v>
      </c>
      <c r="H1059" t="s">
        <v>2276</v>
      </c>
      <c r="I1059" t="s">
        <v>37</v>
      </c>
      <c r="J1059">
        <v>24</v>
      </c>
      <c r="K1059">
        <v>40</v>
      </c>
      <c r="L1059" t="str">
        <f t="shared" si="191"/>
        <v>521181</v>
      </c>
      <c r="N1059" t="s">
        <v>1883</v>
      </c>
      <c r="O1059" s="2">
        <v>46210.335219907407</v>
      </c>
      <c r="P1059" s="2">
        <v>46210.335219907407</v>
      </c>
      <c r="Q1059" s="2">
        <v>46210.335219907407</v>
      </c>
      <c r="R1059" t="str">
        <f>"153000265"</f>
        <v>153000265</v>
      </c>
      <c r="S1059" s="1">
        <v>47964</v>
      </c>
    </row>
    <row r="1060" spans="1:19" x14ac:dyDescent="0.35">
      <c r="A1060" t="s">
        <v>2182</v>
      </c>
      <c r="B1060" t="s">
        <v>31</v>
      </c>
      <c r="C1060" t="s">
        <v>2572</v>
      </c>
      <c r="D1060" t="str">
        <f t="shared" si="190"/>
        <v>2501717627</v>
      </c>
      <c r="E1060" t="s">
        <v>1536</v>
      </c>
      <c r="F1060" t="str">
        <f>"400919"</f>
        <v>400919</v>
      </c>
      <c r="G1060" t="s">
        <v>2573</v>
      </c>
      <c r="H1060" t="s">
        <v>2575</v>
      </c>
      <c r="I1060" t="s">
        <v>37</v>
      </c>
      <c r="J1060">
        <v>13</v>
      </c>
      <c r="K1060">
        <v>40</v>
      </c>
      <c r="L1060" t="str">
        <f t="shared" si="191"/>
        <v>521181</v>
      </c>
      <c r="N1060" t="s">
        <v>1883</v>
      </c>
      <c r="O1060" s="2">
        <v>46210.335173611114</v>
      </c>
      <c r="P1060" s="2">
        <v>46210.335173611114</v>
      </c>
      <c r="Q1060" s="2">
        <v>46210.335173611114</v>
      </c>
      <c r="R1060" t="str">
        <f>"153000265"</f>
        <v>153000265</v>
      </c>
      <c r="S1060" s="1">
        <v>47964</v>
      </c>
    </row>
    <row r="1061" spans="1:19" x14ac:dyDescent="0.35">
      <c r="A1061" t="s">
        <v>2182</v>
      </c>
      <c r="B1061" t="s">
        <v>31</v>
      </c>
      <c r="C1061" t="s">
        <v>2572</v>
      </c>
      <c r="D1061" t="str">
        <f t="shared" si="190"/>
        <v>2501717627</v>
      </c>
      <c r="E1061" t="s">
        <v>1536</v>
      </c>
      <c r="F1061" t="str">
        <f>"400426"</f>
        <v>400426</v>
      </c>
      <c r="G1061" t="s">
        <v>34</v>
      </c>
      <c r="H1061" t="s">
        <v>2393</v>
      </c>
      <c r="I1061" t="s">
        <v>37</v>
      </c>
      <c r="J1061">
        <v>18</v>
      </c>
      <c r="K1061">
        <v>100</v>
      </c>
      <c r="L1061" t="str">
        <f t="shared" si="191"/>
        <v>521181</v>
      </c>
      <c r="N1061" t="s">
        <v>1883</v>
      </c>
      <c r="O1061" s="2">
        <v>46210.335138888891</v>
      </c>
      <c r="P1061" s="2">
        <v>46210.335138888891</v>
      </c>
      <c r="Q1061" s="2">
        <v>46210.335138888891</v>
      </c>
      <c r="R1061" t="str">
        <f>"153000231"</f>
        <v>153000231</v>
      </c>
      <c r="S1061" s="1">
        <v>47944</v>
      </c>
    </row>
    <row r="1062" spans="1:19" x14ac:dyDescent="0.35">
      <c r="A1062" t="s">
        <v>2182</v>
      </c>
      <c r="B1062" t="s">
        <v>31</v>
      </c>
      <c r="C1062" t="s">
        <v>2572</v>
      </c>
      <c r="D1062" t="str">
        <f t="shared" si="190"/>
        <v>2501717627</v>
      </c>
      <c r="E1062" t="s">
        <v>1536</v>
      </c>
      <c r="F1062" t="str">
        <f>"400426"</f>
        <v>400426</v>
      </c>
      <c r="G1062" t="s">
        <v>34</v>
      </c>
      <c r="H1062" t="s">
        <v>2576</v>
      </c>
      <c r="I1062" t="s">
        <v>37</v>
      </c>
      <c r="J1062">
        <v>24</v>
      </c>
      <c r="K1062">
        <v>100</v>
      </c>
      <c r="L1062" t="str">
        <f t="shared" si="191"/>
        <v>521181</v>
      </c>
      <c r="N1062" t="s">
        <v>1883</v>
      </c>
      <c r="O1062" s="2">
        <v>46210.335104166668</v>
      </c>
      <c r="P1062" s="2">
        <v>46210.335104166668</v>
      </c>
      <c r="Q1062" s="2">
        <v>46210.335104166668</v>
      </c>
      <c r="R1062" t="str">
        <f>"153000231"</f>
        <v>153000231</v>
      </c>
      <c r="S1062" s="1">
        <v>47944</v>
      </c>
    </row>
    <row r="1063" spans="1:19" x14ac:dyDescent="0.35">
      <c r="A1063" t="s">
        <v>2182</v>
      </c>
      <c r="B1063" t="s">
        <v>31</v>
      </c>
      <c r="C1063" t="s">
        <v>2572</v>
      </c>
      <c r="D1063" t="str">
        <f t="shared" si="190"/>
        <v>2501717627</v>
      </c>
      <c r="E1063" t="s">
        <v>1536</v>
      </c>
      <c r="F1063" t="str">
        <f>"400426"</f>
        <v>400426</v>
      </c>
      <c r="G1063" t="s">
        <v>34</v>
      </c>
      <c r="H1063" t="s">
        <v>2209</v>
      </c>
      <c r="I1063" t="s">
        <v>37</v>
      </c>
      <c r="J1063">
        <v>24</v>
      </c>
      <c r="K1063">
        <v>100</v>
      </c>
      <c r="L1063" t="str">
        <f t="shared" si="191"/>
        <v>521181</v>
      </c>
      <c r="N1063" t="s">
        <v>1883</v>
      </c>
      <c r="O1063" s="2">
        <v>46210.335069444445</v>
      </c>
      <c r="P1063" s="2">
        <v>46210.335069444445</v>
      </c>
      <c r="Q1063" s="2">
        <v>46210.335069444445</v>
      </c>
      <c r="R1063" t="str">
        <f>"153000231"</f>
        <v>153000231</v>
      </c>
      <c r="S1063" s="1">
        <v>47944</v>
      </c>
    </row>
    <row r="1064" spans="1:19" x14ac:dyDescent="0.35">
      <c r="A1064" t="s">
        <v>2182</v>
      </c>
      <c r="B1064" t="s">
        <v>31</v>
      </c>
      <c r="C1064" t="s">
        <v>2572</v>
      </c>
      <c r="D1064" t="str">
        <f t="shared" si="190"/>
        <v>2501717627</v>
      </c>
      <c r="E1064" t="s">
        <v>1536</v>
      </c>
      <c r="F1064" t="str">
        <f>"400426"</f>
        <v>400426</v>
      </c>
      <c r="G1064" t="s">
        <v>34</v>
      </c>
      <c r="H1064" t="s">
        <v>2577</v>
      </c>
      <c r="I1064" t="s">
        <v>37</v>
      </c>
      <c r="J1064">
        <v>24</v>
      </c>
      <c r="K1064">
        <v>100</v>
      </c>
      <c r="L1064" t="str">
        <f t="shared" si="191"/>
        <v>521181</v>
      </c>
      <c r="N1064" t="s">
        <v>1883</v>
      </c>
      <c r="O1064" s="2">
        <v>46210.335023148145</v>
      </c>
      <c r="P1064" s="2">
        <v>46210.335034722222</v>
      </c>
      <c r="Q1064" s="2">
        <v>46210.335034722222</v>
      </c>
      <c r="R1064" t="str">
        <f>"153000231"</f>
        <v>153000231</v>
      </c>
      <c r="S1064" s="1">
        <v>47944</v>
      </c>
    </row>
    <row r="1065" spans="1:19" x14ac:dyDescent="0.35">
      <c r="A1065" t="s">
        <v>2182</v>
      </c>
      <c r="B1065" t="s">
        <v>31</v>
      </c>
      <c r="C1065" t="s">
        <v>2572</v>
      </c>
      <c r="D1065" t="str">
        <f t="shared" si="190"/>
        <v>2501717627</v>
      </c>
      <c r="E1065" t="s">
        <v>1536</v>
      </c>
      <c r="F1065" t="str">
        <f>"400426"</f>
        <v>400426</v>
      </c>
      <c r="G1065" t="s">
        <v>34</v>
      </c>
      <c r="H1065" t="s">
        <v>2228</v>
      </c>
      <c r="I1065" t="s">
        <v>37</v>
      </c>
      <c r="J1065">
        <v>10</v>
      </c>
      <c r="K1065">
        <v>100</v>
      </c>
      <c r="L1065" t="str">
        <f t="shared" si="191"/>
        <v>521181</v>
      </c>
      <c r="N1065" t="s">
        <v>1883</v>
      </c>
      <c r="O1065" s="2">
        <v>46210.334988425922</v>
      </c>
      <c r="P1065" s="2">
        <v>46210.334988425922</v>
      </c>
      <c r="Q1065" s="2">
        <v>46210.334988425922</v>
      </c>
      <c r="R1065" t="str">
        <f>"153000231"</f>
        <v>153000231</v>
      </c>
      <c r="S1065" s="1">
        <v>47944</v>
      </c>
    </row>
    <row r="1066" spans="1:19" x14ac:dyDescent="0.35">
      <c r="A1066" t="s">
        <v>2182</v>
      </c>
      <c r="B1066" t="s">
        <v>31</v>
      </c>
      <c r="C1066" t="s">
        <v>2572</v>
      </c>
      <c r="D1066" t="str">
        <f t="shared" si="190"/>
        <v>2501717627</v>
      </c>
      <c r="E1066" t="s">
        <v>1536</v>
      </c>
      <c r="F1066" t="str">
        <f t="shared" ref="F1066:F1071" si="192">"400413"</f>
        <v>400413</v>
      </c>
      <c r="G1066" t="s">
        <v>1545</v>
      </c>
      <c r="H1066" t="s">
        <v>2536</v>
      </c>
      <c r="I1066" t="s">
        <v>37</v>
      </c>
      <c r="J1066">
        <v>10</v>
      </c>
      <c r="K1066">
        <v>106</v>
      </c>
      <c r="L1066" t="str">
        <f t="shared" si="191"/>
        <v>521181</v>
      </c>
      <c r="N1066" t="s">
        <v>1883</v>
      </c>
      <c r="O1066" s="2">
        <v>46210.334953703707</v>
      </c>
      <c r="P1066" s="2">
        <v>46210.334953703707</v>
      </c>
      <c r="Q1066" s="2">
        <v>46210.334953703707</v>
      </c>
      <c r="R1066" t="str">
        <f>"153000382"</f>
        <v>153000382</v>
      </c>
      <c r="S1066" s="1">
        <v>48009</v>
      </c>
    </row>
    <row r="1067" spans="1:19" x14ac:dyDescent="0.35">
      <c r="A1067" t="s">
        <v>2182</v>
      </c>
      <c r="B1067" t="s">
        <v>31</v>
      </c>
      <c r="C1067" t="s">
        <v>2572</v>
      </c>
      <c r="D1067" t="str">
        <f t="shared" si="190"/>
        <v>2501717627</v>
      </c>
      <c r="E1067" t="s">
        <v>1536</v>
      </c>
      <c r="F1067" t="str">
        <f t="shared" si="192"/>
        <v>400413</v>
      </c>
      <c r="G1067" t="s">
        <v>1545</v>
      </c>
      <c r="H1067" t="s">
        <v>2578</v>
      </c>
      <c r="I1067" t="s">
        <v>37</v>
      </c>
      <c r="J1067">
        <v>24</v>
      </c>
      <c r="K1067">
        <v>106</v>
      </c>
      <c r="L1067" t="str">
        <f t="shared" si="191"/>
        <v>521181</v>
      </c>
      <c r="N1067" t="s">
        <v>1883</v>
      </c>
      <c r="O1067" s="2">
        <v>46210.334918981483</v>
      </c>
      <c r="P1067" s="2">
        <v>46210.334918981483</v>
      </c>
      <c r="Q1067" s="2">
        <v>46210.334918981483</v>
      </c>
      <c r="R1067" t="str">
        <f>"153000382"</f>
        <v>153000382</v>
      </c>
      <c r="S1067" s="1">
        <v>48009</v>
      </c>
    </row>
    <row r="1068" spans="1:19" x14ac:dyDescent="0.35">
      <c r="A1068" t="s">
        <v>2182</v>
      </c>
      <c r="B1068" t="s">
        <v>31</v>
      </c>
      <c r="C1068" t="s">
        <v>2572</v>
      </c>
      <c r="D1068" t="str">
        <f t="shared" si="190"/>
        <v>2501717627</v>
      </c>
      <c r="E1068" t="s">
        <v>1536</v>
      </c>
      <c r="F1068" t="str">
        <f t="shared" si="192"/>
        <v>400413</v>
      </c>
      <c r="G1068" t="s">
        <v>1545</v>
      </c>
      <c r="H1068" t="s">
        <v>2579</v>
      </c>
      <c r="I1068" t="s">
        <v>37</v>
      </c>
      <c r="J1068">
        <v>24</v>
      </c>
      <c r="K1068">
        <v>106</v>
      </c>
      <c r="L1068" t="str">
        <f t="shared" si="191"/>
        <v>521181</v>
      </c>
      <c r="N1068" t="s">
        <v>1883</v>
      </c>
      <c r="O1068" s="2">
        <v>46210.334872685184</v>
      </c>
      <c r="P1068" s="2">
        <v>46210.334872685184</v>
      </c>
      <c r="Q1068" s="2">
        <v>46210.334872685184</v>
      </c>
      <c r="R1068" t="str">
        <f>"153000382"</f>
        <v>153000382</v>
      </c>
      <c r="S1068" s="1">
        <v>48009</v>
      </c>
    </row>
    <row r="1069" spans="1:19" x14ac:dyDescent="0.35">
      <c r="A1069" t="s">
        <v>2182</v>
      </c>
      <c r="B1069" t="s">
        <v>31</v>
      </c>
      <c r="C1069" t="s">
        <v>2572</v>
      </c>
      <c r="D1069" t="str">
        <f t="shared" si="190"/>
        <v>2501717627</v>
      </c>
      <c r="E1069" t="s">
        <v>1536</v>
      </c>
      <c r="F1069" t="str">
        <f t="shared" si="192"/>
        <v>400413</v>
      </c>
      <c r="G1069" t="s">
        <v>1545</v>
      </c>
      <c r="H1069" t="s">
        <v>2580</v>
      </c>
      <c r="I1069" t="s">
        <v>37</v>
      </c>
      <c r="J1069">
        <v>24</v>
      </c>
      <c r="K1069">
        <v>106</v>
      </c>
      <c r="L1069" t="str">
        <f t="shared" si="191"/>
        <v>521181</v>
      </c>
      <c r="N1069" t="s">
        <v>1883</v>
      </c>
      <c r="O1069" s="2">
        <v>46210.334837962961</v>
      </c>
      <c r="P1069" s="2">
        <v>46210.334837962961</v>
      </c>
      <c r="Q1069" s="2">
        <v>46210.334837962961</v>
      </c>
      <c r="R1069" t="str">
        <f>"153000382"</f>
        <v>153000382</v>
      </c>
      <c r="S1069" s="1">
        <v>48009</v>
      </c>
    </row>
    <row r="1070" spans="1:19" x14ac:dyDescent="0.35">
      <c r="A1070" t="s">
        <v>2182</v>
      </c>
      <c r="B1070" t="s">
        <v>31</v>
      </c>
      <c r="C1070" t="s">
        <v>2572</v>
      </c>
      <c r="D1070" t="str">
        <f t="shared" si="190"/>
        <v>2501717627</v>
      </c>
      <c r="E1070" t="s">
        <v>1536</v>
      </c>
      <c r="F1070" t="str">
        <f t="shared" si="192"/>
        <v>400413</v>
      </c>
      <c r="G1070" t="s">
        <v>1545</v>
      </c>
      <c r="H1070" t="s">
        <v>2581</v>
      </c>
      <c r="I1070" t="s">
        <v>37</v>
      </c>
      <c r="J1070">
        <v>24</v>
      </c>
      <c r="K1070">
        <v>106</v>
      </c>
      <c r="L1070" t="str">
        <f t="shared" si="191"/>
        <v>521181</v>
      </c>
      <c r="N1070" t="s">
        <v>1883</v>
      </c>
      <c r="O1070" s="2">
        <v>46210.334780092591</v>
      </c>
      <c r="P1070" s="2">
        <v>46210.334780092591</v>
      </c>
      <c r="Q1070" s="2">
        <v>46210.334780092591</v>
      </c>
      <c r="R1070" t="str">
        <f>"153000382"</f>
        <v>153000382</v>
      </c>
      <c r="S1070" s="1">
        <v>48009</v>
      </c>
    </row>
    <row r="1071" spans="1:19" x14ac:dyDescent="0.35">
      <c r="A1071" t="s">
        <v>2182</v>
      </c>
      <c r="B1071" t="s">
        <v>31</v>
      </c>
      <c r="C1071" t="s">
        <v>2572</v>
      </c>
      <c r="D1071" t="str">
        <f t="shared" si="190"/>
        <v>2501717627</v>
      </c>
      <c r="E1071" t="s">
        <v>1536</v>
      </c>
      <c r="F1071" t="str">
        <f t="shared" si="192"/>
        <v>400413</v>
      </c>
      <c r="G1071" t="s">
        <v>1545</v>
      </c>
      <c r="H1071" t="s">
        <v>2354</v>
      </c>
      <c r="I1071" t="s">
        <v>37</v>
      </c>
      <c r="J1071">
        <v>19</v>
      </c>
      <c r="K1071">
        <v>19</v>
      </c>
      <c r="L1071" t="str">
        <f t="shared" si="191"/>
        <v>521181</v>
      </c>
      <c r="N1071" t="s">
        <v>1883</v>
      </c>
      <c r="O1071" s="2">
        <v>46210.334745370368</v>
      </c>
      <c r="P1071" s="2">
        <v>46210.334745370368</v>
      </c>
      <c r="Q1071" s="2">
        <v>46210.334745370368</v>
      </c>
      <c r="R1071" t="str">
        <f>"153000287"</f>
        <v>153000287</v>
      </c>
      <c r="S1071" s="1">
        <v>47972</v>
      </c>
    </row>
    <row r="1072" spans="1:19" x14ac:dyDescent="0.35">
      <c r="A1072" t="s">
        <v>2182</v>
      </c>
      <c r="B1072" t="s">
        <v>31</v>
      </c>
      <c r="C1072" t="s">
        <v>2572</v>
      </c>
      <c r="D1072" t="str">
        <f t="shared" si="190"/>
        <v>2501717627</v>
      </c>
      <c r="E1072" t="s">
        <v>1536</v>
      </c>
      <c r="F1072" t="str">
        <f>"400477"</f>
        <v>400477</v>
      </c>
      <c r="G1072" t="s">
        <v>1842</v>
      </c>
      <c r="H1072" t="s">
        <v>2582</v>
      </c>
      <c r="I1072" t="s">
        <v>37</v>
      </c>
      <c r="J1072">
        <v>20</v>
      </c>
      <c r="K1072">
        <v>20</v>
      </c>
      <c r="L1072" t="str">
        <f t="shared" si="191"/>
        <v>521181</v>
      </c>
      <c r="N1072" t="s">
        <v>1883</v>
      </c>
      <c r="O1072" s="2">
        <v>46210.334675925929</v>
      </c>
      <c r="P1072" s="2">
        <v>46210.334675925929</v>
      </c>
      <c r="Q1072" s="2">
        <v>46210.334675925929</v>
      </c>
      <c r="R1072" t="str">
        <f>"100009584"</f>
        <v>100009584</v>
      </c>
      <c r="S1072" s="1">
        <v>47696</v>
      </c>
    </row>
    <row r="1073" spans="1:19" x14ac:dyDescent="0.35">
      <c r="A1073" t="s">
        <v>2182</v>
      </c>
      <c r="B1073" t="s">
        <v>31</v>
      </c>
      <c r="C1073" t="s">
        <v>2583</v>
      </c>
      <c r="D1073" t="str">
        <f t="shared" ref="D1073:D1097" si="193">"2501717593"</f>
        <v>2501717593</v>
      </c>
      <c r="E1073" t="s">
        <v>1536</v>
      </c>
      <c r="F1073" t="str">
        <f>"400390"</f>
        <v>400390</v>
      </c>
      <c r="G1073" t="s">
        <v>1706</v>
      </c>
      <c r="H1073" t="s">
        <v>2560</v>
      </c>
      <c r="I1073" t="s">
        <v>37</v>
      </c>
      <c r="J1073">
        <v>36</v>
      </c>
      <c r="K1073">
        <v>75</v>
      </c>
      <c r="L1073" t="str">
        <f t="shared" si="191"/>
        <v>521181</v>
      </c>
      <c r="N1073" t="s">
        <v>1883</v>
      </c>
      <c r="O1073" s="2">
        <v>46209.427847222221</v>
      </c>
      <c r="P1073" s="2">
        <v>46209.427847222221</v>
      </c>
      <c r="Q1073" s="2">
        <v>46209.427847222221</v>
      </c>
      <c r="R1073" t="str">
        <f>"153000370"</f>
        <v>153000370</v>
      </c>
      <c r="S1073" s="1">
        <v>48007</v>
      </c>
    </row>
    <row r="1074" spans="1:19" x14ac:dyDescent="0.35">
      <c r="A1074" t="s">
        <v>2182</v>
      </c>
      <c r="B1074" t="s">
        <v>31</v>
      </c>
      <c r="C1074" t="s">
        <v>2583</v>
      </c>
      <c r="D1074" t="str">
        <f t="shared" si="193"/>
        <v>2501717593</v>
      </c>
      <c r="E1074" t="s">
        <v>1536</v>
      </c>
      <c r="F1074" t="str">
        <f>"400390"</f>
        <v>400390</v>
      </c>
      <c r="G1074" t="s">
        <v>1706</v>
      </c>
      <c r="H1074" t="s">
        <v>2584</v>
      </c>
      <c r="I1074" t="s">
        <v>37</v>
      </c>
      <c r="J1074">
        <v>39</v>
      </c>
      <c r="K1074">
        <v>75</v>
      </c>
      <c r="L1074" t="str">
        <f t="shared" si="191"/>
        <v>521181</v>
      </c>
      <c r="N1074" t="s">
        <v>1883</v>
      </c>
      <c r="O1074" s="2">
        <v>46209.427777777775</v>
      </c>
      <c r="P1074" s="2">
        <v>46209.427777777775</v>
      </c>
      <c r="Q1074" s="2">
        <v>46209.427777777775</v>
      </c>
      <c r="R1074" t="str">
        <f>"153000370"</f>
        <v>153000370</v>
      </c>
      <c r="S1074" s="1">
        <v>48007</v>
      </c>
    </row>
    <row r="1075" spans="1:19" x14ac:dyDescent="0.35">
      <c r="A1075" t="s">
        <v>2182</v>
      </c>
      <c r="B1075" t="s">
        <v>31</v>
      </c>
      <c r="C1075" t="s">
        <v>2583</v>
      </c>
      <c r="D1075" t="str">
        <f t="shared" si="193"/>
        <v>2501717593</v>
      </c>
      <c r="E1075" t="s">
        <v>1536</v>
      </c>
      <c r="F1075" t="str">
        <f t="shared" ref="F1075:F1086" si="194">"400413"</f>
        <v>400413</v>
      </c>
      <c r="G1075" t="s">
        <v>1545</v>
      </c>
      <c r="H1075" t="s">
        <v>2354</v>
      </c>
      <c r="I1075" t="s">
        <v>37</v>
      </c>
      <c r="J1075">
        <v>5</v>
      </c>
      <c r="K1075">
        <v>250</v>
      </c>
      <c r="L1075" t="str">
        <f t="shared" si="191"/>
        <v>521181</v>
      </c>
      <c r="N1075" t="s">
        <v>1883</v>
      </c>
      <c r="O1075" s="2">
        <v>46209.427673611113</v>
      </c>
      <c r="P1075" s="2">
        <v>46209.427673611113</v>
      </c>
      <c r="Q1075" s="2">
        <v>46209.427673611113</v>
      </c>
      <c r="R1075" t="str">
        <f t="shared" ref="R1075:R1086" si="195">"153000287"</f>
        <v>153000287</v>
      </c>
      <c r="S1075" s="1">
        <v>47972</v>
      </c>
    </row>
    <row r="1076" spans="1:19" x14ac:dyDescent="0.35">
      <c r="A1076" t="s">
        <v>2182</v>
      </c>
      <c r="B1076" t="s">
        <v>31</v>
      </c>
      <c r="C1076" t="s">
        <v>2583</v>
      </c>
      <c r="D1076" t="str">
        <f t="shared" si="193"/>
        <v>2501717593</v>
      </c>
      <c r="E1076" t="s">
        <v>1536</v>
      </c>
      <c r="F1076" t="str">
        <f t="shared" si="194"/>
        <v>400413</v>
      </c>
      <c r="G1076" t="s">
        <v>1545</v>
      </c>
      <c r="H1076" t="s">
        <v>2585</v>
      </c>
      <c r="I1076" t="s">
        <v>37</v>
      </c>
      <c r="J1076">
        <v>24</v>
      </c>
      <c r="K1076">
        <v>250</v>
      </c>
      <c r="L1076" t="str">
        <f t="shared" si="191"/>
        <v>521181</v>
      </c>
      <c r="N1076" t="s">
        <v>1883</v>
      </c>
      <c r="O1076" s="2">
        <v>46209.427604166667</v>
      </c>
      <c r="P1076" s="2">
        <v>46209.427604166667</v>
      </c>
      <c r="Q1076" s="2">
        <v>46209.427604166667</v>
      </c>
      <c r="R1076" t="str">
        <f t="shared" si="195"/>
        <v>153000287</v>
      </c>
      <c r="S1076" s="1">
        <v>47972</v>
      </c>
    </row>
    <row r="1077" spans="1:19" x14ac:dyDescent="0.35">
      <c r="A1077" t="s">
        <v>2182</v>
      </c>
      <c r="B1077" t="s">
        <v>31</v>
      </c>
      <c r="C1077" t="s">
        <v>2583</v>
      </c>
      <c r="D1077" t="str">
        <f t="shared" si="193"/>
        <v>2501717593</v>
      </c>
      <c r="E1077" t="s">
        <v>1536</v>
      </c>
      <c r="F1077" t="str">
        <f t="shared" si="194"/>
        <v>400413</v>
      </c>
      <c r="G1077" t="s">
        <v>1545</v>
      </c>
      <c r="H1077" t="s">
        <v>2406</v>
      </c>
      <c r="I1077" t="s">
        <v>37</v>
      </c>
      <c r="J1077">
        <v>24</v>
      </c>
      <c r="K1077">
        <v>250</v>
      </c>
      <c r="L1077" t="str">
        <f t="shared" si="191"/>
        <v>521181</v>
      </c>
      <c r="N1077" t="s">
        <v>1883</v>
      </c>
      <c r="O1077" s="2">
        <v>46209.427488425928</v>
      </c>
      <c r="P1077" s="2">
        <v>46209.427488425928</v>
      </c>
      <c r="Q1077" s="2">
        <v>46209.427488425928</v>
      </c>
      <c r="R1077" t="str">
        <f t="shared" si="195"/>
        <v>153000287</v>
      </c>
      <c r="S1077" s="1">
        <v>47972</v>
      </c>
    </row>
    <row r="1078" spans="1:19" x14ac:dyDescent="0.35">
      <c r="A1078" t="s">
        <v>2182</v>
      </c>
      <c r="B1078" t="s">
        <v>31</v>
      </c>
      <c r="C1078" t="s">
        <v>2583</v>
      </c>
      <c r="D1078" t="str">
        <f t="shared" si="193"/>
        <v>2501717593</v>
      </c>
      <c r="E1078" t="s">
        <v>1536</v>
      </c>
      <c r="F1078" t="str">
        <f t="shared" si="194"/>
        <v>400413</v>
      </c>
      <c r="G1078" t="s">
        <v>1545</v>
      </c>
      <c r="H1078" t="s">
        <v>2586</v>
      </c>
      <c r="I1078" t="s">
        <v>37</v>
      </c>
      <c r="J1078">
        <v>24</v>
      </c>
      <c r="K1078">
        <v>250</v>
      </c>
      <c r="L1078" t="str">
        <f t="shared" si="191"/>
        <v>521181</v>
      </c>
      <c r="N1078" t="s">
        <v>1883</v>
      </c>
      <c r="O1078" s="2">
        <v>46209.427407407406</v>
      </c>
      <c r="P1078" s="2">
        <v>46209.427407407406</v>
      </c>
      <c r="Q1078" s="2">
        <v>46209.427407407406</v>
      </c>
      <c r="R1078" t="str">
        <f t="shared" si="195"/>
        <v>153000287</v>
      </c>
      <c r="S1078" s="1">
        <v>47972</v>
      </c>
    </row>
    <row r="1079" spans="1:19" x14ac:dyDescent="0.35">
      <c r="A1079" t="s">
        <v>2182</v>
      </c>
      <c r="B1079" t="s">
        <v>31</v>
      </c>
      <c r="C1079" t="s">
        <v>2583</v>
      </c>
      <c r="D1079" t="str">
        <f t="shared" si="193"/>
        <v>2501717593</v>
      </c>
      <c r="E1079" t="s">
        <v>1536</v>
      </c>
      <c r="F1079" t="str">
        <f t="shared" si="194"/>
        <v>400413</v>
      </c>
      <c r="G1079" t="s">
        <v>1545</v>
      </c>
      <c r="H1079" t="s">
        <v>2587</v>
      </c>
      <c r="I1079" t="s">
        <v>37</v>
      </c>
      <c r="J1079">
        <v>24</v>
      </c>
      <c r="K1079">
        <v>250</v>
      </c>
      <c r="L1079" t="str">
        <f t="shared" si="191"/>
        <v>521181</v>
      </c>
      <c r="N1079" t="s">
        <v>1883</v>
      </c>
      <c r="O1079" s="2">
        <v>46209.427372685182</v>
      </c>
      <c r="P1079" s="2">
        <v>46209.427372685182</v>
      </c>
      <c r="Q1079" s="2">
        <v>46209.427372685182</v>
      </c>
      <c r="R1079" t="str">
        <f t="shared" si="195"/>
        <v>153000287</v>
      </c>
      <c r="S1079" s="1">
        <v>47972</v>
      </c>
    </row>
    <row r="1080" spans="1:19" x14ac:dyDescent="0.35">
      <c r="A1080" t="s">
        <v>2182</v>
      </c>
      <c r="B1080" t="s">
        <v>31</v>
      </c>
      <c r="C1080" t="s">
        <v>2583</v>
      </c>
      <c r="D1080" t="str">
        <f t="shared" si="193"/>
        <v>2501717593</v>
      </c>
      <c r="E1080" t="s">
        <v>1536</v>
      </c>
      <c r="F1080" t="str">
        <f t="shared" si="194"/>
        <v>400413</v>
      </c>
      <c r="G1080" t="s">
        <v>1545</v>
      </c>
      <c r="H1080" t="s">
        <v>2588</v>
      </c>
      <c r="I1080" t="s">
        <v>37</v>
      </c>
      <c r="J1080">
        <v>24</v>
      </c>
      <c r="K1080">
        <v>250</v>
      </c>
      <c r="L1080" t="str">
        <f t="shared" si="191"/>
        <v>521181</v>
      </c>
      <c r="N1080" t="s">
        <v>1883</v>
      </c>
      <c r="O1080" s="2">
        <v>46209.427337962959</v>
      </c>
      <c r="P1080" s="2">
        <v>46209.427337962959</v>
      </c>
      <c r="Q1080" s="2">
        <v>46209.427337962959</v>
      </c>
      <c r="R1080" t="str">
        <f t="shared" si="195"/>
        <v>153000287</v>
      </c>
      <c r="S1080" s="1">
        <v>47972</v>
      </c>
    </row>
    <row r="1081" spans="1:19" x14ac:dyDescent="0.35">
      <c r="A1081" t="s">
        <v>2182</v>
      </c>
      <c r="B1081" t="s">
        <v>31</v>
      </c>
      <c r="C1081" t="s">
        <v>2583</v>
      </c>
      <c r="D1081" t="str">
        <f t="shared" si="193"/>
        <v>2501717593</v>
      </c>
      <c r="E1081" t="s">
        <v>1536</v>
      </c>
      <c r="F1081" t="str">
        <f t="shared" si="194"/>
        <v>400413</v>
      </c>
      <c r="G1081" t="s">
        <v>1545</v>
      </c>
      <c r="H1081" t="s">
        <v>2589</v>
      </c>
      <c r="I1081" t="s">
        <v>37</v>
      </c>
      <c r="J1081">
        <v>24</v>
      </c>
      <c r="K1081">
        <v>250</v>
      </c>
      <c r="L1081" t="str">
        <f t="shared" si="191"/>
        <v>521181</v>
      </c>
      <c r="N1081" t="s">
        <v>1883</v>
      </c>
      <c r="O1081" s="2">
        <v>46209.427303240744</v>
      </c>
      <c r="P1081" s="2">
        <v>46209.427303240744</v>
      </c>
      <c r="Q1081" s="2">
        <v>46209.427303240744</v>
      </c>
      <c r="R1081" t="str">
        <f t="shared" si="195"/>
        <v>153000287</v>
      </c>
      <c r="S1081" s="1">
        <v>47972</v>
      </c>
    </row>
    <row r="1082" spans="1:19" x14ac:dyDescent="0.35">
      <c r="A1082" t="s">
        <v>2182</v>
      </c>
      <c r="B1082" t="s">
        <v>31</v>
      </c>
      <c r="C1082" t="s">
        <v>2583</v>
      </c>
      <c r="D1082" t="str">
        <f t="shared" si="193"/>
        <v>2501717593</v>
      </c>
      <c r="E1082" t="s">
        <v>1536</v>
      </c>
      <c r="F1082" t="str">
        <f t="shared" si="194"/>
        <v>400413</v>
      </c>
      <c r="G1082" t="s">
        <v>1545</v>
      </c>
      <c r="H1082" t="s">
        <v>2590</v>
      </c>
      <c r="I1082" t="s">
        <v>37</v>
      </c>
      <c r="J1082">
        <v>24</v>
      </c>
      <c r="K1082">
        <v>250</v>
      </c>
      <c r="L1082" t="str">
        <f t="shared" si="191"/>
        <v>521181</v>
      </c>
      <c r="N1082" t="s">
        <v>1883</v>
      </c>
      <c r="O1082" s="2">
        <v>46209.427268518521</v>
      </c>
      <c r="P1082" s="2">
        <v>46209.427268518521</v>
      </c>
      <c r="Q1082" s="2">
        <v>46209.427268518521</v>
      </c>
      <c r="R1082" t="str">
        <f t="shared" si="195"/>
        <v>153000287</v>
      </c>
      <c r="S1082" s="1">
        <v>47972</v>
      </c>
    </row>
    <row r="1083" spans="1:19" x14ac:dyDescent="0.35">
      <c r="A1083" t="s">
        <v>2182</v>
      </c>
      <c r="B1083" t="s">
        <v>31</v>
      </c>
      <c r="C1083" t="s">
        <v>2583</v>
      </c>
      <c r="D1083" t="str">
        <f t="shared" si="193"/>
        <v>2501717593</v>
      </c>
      <c r="E1083" t="s">
        <v>1536</v>
      </c>
      <c r="F1083" t="str">
        <f t="shared" si="194"/>
        <v>400413</v>
      </c>
      <c r="G1083" t="s">
        <v>1545</v>
      </c>
      <c r="H1083" t="s">
        <v>2380</v>
      </c>
      <c r="I1083" t="s">
        <v>37</v>
      </c>
      <c r="J1083">
        <v>24</v>
      </c>
      <c r="K1083">
        <v>250</v>
      </c>
      <c r="L1083" t="str">
        <f t="shared" si="191"/>
        <v>521181</v>
      </c>
      <c r="N1083" t="s">
        <v>1883</v>
      </c>
      <c r="O1083" s="2">
        <v>46209.427222222221</v>
      </c>
      <c r="P1083" s="2">
        <v>46209.427222222221</v>
      </c>
      <c r="Q1083" s="2">
        <v>46209.427222222221</v>
      </c>
      <c r="R1083" t="str">
        <f t="shared" si="195"/>
        <v>153000287</v>
      </c>
      <c r="S1083" s="1">
        <v>47972</v>
      </c>
    </row>
    <row r="1084" spans="1:19" x14ac:dyDescent="0.35">
      <c r="A1084" t="s">
        <v>2182</v>
      </c>
      <c r="B1084" t="s">
        <v>31</v>
      </c>
      <c r="C1084" t="s">
        <v>2583</v>
      </c>
      <c r="D1084" t="str">
        <f t="shared" si="193"/>
        <v>2501717593</v>
      </c>
      <c r="E1084" t="s">
        <v>1536</v>
      </c>
      <c r="F1084" t="str">
        <f t="shared" si="194"/>
        <v>400413</v>
      </c>
      <c r="G1084" t="s">
        <v>1545</v>
      </c>
      <c r="H1084" t="s">
        <v>2288</v>
      </c>
      <c r="I1084" t="s">
        <v>37</v>
      </c>
      <c r="J1084">
        <v>24</v>
      </c>
      <c r="K1084">
        <v>250</v>
      </c>
      <c r="L1084" t="str">
        <f t="shared" si="191"/>
        <v>521181</v>
      </c>
      <c r="N1084" t="s">
        <v>1883</v>
      </c>
      <c r="O1084" s="2">
        <v>46209.427187499998</v>
      </c>
      <c r="P1084" s="2">
        <v>46209.427187499998</v>
      </c>
      <c r="Q1084" s="2">
        <v>46209.427187499998</v>
      </c>
      <c r="R1084" t="str">
        <f t="shared" si="195"/>
        <v>153000287</v>
      </c>
      <c r="S1084" s="1">
        <v>47972</v>
      </c>
    </row>
    <row r="1085" spans="1:19" x14ac:dyDescent="0.35">
      <c r="A1085" t="s">
        <v>2182</v>
      </c>
      <c r="B1085" t="s">
        <v>31</v>
      </c>
      <c r="C1085" t="s">
        <v>2583</v>
      </c>
      <c r="D1085" t="str">
        <f t="shared" si="193"/>
        <v>2501717593</v>
      </c>
      <c r="E1085" t="s">
        <v>1536</v>
      </c>
      <c r="F1085" t="str">
        <f t="shared" si="194"/>
        <v>400413</v>
      </c>
      <c r="G1085" t="s">
        <v>1545</v>
      </c>
      <c r="H1085" t="s">
        <v>2290</v>
      </c>
      <c r="I1085" t="s">
        <v>37</v>
      </c>
      <c r="J1085">
        <v>24</v>
      </c>
      <c r="K1085">
        <v>250</v>
      </c>
      <c r="L1085" t="str">
        <f t="shared" si="191"/>
        <v>521181</v>
      </c>
      <c r="N1085" t="s">
        <v>1883</v>
      </c>
      <c r="O1085" s="2">
        <v>46209.427152777775</v>
      </c>
      <c r="P1085" s="2">
        <v>46209.427152777775</v>
      </c>
      <c r="Q1085" s="2">
        <v>46209.427152777775</v>
      </c>
      <c r="R1085" t="str">
        <f t="shared" si="195"/>
        <v>153000287</v>
      </c>
      <c r="S1085" s="1">
        <v>47972</v>
      </c>
    </row>
    <row r="1086" spans="1:19" x14ac:dyDescent="0.35">
      <c r="A1086" t="s">
        <v>2182</v>
      </c>
      <c r="B1086" t="s">
        <v>31</v>
      </c>
      <c r="C1086" t="s">
        <v>2583</v>
      </c>
      <c r="D1086" t="str">
        <f t="shared" si="193"/>
        <v>2501717593</v>
      </c>
      <c r="E1086" t="s">
        <v>1536</v>
      </c>
      <c r="F1086" t="str">
        <f t="shared" si="194"/>
        <v>400413</v>
      </c>
      <c r="G1086" t="s">
        <v>1545</v>
      </c>
      <c r="H1086" t="s">
        <v>2291</v>
      </c>
      <c r="I1086" t="s">
        <v>37</v>
      </c>
      <c r="J1086">
        <v>5</v>
      </c>
      <c r="K1086">
        <v>250</v>
      </c>
      <c r="L1086" t="str">
        <f t="shared" si="191"/>
        <v>521181</v>
      </c>
      <c r="N1086" t="s">
        <v>1883</v>
      </c>
      <c r="O1086" s="2">
        <v>46209.427118055559</v>
      </c>
      <c r="P1086" s="2">
        <v>46209.427118055559</v>
      </c>
      <c r="Q1086" s="2">
        <v>46209.427118055559</v>
      </c>
      <c r="R1086" t="str">
        <f t="shared" si="195"/>
        <v>153000287</v>
      </c>
      <c r="S1086" s="1">
        <v>47972</v>
      </c>
    </row>
    <row r="1087" spans="1:19" x14ac:dyDescent="0.35">
      <c r="A1087" t="s">
        <v>2182</v>
      </c>
      <c r="B1087" t="s">
        <v>31</v>
      </c>
      <c r="C1087" t="s">
        <v>2583</v>
      </c>
      <c r="D1087" t="str">
        <f t="shared" si="193"/>
        <v>2501717593</v>
      </c>
      <c r="E1087" t="s">
        <v>1536</v>
      </c>
      <c r="F1087" t="str">
        <f t="shared" ref="F1087:F1097" si="196">"400426"</f>
        <v>400426</v>
      </c>
      <c r="G1087" t="s">
        <v>34</v>
      </c>
      <c r="H1087" t="s">
        <v>2228</v>
      </c>
      <c r="I1087" t="s">
        <v>37</v>
      </c>
      <c r="J1087">
        <v>14</v>
      </c>
      <c r="K1087">
        <v>110</v>
      </c>
      <c r="L1087" t="str">
        <f t="shared" si="191"/>
        <v>521181</v>
      </c>
      <c r="N1087" t="s">
        <v>1883</v>
      </c>
      <c r="O1087" s="2">
        <v>46209.427071759259</v>
      </c>
      <c r="P1087" s="2">
        <v>46209.427071759259</v>
      </c>
      <c r="Q1087" s="2">
        <v>46209.427071759259</v>
      </c>
      <c r="R1087" t="str">
        <f>"153000231"</f>
        <v>153000231</v>
      </c>
      <c r="S1087" s="1">
        <v>47944</v>
      </c>
    </row>
    <row r="1088" spans="1:19" x14ac:dyDescent="0.35">
      <c r="A1088" t="s">
        <v>2182</v>
      </c>
      <c r="B1088" t="s">
        <v>31</v>
      </c>
      <c r="C1088" t="s">
        <v>2583</v>
      </c>
      <c r="D1088" t="str">
        <f t="shared" si="193"/>
        <v>2501717593</v>
      </c>
      <c r="E1088" t="s">
        <v>1536</v>
      </c>
      <c r="F1088" t="str">
        <f t="shared" si="196"/>
        <v>400426</v>
      </c>
      <c r="G1088" t="s">
        <v>34</v>
      </c>
      <c r="H1088" t="s">
        <v>2591</v>
      </c>
      <c r="I1088" t="s">
        <v>37</v>
      </c>
      <c r="J1088">
        <v>24</v>
      </c>
      <c r="K1088">
        <v>24</v>
      </c>
      <c r="L1088" t="str">
        <f t="shared" si="191"/>
        <v>521181</v>
      </c>
      <c r="N1088" t="s">
        <v>1883</v>
      </c>
      <c r="O1088" s="2">
        <v>46209.427025462966</v>
      </c>
      <c r="P1088" s="2">
        <v>46209.427025462966</v>
      </c>
      <c r="Q1088" s="2">
        <v>46209.427025462966</v>
      </c>
      <c r="R1088" t="str">
        <f>"153000235"</f>
        <v>153000235</v>
      </c>
      <c r="S1088" s="1">
        <v>47944</v>
      </c>
    </row>
    <row r="1089" spans="1:19" x14ac:dyDescent="0.35">
      <c r="A1089" t="s">
        <v>2182</v>
      </c>
      <c r="B1089" t="s">
        <v>31</v>
      </c>
      <c r="C1089" t="s">
        <v>2583</v>
      </c>
      <c r="D1089" t="str">
        <f t="shared" si="193"/>
        <v>2501717593</v>
      </c>
      <c r="E1089" t="s">
        <v>1536</v>
      </c>
      <c r="F1089" t="str">
        <f t="shared" si="196"/>
        <v>400426</v>
      </c>
      <c r="G1089" t="s">
        <v>34</v>
      </c>
      <c r="H1089" t="s">
        <v>2592</v>
      </c>
      <c r="I1089" t="s">
        <v>37</v>
      </c>
      <c r="J1089">
        <v>24</v>
      </c>
      <c r="K1089">
        <v>110</v>
      </c>
      <c r="L1089" t="str">
        <f t="shared" si="191"/>
        <v>521181</v>
      </c>
      <c r="N1089" t="s">
        <v>1883</v>
      </c>
      <c r="O1089" s="2">
        <v>46209.426990740743</v>
      </c>
      <c r="P1089" s="2">
        <v>46209.426990740743</v>
      </c>
      <c r="Q1089" s="2">
        <v>46209.426990740743</v>
      </c>
      <c r="R1089" t="str">
        <f>"153000231"</f>
        <v>153000231</v>
      </c>
      <c r="S1089" s="1">
        <v>47944</v>
      </c>
    </row>
    <row r="1090" spans="1:19" x14ac:dyDescent="0.35">
      <c r="A1090" t="s">
        <v>2182</v>
      </c>
      <c r="B1090" t="s">
        <v>31</v>
      </c>
      <c r="C1090" t="s">
        <v>2583</v>
      </c>
      <c r="D1090" t="str">
        <f t="shared" si="193"/>
        <v>2501717593</v>
      </c>
      <c r="E1090" t="s">
        <v>1536</v>
      </c>
      <c r="F1090" t="str">
        <f t="shared" si="196"/>
        <v>400426</v>
      </c>
      <c r="G1090" t="s">
        <v>34</v>
      </c>
      <c r="H1090" t="s">
        <v>2350</v>
      </c>
      <c r="I1090" t="s">
        <v>37</v>
      </c>
      <c r="J1090">
        <v>24</v>
      </c>
      <c r="K1090">
        <v>110</v>
      </c>
      <c r="L1090" t="str">
        <f t="shared" si="191"/>
        <v>521181</v>
      </c>
      <c r="N1090" t="s">
        <v>1883</v>
      </c>
      <c r="O1090" s="2">
        <v>46209.426944444444</v>
      </c>
      <c r="P1090" s="2">
        <v>46209.426944444444</v>
      </c>
      <c r="Q1090" s="2">
        <v>46209.426944444444</v>
      </c>
      <c r="R1090" t="str">
        <f>"153000231"</f>
        <v>153000231</v>
      </c>
      <c r="S1090" s="1">
        <v>47944</v>
      </c>
    </row>
    <row r="1091" spans="1:19" x14ac:dyDescent="0.35">
      <c r="A1091" t="s">
        <v>2182</v>
      </c>
      <c r="B1091" t="s">
        <v>31</v>
      </c>
      <c r="C1091" t="s">
        <v>2583</v>
      </c>
      <c r="D1091" t="str">
        <f t="shared" si="193"/>
        <v>2501717593</v>
      </c>
      <c r="E1091" t="s">
        <v>1536</v>
      </c>
      <c r="F1091" t="str">
        <f t="shared" si="196"/>
        <v>400426</v>
      </c>
      <c r="G1091" t="s">
        <v>34</v>
      </c>
      <c r="H1091" t="s">
        <v>2593</v>
      </c>
      <c r="I1091" t="s">
        <v>37</v>
      </c>
      <c r="J1091">
        <v>24</v>
      </c>
      <c r="K1091">
        <v>110</v>
      </c>
      <c r="L1091" t="str">
        <f t="shared" si="191"/>
        <v>521181</v>
      </c>
      <c r="N1091" t="s">
        <v>1883</v>
      </c>
      <c r="O1091" s="2">
        <v>46209.42690972222</v>
      </c>
      <c r="P1091" s="2">
        <v>46209.42690972222</v>
      </c>
      <c r="Q1091" s="2">
        <v>46209.42690972222</v>
      </c>
      <c r="R1091" t="str">
        <f>"153000231"</f>
        <v>153000231</v>
      </c>
      <c r="S1091" s="1">
        <v>47944</v>
      </c>
    </row>
    <row r="1092" spans="1:19" x14ac:dyDescent="0.35">
      <c r="A1092" t="s">
        <v>2182</v>
      </c>
      <c r="B1092" t="s">
        <v>31</v>
      </c>
      <c r="C1092" t="s">
        <v>2583</v>
      </c>
      <c r="D1092" t="str">
        <f t="shared" si="193"/>
        <v>2501717593</v>
      </c>
      <c r="E1092" t="s">
        <v>1536</v>
      </c>
      <c r="F1092" t="str">
        <f t="shared" si="196"/>
        <v>400426</v>
      </c>
      <c r="G1092" t="s">
        <v>34</v>
      </c>
      <c r="H1092" t="s">
        <v>2594</v>
      </c>
      <c r="I1092" t="s">
        <v>37</v>
      </c>
      <c r="J1092">
        <v>24</v>
      </c>
      <c r="K1092">
        <v>110</v>
      </c>
      <c r="L1092" t="str">
        <f t="shared" si="191"/>
        <v>521181</v>
      </c>
      <c r="N1092" t="s">
        <v>1883</v>
      </c>
      <c r="O1092" s="2">
        <v>46209.426874999997</v>
      </c>
      <c r="P1092" s="2">
        <v>46209.426874999997</v>
      </c>
      <c r="Q1092" s="2">
        <v>46209.426874999997</v>
      </c>
      <c r="R1092" t="str">
        <f>"153000231"</f>
        <v>153000231</v>
      </c>
      <c r="S1092" s="1">
        <v>47944</v>
      </c>
    </row>
    <row r="1093" spans="1:19" x14ac:dyDescent="0.35">
      <c r="A1093" t="s">
        <v>2182</v>
      </c>
      <c r="B1093" t="s">
        <v>31</v>
      </c>
      <c r="C1093" t="s">
        <v>2583</v>
      </c>
      <c r="D1093" t="str">
        <f t="shared" si="193"/>
        <v>2501717593</v>
      </c>
      <c r="E1093" t="s">
        <v>1536</v>
      </c>
      <c r="F1093" t="str">
        <f t="shared" si="196"/>
        <v>400426</v>
      </c>
      <c r="G1093" t="s">
        <v>34</v>
      </c>
      <c r="H1093" t="s">
        <v>2218</v>
      </c>
      <c r="I1093" t="s">
        <v>37</v>
      </c>
      <c r="J1093">
        <v>24</v>
      </c>
      <c r="K1093">
        <v>116</v>
      </c>
      <c r="L1093" t="str">
        <f t="shared" si="191"/>
        <v>521181</v>
      </c>
      <c r="N1093" t="s">
        <v>1883</v>
      </c>
      <c r="O1093" s="2">
        <v>46209.426840277774</v>
      </c>
      <c r="P1093" s="2">
        <v>46209.426840277774</v>
      </c>
      <c r="Q1093" s="2">
        <v>46209.426840277774</v>
      </c>
      <c r="R1093" t="str">
        <f>"153000112"</f>
        <v>153000112</v>
      </c>
      <c r="S1093" s="1">
        <v>47894</v>
      </c>
    </row>
    <row r="1094" spans="1:19" x14ac:dyDescent="0.35">
      <c r="A1094" t="s">
        <v>2182</v>
      </c>
      <c r="B1094" t="s">
        <v>31</v>
      </c>
      <c r="C1094" t="s">
        <v>2583</v>
      </c>
      <c r="D1094" t="str">
        <f t="shared" si="193"/>
        <v>2501717593</v>
      </c>
      <c r="E1094" t="s">
        <v>1536</v>
      </c>
      <c r="F1094" t="str">
        <f t="shared" si="196"/>
        <v>400426</v>
      </c>
      <c r="G1094" t="s">
        <v>34</v>
      </c>
      <c r="H1094" t="s">
        <v>2595</v>
      </c>
      <c r="I1094" t="s">
        <v>37</v>
      </c>
      <c r="J1094">
        <v>24</v>
      </c>
      <c r="K1094">
        <v>116</v>
      </c>
      <c r="L1094" t="str">
        <f t="shared" si="191"/>
        <v>521181</v>
      </c>
      <c r="N1094" t="s">
        <v>1883</v>
      </c>
      <c r="O1094" s="2">
        <v>46209.426793981482</v>
      </c>
      <c r="P1094" s="2">
        <v>46209.426793981482</v>
      </c>
      <c r="Q1094" s="2">
        <v>46209.426793981482</v>
      </c>
      <c r="R1094" t="str">
        <f>"153000112"</f>
        <v>153000112</v>
      </c>
      <c r="S1094" s="1">
        <v>47894</v>
      </c>
    </row>
    <row r="1095" spans="1:19" x14ac:dyDescent="0.35">
      <c r="A1095" t="s">
        <v>2182</v>
      </c>
      <c r="B1095" t="s">
        <v>31</v>
      </c>
      <c r="C1095" t="s">
        <v>2583</v>
      </c>
      <c r="D1095" t="str">
        <f t="shared" si="193"/>
        <v>2501717593</v>
      </c>
      <c r="E1095" t="s">
        <v>1536</v>
      </c>
      <c r="F1095" t="str">
        <f t="shared" si="196"/>
        <v>400426</v>
      </c>
      <c r="G1095" t="s">
        <v>34</v>
      </c>
      <c r="H1095" t="s">
        <v>2596</v>
      </c>
      <c r="I1095" t="s">
        <v>37</v>
      </c>
      <c r="J1095">
        <v>24</v>
      </c>
      <c r="K1095">
        <v>116</v>
      </c>
      <c r="L1095" t="str">
        <f t="shared" si="191"/>
        <v>521181</v>
      </c>
      <c r="N1095" t="s">
        <v>1883</v>
      </c>
      <c r="O1095" s="2">
        <v>46209.426759259259</v>
      </c>
      <c r="P1095" s="2">
        <v>46209.426759259259</v>
      </c>
      <c r="Q1095" s="2">
        <v>46209.426759259259</v>
      </c>
      <c r="R1095" t="str">
        <f>"153000112"</f>
        <v>153000112</v>
      </c>
      <c r="S1095" s="1">
        <v>47894</v>
      </c>
    </row>
    <row r="1096" spans="1:19" x14ac:dyDescent="0.35">
      <c r="A1096" t="s">
        <v>2182</v>
      </c>
      <c r="B1096" t="s">
        <v>31</v>
      </c>
      <c r="C1096" t="s">
        <v>2583</v>
      </c>
      <c r="D1096" t="str">
        <f t="shared" si="193"/>
        <v>2501717593</v>
      </c>
      <c r="E1096" t="s">
        <v>1536</v>
      </c>
      <c r="F1096" t="str">
        <f t="shared" si="196"/>
        <v>400426</v>
      </c>
      <c r="G1096" t="s">
        <v>34</v>
      </c>
      <c r="H1096" t="s">
        <v>2597</v>
      </c>
      <c r="I1096" t="s">
        <v>37</v>
      </c>
      <c r="J1096">
        <v>24</v>
      </c>
      <c r="K1096">
        <v>116</v>
      </c>
      <c r="L1096" t="str">
        <f t="shared" si="191"/>
        <v>521181</v>
      </c>
      <c r="N1096" t="s">
        <v>1883</v>
      </c>
      <c r="O1096" s="2">
        <v>46209.426724537036</v>
      </c>
      <c r="P1096" s="2">
        <v>46209.426724537036</v>
      </c>
      <c r="Q1096" s="2">
        <v>46209.426724537036</v>
      </c>
      <c r="R1096" t="str">
        <f>"153000112"</f>
        <v>153000112</v>
      </c>
      <c r="S1096" s="1">
        <v>47894</v>
      </c>
    </row>
    <row r="1097" spans="1:19" x14ac:dyDescent="0.35">
      <c r="A1097" t="s">
        <v>2182</v>
      </c>
      <c r="B1097" t="s">
        <v>31</v>
      </c>
      <c r="C1097" t="s">
        <v>2583</v>
      </c>
      <c r="D1097" t="str">
        <f t="shared" si="193"/>
        <v>2501717593</v>
      </c>
      <c r="E1097" t="s">
        <v>1536</v>
      </c>
      <c r="F1097" t="str">
        <f t="shared" si="196"/>
        <v>400426</v>
      </c>
      <c r="G1097" t="s">
        <v>34</v>
      </c>
      <c r="H1097" t="s">
        <v>2598</v>
      </c>
      <c r="I1097" t="s">
        <v>37</v>
      </c>
      <c r="J1097">
        <v>20</v>
      </c>
      <c r="K1097">
        <v>116</v>
      </c>
      <c r="L1097" t="str">
        <f t="shared" si="191"/>
        <v>521181</v>
      </c>
      <c r="N1097" t="s">
        <v>1883</v>
      </c>
      <c r="O1097" s="2">
        <v>46209.426666666666</v>
      </c>
      <c r="P1097" s="2">
        <v>46209.426666666666</v>
      </c>
      <c r="Q1097" s="2">
        <v>46209.426666666666</v>
      </c>
      <c r="R1097" t="str">
        <f>"153000112"</f>
        <v>153000112</v>
      </c>
      <c r="S1097" s="1">
        <v>47894</v>
      </c>
    </row>
    <row r="1098" spans="1:19" x14ac:dyDescent="0.35">
      <c r="A1098" t="s">
        <v>2182</v>
      </c>
      <c r="B1098" t="s">
        <v>31</v>
      </c>
      <c r="C1098" t="s">
        <v>2599</v>
      </c>
      <c r="D1098" t="str">
        <f t="shared" ref="D1098:D1104" si="197">"2501717608"</f>
        <v>2501717608</v>
      </c>
      <c r="E1098" t="s">
        <v>1536</v>
      </c>
      <c r="F1098" t="str">
        <f>"400919"</f>
        <v>400919</v>
      </c>
      <c r="G1098" t="s">
        <v>2573</v>
      </c>
      <c r="H1098" t="s">
        <v>2575</v>
      </c>
      <c r="I1098" t="s">
        <v>37</v>
      </c>
      <c r="J1098">
        <v>11</v>
      </c>
      <c r="K1098">
        <v>40</v>
      </c>
      <c r="L1098" t="str">
        <f t="shared" si="191"/>
        <v>521181</v>
      </c>
      <c r="N1098" t="s">
        <v>1883</v>
      </c>
      <c r="O1098" s="2">
        <v>46209.361608796295</v>
      </c>
      <c r="P1098" s="2">
        <v>46209.361608796295</v>
      </c>
      <c r="Q1098" s="2">
        <v>46209.361608796295</v>
      </c>
      <c r="R1098" t="str">
        <f>"153000265"</f>
        <v>153000265</v>
      </c>
      <c r="S1098" s="1">
        <v>47964</v>
      </c>
    </row>
    <row r="1099" spans="1:19" x14ac:dyDescent="0.35">
      <c r="A1099" t="s">
        <v>2182</v>
      </c>
      <c r="B1099" t="s">
        <v>31</v>
      </c>
      <c r="C1099" t="s">
        <v>2599</v>
      </c>
      <c r="D1099" t="str">
        <f t="shared" si="197"/>
        <v>2501717608</v>
      </c>
      <c r="E1099" t="s">
        <v>1536</v>
      </c>
      <c r="F1099" t="str">
        <f>"400919"</f>
        <v>400919</v>
      </c>
      <c r="G1099" t="s">
        <v>2573</v>
      </c>
      <c r="H1099" t="s">
        <v>2600</v>
      </c>
      <c r="I1099" t="s">
        <v>37</v>
      </c>
      <c r="J1099">
        <v>24</v>
      </c>
      <c r="K1099">
        <v>40</v>
      </c>
      <c r="L1099" t="str">
        <f t="shared" si="191"/>
        <v>521181</v>
      </c>
      <c r="N1099" t="s">
        <v>1883</v>
      </c>
      <c r="O1099" s="2">
        <v>46209.361562500002</v>
      </c>
      <c r="P1099" s="2">
        <v>46209.361562500002</v>
      </c>
      <c r="Q1099" s="2">
        <v>46209.361562500002</v>
      </c>
      <c r="R1099" t="str">
        <f>"153000265"</f>
        <v>153000265</v>
      </c>
      <c r="S1099" s="1">
        <v>47964</v>
      </c>
    </row>
    <row r="1100" spans="1:19" x14ac:dyDescent="0.35">
      <c r="A1100" t="s">
        <v>2182</v>
      </c>
      <c r="B1100" t="s">
        <v>31</v>
      </c>
      <c r="C1100" t="s">
        <v>2599</v>
      </c>
      <c r="D1100" t="str">
        <f t="shared" si="197"/>
        <v>2501717608</v>
      </c>
      <c r="E1100" t="s">
        <v>1536</v>
      </c>
      <c r="F1100" t="str">
        <f>"400919"</f>
        <v>400919</v>
      </c>
      <c r="G1100" t="s">
        <v>2573</v>
      </c>
      <c r="H1100" t="s">
        <v>2601</v>
      </c>
      <c r="I1100" t="s">
        <v>37</v>
      </c>
      <c r="J1100">
        <v>5</v>
      </c>
      <c r="K1100">
        <v>40</v>
      </c>
      <c r="L1100" t="str">
        <f t="shared" si="191"/>
        <v>521181</v>
      </c>
      <c r="N1100" t="s">
        <v>1883</v>
      </c>
      <c r="O1100" s="2">
        <v>46209.36146990741</v>
      </c>
      <c r="P1100" s="2">
        <v>46209.36146990741</v>
      </c>
      <c r="Q1100" s="2">
        <v>46209.36146990741</v>
      </c>
      <c r="R1100" t="str">
        <f>"153000265"</f>
        <v>153000265</v>
      </c>
      <c r="S1100" s="1">
        <v>47964</v>
      </c>
    </row>
    <row r="1101" spans="1:19" x14ac:dyDescent="0.35">
      <c r="A1101" t="s">
        <v>2182</v>
      </c>
      <c r="B1101" t="s">
        <v>31</v>
      </c>
      <c r="C1101" t="s">
        <v>2599</v>
      </c>
      <c r="D1101" t="str">
        <f t="shared" si="197"/>
        <v>2501717608</v>
      </c>
      <c r="E1101" t="s">
        <v>1536</v>
      </c>
      <c r="F1101" t="str">
        <f>"400918"</f>
        <v>400918</v>
      </c>
      <c r="G1101" t="s">
        <v>2602</v>
      </c>
      <c r="H1101" t="s">
        <v>2603</v>
      </c>
      <c r="I1101" t="s">
        <v>37</v>
      </c>
      <c r="J1101">
        <v>18</v>
      </c>
      <c r="K1101">
        <v>40</v>
      </c>
      <c r="L1101" t="str">
        <f t="shared" si="191"/>
        <v>521181</v>
      </c>
      <c r="N1101" t="s">
        <v>1883</v>
      </c>
      <c r="O1101" s="2">
        <v>46209.361435185187</v>
      </c>
      <c r="P1101" s="2">
        <v>46209.361435185187</v>
      </c>
      <c r="Q1101" s="2">
        <v>46209.361435185187</v>
      </c>
      <c r="R1101" t="str">
        <f>"100011181"</f>
        <v>100011181</v>
      </c>
      <c r="S1101" s="1">
        <v>47840</v>
      </c>
    </row>
    <row r="1102" spans="1:19" x14ac:dyDescent="0.35">
      <c r="A1102" t="s">
        <v>2182</v>
      </c>
      <c r="B1102" t="s">
        <v>31</v>
      </c>
      <c r="C1102" t="s">
        <v>2599</v>
      </c>
      <c r="D1102" t="str">
        <f t="shared" si="197"/>
        <v>2501717608</v>
      </c>
      <c r="E1102" t="s">
        <v>1536</v>
      </c>
      <c r="F1102" t="str">
        <f>"400918"</f>
        <v>400918</v>
      </c>
      <c r="G1102" t="s">
        <v>2602</v>
      </c>
      <c r="H1102" t="s">
        <v>2234</v>
      </c>
      <c r="I1102" t="s">
        <v>37</v>
      </c>
      <c r="J1102">
        <v>22</v>
      </c>
      <c r="K1102">
        <v>40</v>
      </c>
      <c r="L1102" t="str">
        <f t="shared" si="191"/>
        <v>521181</v>
      </c>
      <c r="N1102" t="s">
        <v>1883</v>
      </c>
      <c r="O1102" s="2">
        <v>46209.361388888887</v>
      </c>
      <c r="P1102" s="2">
        <v>46209.361388888887</v>
      </c>
      <c r="Q1102" s="2">
        <v>46209.361388888887</v>
      </c>
      <c r="R1102" t="str">
        <f>"100011181"</f>
        <v>100011181</v>
      </c>
      <c r="S1102" s="1">
        <v>47840</v>
      </c>
    </row>
    <row r="1103" spans="1:19" x14ac:dyDescent="0.35">
      <c r="A1103" t="s">
        <v>2182</v>
      </c>
      <c r="B1103" t="s">
        <v>31</v>
      </c>
      <c r="C1103" t="s">
        <v>2599</v>
      </c>
      <c r="D1103" t="str">
        <f t="shared" si="197"/>
        <v>2501717608</v>
      </c>
      <c r="E1103" t="s">
        <v>1536</v>
      </c>
      <c r="F1103" t="str">
        <f>"400393"</f>
        <v>400393</v>
      </c>
      <c r="G1103" t="s">
        <v>1603</v>
      </c>
      <c r="H1103" t="s">
        <v>2604</v>
      </c>
      <c r="I1103" t="s">
        <v>37</v>
      </c>
      <c r="J1103">
        <v>50</v>
      </c>
      <c r="K1103">
        <v>50</v>
      </c>
      <c r="L1103" t="str">
        <f t="shared" si="191"/>
        <v>521181</v>
      </c>
      <c r="N1103" t="s">
        <v>1883</v>
      </c>
      <c r="O1103" s="2">
        <v>46209.361342592594</v>
      </c>
      <c r="P1103" s="2">
        <v>46209.361342592594</v>
      </c>
      <c r="Q1103" s="2">
        <v>46209.361342592594</v>
      </c>
      <c r="R1103" t="str">
        <f>"153000215"</f>
        <v>153000215</v>
      </c>
      <c r="S1103" s="1">
        <v>47986</v>
      </c>
    </row>
    <row r="1104" spans="1:19" x14ac:dyDescent="0.35">
      <c r="A1104" t="s">
        <v>2182</v>
      </c>
      <c r="B1104" t="s">
        <v>31</v>
      </c>
      <c r="C1104" t="s">
        <v>2599</v>
      </c>
      <c r="D1104" t="str">
        <f t="shared" si="197"/>
        <v>2501717608</v>
      </c>
      <c r="E1104" t="s">
        <v>1536</v>
      </c>
      <c r="F1104" t="str">
        <f>"400393"</f>
        <v>400393</v>
      </c>
      <c r="G1104" t="s">
        <v>1603</v>
      </c>
      <c r="H1104" t="s">
        <v>2605</v>
      </c>
      <c r="I1104" t="s">
        <v>37</v>
      </c>
      <c r="J1104">
        <v>25</v>
      </c>
      <c r="K1104">
        <v>25</v>
      </c>
      <c r="L1104" t="str">
        <f t="shared" si="191"/>
        <v>521181</v>
      </c>
      <c r="N1104" t="s">
        <v>1883</v>
      </c>
      <c r="O1104" s="2">
        <v>46209.361238425925</v>
      </c>
      <c r="P1104" s="2">
        <v>46209.361238425925</v>
      </c>
      <c r="Q1104" s="2">
        <v>46209.361238425925</v>
      </c>
      <c r="R1104" t="str">
        <f>"153000329"</f>
        <v>153000329</v>
      </c>
      <c r="S1104" s="1">
        <v>47986</v>
      </c>
    </row>
    <row r="1105" spans="1:19" x14ac:dyDescent="0.35">
      <c r="A1105" t="s">
        <v>2182</v>
      </c>
      <c r="B1105" t="s">
        <v>31</v>
      </c>
      <c r="C1105" t="s">
        <v>2606</v>
      </c>
      <c r="D1105" t="str">
        <f>"2501717599"</f>
        <v>2501717599</v>
      </c>
      <c r="E1105" t="s">
        <v>1536</v>
      </c>
      <c r="F1105" t="str">
        <f t="shared" ref="F1105:F1115" si="198">"400405"</f>
        <v>400405</v>
      </c>
      <c r="G1105" t="s">
        <v>519</v>
      </c>
      <c r="H1105" t="s">
        <v>2566</v>
      </c>
      <c r="I1105" t="s">
        <v>37</v>
      </c>
      <c r="J1105">
        <v>6</v>
      </c>
      <c r="K1105">
        <v>52</v>
      </c>
      <c r="L1105" t="str">
        <f>"521159"</f>
        <v>521159</v>
      </c>
      <c r="N1105" t="s">
        <v>1652</v>
      </c>
      <c r="O1105" s="2">
        <v>46209.362071759257</v>
      </c>
      <c r="P1105" s="2">
        <v>46209.362071759257</v>
      </c>
      <c r="Q1105" s="2">
        <v>46209.362071759257</v>
      </c>
      <c r="R1105" t="str">
        <f t="shared" ref="R1105:R1115" si="199">"153000359"</f>
        <v>153000359</v>
      </c>
      <c r="S1105" s="1">
        <v>48005</v>
      </c>
    </row>
    <row r="1106" spans="1:19" x14ac:dyDescent="0.35">
      <c r="A1106" t="s">
        <v>2182</v>
      </c>
      <c r="B1106" t="s">
        <v>31</v>
      </c>
      <c r="C1106" t="s">
        <v>2606</v>
      </c>
      <c r="D1106" t="str">
        <f>"2501717599"</f>
        <v>2501717599</v>
      </c>
      <c r="E1106" t="s">
        <v>1536</v>
      </c>
      <c r="F1106" t="str">
        <f t="shared" si="198"/>
        <v>400405</v>
      </c>
      <c r="G1106" t="s">
        <v>519</v>
      </c>
      <c r="H1106" t="s">
        <v>2607</v>
      </c>
      <c r="I1106" t="s">
        <v>37</v>
      </c>
      <c r="J1106">
        <v>46</v>
      </c>
      <c r="K1106">
        <v>52</v>
      </c>
      <c r="L1106" t="str">
        <f>"521159"</f>
        <v>521159</v>
      </c>
      <c r="N1106" t="s">
        <v>1652</v>
      </c>
      <c r="O1106" s="2">
        <v>46209.362013888887</v>
      </c>
      <c r="P1106" s="2">
        <v>46209.362013888887</v>
      </c>
      <c r="Q1106" s="2">
        <v>46209.362013888887</v>
      </c>
      <c r="R1106" t="str">
        <f t="shared" si="199"/>
        <v>153000359</v>
      </c>
      <c r="S1106" s="1">
        <v>48005</v>
      </c>
    </row>
    <row r="1107" spans="1:19" x14ac:dyDescent="0.35">
      <c r="A1107" t="s">
        <v>2182</v>
      </c>
      <c r="B1107" t="s">
        <v>31</v>
      </c>
      <c r="C1107" t="s">
        <v>2608</v>
      </c>
      <c r="D1107" t="str">
        <f>"2501717598"</f>
        <v>2501717598</v>
      </c>
      <c r="E1107" t="s">
        <v>1536</v>
      </c>
      <c r="F1107" t="str">
        <f t="shared" si="198"/>
        <v>400405</v>
      </c>
      <c r="G1107" t="s">
        <v>519</v>
      </c>
      <c r="H1107" t="s">
        <v>2607</v>
      </c>
      <c r="I1107" t="s">
        <v>37</v>
      </c>
      <c r="J1107">
        <v>6</v>
      </c>
      <c r="K1107">
        <v>52</v>
      </c>
      <c r="L1107" t="str">
        <f t="shared" ref="L1107:L1115" si="200">"521161"</f>
        <v>521161</v>
      </c>
      <c r="N1107" t="s">
        <v>1556</v>
      </c>
      <c r="O1107" s="2">
        <v>46209.362569444442</v>
      </c>
      <c r="P1107" s="2">
        <v>46209.362569444442</v>
      </c>
      <c r="Q1107" s="2">
        <v>46209.362569444442</v>
      </c>
      <c r="R1107" t="str">
        <f t="shared" si="199"/>
        <v>153000359</v>
      </c>
      <c r="S1107" s="1">
        <v>48005</v>
      </c>
    </row>
    <row r="1108" spans="1:19" x14ac:dyDescent="0.35">
      <c r="A1108" t="s">
        <v>2182</v>
      </c>
      <c r="B1108" t="s">
        <v>31</v>
      </c>
      <c r="C1108" t="s">
        <v>2608</v>
      </c>
      <c r="D1108" t="str">
        <f>"2501717598"</f>
        <v>2501717598</v>
      </c>
      <c r="E1108" t="s">
        <v>1536</v>
      </c>
      <c r="F1108" t="str">
        <f t="shared" si="198"/>
        <v>400405</v>
      </c>
      <c r="G1108" t="s">
        <v>519</v>
      </c>
      <c r="H1108" t="s">
        <v>2609</v>
      </c>
      <c r="I1108" t="s">
        <v>37</v>
      </c>
      <c r="J1108">
        <v>46</v>
      </c>
      <c r="K1108">
        <v>52</v>
      </c>
      <c r="L1108" t="str">
        <f t="shared" si="200"/>
        <v>521161</v>
      </c>
      <c r="N1108" t="s">
        <v>1556</v>
      </c>
      <c r="O1108" s="2">
        <v>46209.362523148149</v>
      </c>
      <c r="P1108" s="2">
        <v>46209.362523148149</v>
      </c>
      <c r="Q1108" s="2">
        <v>46209.362523148149</v>
      </c>
      <c r="R1108" t="str">
        <f t="shared" si="199"/>
        <v>153000359</v>
      </c>
      <c r="S1108" s="1">
        <v>48005</v>
      </c>
    </row>
    <row r="1109" spans="1:19" x14ac:dyDescent="0.35">
      <c r="A1109" t="s">
        <v>2182</v>
      </c>
      <c r="B1109" t="s">
        <v>31</v>
      </c>
      <c r="C1109" t="s">
        <v>2610</v>
      </c>
      <c r="D1109" t="str">
        <f>"2501717597"</f>
        <v>2501717597</v>
      </c>
      <c r="E1109" t="s">
        <v>1536</v>
      </c>
      <c r="F1109" t="str">
        <f t="shared" si="198"/>
        <v>400405</v>
      </c>
      <c r="G1109" t="s">
        <v>519</v>
      </c>
      <c r="H1109" t="s">
        <v>2609</v>
      </c>
      <c r="I1109" t="s">
        <v>37</v>
      </c>
      <c r="J1109">
        <v>6</v>
      </c>
      <c r="K1109">
        <v>30</v>
      </c>
      <c r="L1109" t="str">
        <f t="shared" si="200"/>
        <v>521161</v>
      </c>
      <c r="N1109" t="s">
        <v>1556</v>
      </c>
      <c r="O1109" s="2">
        <v>46209.364502314813</v>
      </c>
      <c r="P1109" s="2">
        <v>46209.364502314813</v>
      </c>
      <c r="Q1109" s="2">
        <v>46209.364502314813</v>
      </c>
      <c r="R1109" t="str">
        <f t="shared" si="199"/>
        <v>153000359</v>
      </c>
      <c r="S1109" s="1">
        <v>48005</v>
      </c>
    </row>
    <row r="1110" spans="1:19" x14ac:dyDescent="0.35">
      <c r="A1110" t="s">
        <v>2182</v>
      </c>
      <c r="B1110" t="s">
        <v>31</v>
      </c>
      <c r="C1110" t="s">
        <v>2610</v>
      </c>
      <c r="D1110" t="str">
        <f>"2501717597"</f>
        <v>2501717597</v>
      </c>
      <c r="E1110" t="s">
        <v>1536</v>
      </c>
      <c r="F1110" t="str">
        <f t="shared" si="198"/>
        <v>400405</v>
      </c>
      <c r="G1110" t="s">
        <v>519</v>
      </c>
      <c r="H1110" t="s">
        <v>2611</v>
      </c>
      <c r="I1110" t="s">
        <v>37</v>
      </c>
      <c r="J1110">
        <v>24</v>
      </c>
      <c r="K1110">
        <v>30</v>
      </c>
      <c r="L1110" t="str">
        <f t="shared" si="200"/>
        <v>521161</v>
      </c>
      <c r="N1110" t="s">
        <v>1556</v>
      </c>
      <c r="O1110" s="2">
        <v>46209.36446759259</v>
      </c>
      <c r="P1110" s="2">
        <v>46209.36446759259</v>
      </c>
      <c r="Q1110" s="2">
        <v>46209.36446759259</v>
      </c>
      <c r="R1110" t="str">
        <f t="shared" si="199"/>
        <v>153000359</v>
      </c>
      <c r="S1110" s="1">
        <v>48005</v>
      </c>
    </row>
    <row r="1111" spans="1:19" x14ac:dyDescent="0.35">
      <c r="A1111" t="s">
        <v>2182</v>
      </c>
      <c r="B1111" t="s">
        <v>31</v>
      </c>
      <c r="C1111" t="s">
        <v>2612</v>
      </c>
      <c r="D1111" t="str">
        <f>"2501717574"</f>
        <v>2501717574</v>
      </c>
      <c r="E1111" t="s">
        <v>1536</v>
      </c>
      <c r="F1111" t="str">
        <f t="shared" si="198"/>
        <v>400405</v>
      </c>
      <c r="G1111" t="s">
        <v>519</v>
      </c>
      <c r="H1111" t="s">
        <v>2611</v>
      </c>
      <c r="I1111" t="s">
        <v>37</v>
      </c>
      <c r="J1111">
        <v>28</v>
      </c>
      <c r="K1111">
        <v>52</v>
      </c>
      <c r="L1111" t="str">
        <f t="shared" si="200"/>
        <v>521161</v>
      </c>
      <c r="N1111" t="s">
        <v>1556</v>
      </c>
      <c r="O1111" s="2">
        <v>46207.310162037036</v>
      </c>
      <c r="P1111" s="2">
        <v>46207.310162037036</v>
      </c>
      <c r="Q1111" s="2">
        <v>46207.310162037036</v>
      </c>
      <c r="R1111" t="str">
        <f t="shared" si="199"/>
        <v>153000359</v>
      </c>
      <c r="S1111" s="1">
        <v>48005</v>
      </c>
    </row>
    <row r="1112" spans="1:19" x14ac:dyDescent="0.35">
      <c r="A1112" t="s">
        <v>2182</v>
      </c>
      <c r="B1112" t="s">
        <v>31</v>
      </c>
      <c r="C1112" t="s">
        <v>2612</v>
      </c>
      <c r="D1112" t="str">
        <f>"2501717574"</f>
        <v>2501717574</v>
      </c>
      <c r="E1112" t="s">
        <v>1536</v>
      </c>
      <c r="F1112" t="str">
        <f t="shared" si="198"/>
        <v>400405</v>
      </c>
      <c r="G1112" t="s">
        <v>519</v>
      </c>
      <c r="H1112" t="s">
        <v>2613</v>
      </c>
      <c r="I1112" t="s">
        <v>37</v>
      </c>
      <c r="J1112">
        <v>24</v>
      </c>
      <c r="K1112">
        <v>52</v>
      </c>
      <c r="L1112" t="str">
        <f t="shared" si="200"/>
        <v>521161</v>
      </c>
      <c r="N1112" t="s">
        <v>1556</v>
      </c>
      <c r="O1112" s="2">
        <v>46207.310023148151</v>
      </c>
      <c r="P1112" s="2">
        <v>46207.310023148151</v>
      </c>
      <c r="Q1112" s="2">
        <v>46207.310023148151</v>
      </c>
      <c r="R1112" t="str">
        <f t="shared" si="199"/>
        <v>153000359</v>
      </c>
      <c r="S1112" s="1">
        <v>48005</v>
      </c>
    </row>
    <row r="1113" spans="1:19" x14ac:dyDescent="0.35">
      <c r="A1113" t="s">
        <v>2182</v>
      </c>
      <c r="B1113" t="s">
        <v>31</v>
      </c>
      <c r="C1113" t="s">
        <v>2614</v>
      </c>
      <c r="D1113" t="str">
        <f>"2501717570"</f>
        <v>2501717570</v>
      </c>
      <c r="E1113" t="s">
        <v>1536</v>
      </c>
      <c r="F1113" t="str">
        <f t="shared" si="198"/>
        <v>400405</v>
      </c>
      <c r="G1113" t="s">
        <v>519</v>
      </c>
      <c r="H1113" t="s">
        <v>2613</v>
      </c>
      <c r="I1113" t="s">
        <v>37</v>
      </c>
      <c r="J1113">
        <v>28</v>
      </c>
      <c r="K1113">
        <v>104</v>
      </c>
      <c r="L1113" t="str">
        <f t="shared" si="200"/>
        <v>521161</v>
      </c>
      <c r="N1113" t="s">
        <v>1556</v>
      </c>
      <c r="O1113" s="2">
        <v>46207.311226851853</v>
      </c>
      <c r="P1113" s="2">
        <v>46207.311226851853</v>
      </c>
      <c r="Q1113" s="2">
        <v>46207.311226851853</v>
      </c>
      <c r="R1113" t="str">
        <f t="shared" si="199"/>
        <v>153000359</v>
      </c>
      <c r="S1113" s="1">
        <v>48005</v>
      </c>
    </row>
    <row r="1114" spans="1:19" x14ac:dyDescent="0.35">
      <c r="A1114" t="s">
        <v>2182</v>
      </c>
      <c r="B1114" t="s">
        <v>31</v>
      </c>
      <c r="C1114" t="s">
        <v>2614</v>
      </c>
      <c r="D1114" t="str">
        <f>"2501717570"</f>
        <v>2501717570</v>
      </c>
      <c r="E1114" t="s">
        <v>1536</v>
      </c>
      <c r="F1114" t="str">
        <f t="shared" si="198"/>
        <v>400405</v>
      </c>
      <c r="G1114" t="s">
        <v>519</v>
      </c>
      <c r="H1114" t="s">
        <v>2255</v>
      </c>
      <c r="I1114" t="s">
        <v>37</v>
      </c>
      <c r="J1114">
        <v>52</v>
      </c>
      <c r="K1114">
        <v>104</v>
      </c>
      <c r="L1114" t="str">
        <f t="shared" si="200"/>
        <v>521161</v>
      </c>
      <c r="N1114" t="s">
        <v>1556</v>
      </c>
      <c r="O1114" s="2">
        <v>46207.310983796298</v>
      </c>
      <c r="P1114" s="2">
        <v>46207.310983796298</v>
      </c>
      <c r="Q1114" s="2">
        <v>46207.310983796298</v>
      </c>
      <c r="R1114" t="str">
        <f t="shared" si="199"/>
        <v>153000359</v>
      </c>
      <c r="S1114" s="1">
        <v>48005</v>
      </c>
    </row>
    <row r="1115" spans="1:19" x14ac:dyDescent="0.35">
      <c r="A1115" t="s">
        <v>2182</v>
      </c>
      <c r="B1115" t="s">
        <v>31</v>
      </c>
      <c r="C1115" t="s">
        <v>2614</v>
      </c>
      <c r="D1115" t="str">
        <f>"2501717570"</f>
        <v>2501717570</v>
      </c>
      <c r="E1115" t="s">
        <v>1536</v>
      </c>
      <c r="F1115" t="str">
        <f t="shared" si="198"/>
        <v>400405</v>
      </c>
      <c r="G1115" t="s">
        <v>519</v>
      </c>
      <c r="H1115" t="s">
        <v>2526</v>
      </c>
      <c r="I1115" t="s">
        <v>37</v>
      </c>
      <c r="J1115">
        <v>24</v>
      </c>
      <c r="K1115">
        <v>104</v>
      </c>
      <c r="L1115" t="str">
        <f t="shared" si="200"/>
        <v>521161</v>
      </c>
      <c r="N1115" t="s">
        <v>1556</v>
      </c>
      <c r="O1115" s="2">
        <v>46207.310868055552</v>
      </c>
      <c r="P1115" s="2">
        <v>46207.310879629629</v>
      </c>
      <c r="Q1115" s="2">
        <v>46207.310879629629</v>
      </c>
      <c r="R1115" t="str">
        <f t="shared" si="199"/>
        <v>153000359</v>
      </c>
      <c r="S1115" s="1">
        <v>48005</v>
      </c>
    </row>
    <row r="1116" spans="1:19" x14ac:dyDescent="0.35">
      <c r="A1116" t="s">
        <v>2182</v>
      </c>
      <c r="B1116" t="s">
        <v>31</v>
      </c>
      <c r="C1116" t="s">
        <v>2615</v>
      </c>
      <c r="D1116" t="str">
        <f>"2501717569"</f>
        <v>2501717569</v>
      </c>
      <c r="E1116" t="s">
        <v>1536</v>
      </c>
      <c r="F1116" t="str">
        <f>"400922"</f>
        <v>400922</v>
      </c>
      <c r="G1116" t="s">
        <v>2280</v>
      </c>
      <c r="H1116" t="s">
        <v>2282</v>
      </c>
      <c r="I1116" t="s">
        <v>37</v>
      </c>
      <c r="J1116">
        <v>16</v>
      </c>
      <c r="K1116">
        <v>50</v>
      </c>
      <c r="L1116" t="str">
        <f>"521067"</f>
        <v>521067</v>
      </c>
      <c r="N1116" t="s">
        <v>1903</v>
      </c>
      <c r="O1116" s="2">
        <v>46207.31287037037</v>
      </c>
      <c r="P1116" s="2">
        <v>46207.31287037037</v>
      </c>
      <c r="Q1116" s="2">
        <v>46207.31287037037</v>
      </c>
      <c r="R1116" t="str">
        <f>"100011182"</f>
        <v>100011182</v>
      </c>
      <c r="S1116" s="1">
        <v>47840</v>
      </c>
    </row>
    <row r="1117" spans="1:19" x14ac:dyDescent="0.35">
      <c r="A1117" t="s">
        <v>2182</v>
      </c>
      <c r="B1117" t="s">
        <v>31</v>
      </c>
      <c r="C1117" t="s">
        <v>2615</v>
      </c>
      <c r="D1117" t="str">
        <f>"2501717569"</f>
        <v>2501717569</v>
      </c>
      <c r="E1117" t="s">
        <v>1536</v>
      </c>
      <c r="F1117" t="str">
        <f>"400922"</f>
        <v>400922</v>
      </c>
      <c r="G1117" t="s">
        <v>2280</v>
      </c>
      <c r="H1117" t="s">
        <v>2616</v>
      </c>
      <c r="I1117" t="s">
        <v>37</v>
      </c>
      <c r="J1117">
        <v>24</v>
      </c>
      <c r="K1117">
        <v>50</v>
      </c>
      <c r="L1117" t="str">
        <f>"521067"</f>
        <v>521067</v>
      </c>
      <c r="N1117" t="s">
        <v>1903</v>
      </c>
      <c r="O1117" s="2">
        <v>46207.312696759262</v>
      </c>
      <c r="P1117" s="2">
        <v>46207.312696759262</v>
      </c>
      <c r="Q1117" s="2">
        <v>46207.312696759262</v>
      </c>
      <c r="R1117" t="str">
        <f>"100011182"</f>
        <v>100011182</v>
      </c>
      <c r="S1117" s="1">
        <v>47840</v>
      </c>
    </row>
    <row r="1118" spans="1:19" x14ac:dyDescent="0.35">
      <c r="A1118" t="s">
        <v>2182</v>
      </c>
      <c r="B1118" t="s">
        <v>31</v>
      </c>
      <c r="C1118" t="s">
        <v>2615</v>
      </c>
      <c r="D1118" t="str">
        <f>"2501717569"</f>
        <v>2501717569</v>
      </c>
      <c r="E1118" t="s">
        <v>1536</v>
      </c>
      <c r="F1118" t="str">
        <f>"400922"</f>
        <v>400922</v>
      </c>
      <c r="G1118" t="s">
        <v>2280</v>
      </c>
      <c r="H1118" t="s">
        <v>2617</v>
      </c>
      <c r="I1118" t="s">
        <v>37</v>
      </c>
      <c r="J1118">
        <v>10</v>
      </c>
      <c r="K1118">
        <v>50</v>
      </c>
      <c r="L1118" t="str">
        <f>"521067"</f>
        <v>521067</v>
      </c>
      <c r="N1118" t="s">
        <v>1903</v>
      </c>
      <c r="O1118" s="2">
        <v>46207.3125</v>
      </c>
      <c r="P1118" s="2">
        <v>46207.3125</v>
      </c>
      <c r="Q1118" s="2">
        <v>46207.3125</v>
      </c>
      <c r="R1118" t="str">
        <f>"100011182"</f>
        <v>100011182</v>
      </c>
      <c r="S1118" s="1">
        <v>47840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1"/>
  <sheetViews>
    <sheetView topLeftCell="A17" workbookViewId="0">
      <selection activeCell="A36" sqref="A36:XFD61"/>
    </sheetView>
  </sheetViews>
  <sheetFormatPr defaultRowHeight="14.5" x14ac:dyDescent="0.35"/>
  <sheetData>
    <row r="1" spans="1:23" x14ac:dyDescent="0.35">
      <c r="A1" t="s">
        <v>1523</v>
      </c>
      <c r="B1" t="s">
        <v>1915</v>
      </c>
      <c r="C1" t="s">
        <v>1916</v>
      </c>
      <c r="D1" t="s">
        <v>3</v>
      </c>
      <c r="E1" t="s">
        <v>1917</v>
      </c>
      <c r="F1" t="s">
        <v>1918</v>
      </c>
      <c r="G1" t="s">
        <v>14</v>
      </c>
      <c r="H1" t="s">
        <v>1919</v>
      </c>
      <c r="I1" t="s">
        <v>1920</v>
      </c>
      <c r="J1" t="s">
        <v>15</v>
      </c>
      <c r="K1" t="s">
        <v>1921</v>
      </c>
      <c r="L1" t="s">
        <v>1922</v>
      </c>
      <c r="M1" t="s">
        <v>1923</v>
      </c>
      <c r="N1" t="s">
        <v>1924</v>
      </c>
      <c r="O1" t="s">
        <v>1524</v>
      </c>
      <c r="P1" t="s">
        <v>1925</v>
      </c>
      <c r="Q1" t="s">
        <v>1926</v>
      </c>
      <c r="R1" t="s">
        <v>16</v>
      </c>
      <c r="S1" t="s">
        <v>1927</v>
      </c>
      <c r="T1" t="s">
        <v>1928</v>
      </c>
      <c r="U1" t="s">
        <v>20</v>
      </c>
      <c r="V1" t="s">
        <v>1929</v>
      </c>
      <c r="W1" t="s">
        <v>1930</v>
      </c>
    </row>
    <row r="2" spans="1:23" x14ac:dyDescent="0.35">
      <c r="A2" t="s">
        <v>30</v>
      </c>
      <c r="B2" t="s">
        <v>1520</v>
      </c>
      <c r="C2" t="s">
        <v>1931</v>
      </c>
      <c r="D2" t="s">
        <v>1932</v>
      </c>
      <c r="E2">
        <v>1</v>
      </c>
      <c r="F2">
        <v>2</v>
      </c>
      <c r="G2">
        <v>2</v>
      </c>
      <c r="H2">
        <v>100</v>
      </c>
      <c r="I2">
        <v>1</v>
      </c>
      <c r="J2" s="2">
        <v>46251.51</v>
      </c>
      <c r="K2" s="1">
        <v>46251</v>
      </c>
      <c r="L2" s="1">
        <v>46251</v>
      </c>
      <c r="M2" s="2">
        <v>46251.586944444447</v>
      </c>
      <c r="N2" s="2">
        <v>46251.586944444447</v>
      </c>
      <c r="O2" t="s">
        <v>31</v>
      </c>
      <c r="P2" t="str">
        <f>"2501717843"</f>
        <v>2501717843</v>
      </c>
      <c r="Q2" t="str">
        <f>"2501717843"</f>
        <v>2501717843</v>
      </c>
      <c r="R2" s="2">
        <v>46251.586956018517</v>
      </c>
      <c r="S2">
        <v>0</v>
      </c>
      <c r="T2">
        <v>0</v>
      </c>
      <c r="U2" t="s">
        <v>1933</v>
      </c>
      <c r="V2" t="s">
        <v>67</v>
      </c>
    </row>
    <row r="3" spans="1:23" x14ac:dyDescent="0.35">
      <c r="A3" t="s">
        <v>30</v>
      </c>
      <c r="B3" t="str">
        <f>"1329002020"</f>
        <v>1329002020</v>
      </c>
      <c r="C3" t="s">
        <v>1934</v>
      </c>
      <c r="D3" t="s">
        <v>1935</v>
      </c>
      <c r="E3">
        <v>1</v>
      </c>
      <c r="F3">
        <v>74</v>
      </c>
      <c r="G3">
        <v>74</v>
      </c>
      <c r="H3">
        <v>100</v>
      </c>
      <c r="I3">
        <v>1</v>
      </c>
      <c r="J3" s="2">
        <v>46246.625185185185</v>
      </c>
      <c r="K3" s="1">
        <v>46246</v>
      </c>
      <c r="L3" s="1">
        <v>46246</v>
      </c>
      <c r="M3" s="2">
        <v>46246.644178240742</v>
      </c>
      <c r="N3" s="2">
        <v>46246.644178240742</v>
      </c>
      <c r="O3" t="s">
        <v>31</v>
      </c>
      <c r="P3" t="s">
        <v>1936</v>
      </c>
      <c r="Q3" t="s">
        <v>1936</v>
      </c>
      <c r="R3" s="2">
        <v>46251.451944444445</v>
      </c>
      <c r="S3">
        <v>0</v>
      </c>
      <c r="T3">
        <v>0</v>
      </c>
      <c r="U3" t="s">
        <v>1933</v>
      </c>
      <c r="V3" t="s">
        <v>1933</v>
      </c>
    </row>
    <row r="4" spans="1:23" x14ac:dyDescent="0.35">
      <c r="A4" t="s">
        <v>30</v>
      </c>
      <c r="B4" t="str">
        <f>"1329002011"</f>
        <v>1329002011</v>
      </c>
      <c r="C4" t="s">
        <v>1934</v>
      </c>
      <c r="D4" t="s">
        <v>1935</v>
      </c>
      <c r="E4">
        <v>25</v>
      </c>
      <c r="F4">
        <v>639</v>
      </c>
      <c r="G4">
        <v>638</v>
      </c>
      <c r="H4">
        <v>99.84</v>
      </c>
      <c r="I4">
        <v>3</v>
      </c>
      <c r="J4" s="2">
        <v>46245.445497685185</v>
      </c>
      <c r="K4" s="1">
        <v>46244</v>
      </c>
      <c r="L4" s="1">
        <v>46244</v>
      </c>
      <c r="M4" s="2">
        <v>46245.610069444447</v>
      </c>
      <c r="N4" s="2">
        <v>46245.620011574072</v>
      </c>
      <c r="O4" t="s">
        <v>31</v>
      </c>
      <c r="P4" t="str">
        <f>"2501903280"</f>
        <v>2501903280</v>
      </c>
      <c r="Q4" t="s">
        <v>1937</v>
      </c>
      <c r="R4" s="2">
        <v>46251.451817129629</v>
      </c>
      <c r="S4">
        <v>0</v>
      </c>
      <c r="T4">
        <v>0</v>
      </c>
      <c r="U4" t="s">
        <v>1933</v>
      </c>
      <c r="V4" t="s">
        <v>1933</v>
      </c>
    </row>
    <row r="5" spans="1:23" x14ac:dyDescent="0.35">
      <c r="A5" t="s">
        <v>30</v>
      </c>
      <c r="B5" t="str">
        <f>"1329002010"</f>
        <v>1329002010</v>
      </c>
      <c r="C5" t="s">
        <v>1934</v>
      </c>
      <c r="D5" t="s">
        <v>1935</v>
      </c>
      <c r="E5">
        <v>23</v>
      </c>
      <c r="F5">
        <v>935</v>
      </c>
      <c r="G5">
        <v>894</v>
      </c>
      <c r="H5">
        <v>95.61</v>
      </c>
      <c r="I5">
        <v>2</v>
      </c>
      <c r="J5" s="2">
        <v>46244.518738425926</v>
      </c>
      <c r="K5" s="1">
        <v>46244</v>
      </c>
      <c r="L5" s="1">
        <v>46244</v>
      </c>
      <c r="M5" s="2">
        <v>46244.615266203706</v>
      </c>
      <c r="N5" s="2">
        <v>46244.631331018521</v>
      </c>
      <c r="O5" t="s">
        <v>31</v>
      </c>
      <c r="P5" t="str">
        <f>"2501903279"</f>
        <v>2501903279</v>
      </c>
      <c r="Q5" t="s">
        <v>1937</v>
      </c>
      <c r="R5" s="2">
        <v>46246.624039351853</v>
      </c>
      <c r="S5">
        <v>0</v>
      </c>
      <c r="T5">
        <v>0</v>
      </c>
      <c r="U5" t="s">
        <v>1933</v>
      </c>
      <c r="V5" t="s">
        <v>1933</v>
      </c>
    </row>
    <row r="6" spans="1:23" x14ac:dyDescent="0.35">
      <c r="A6" t="s">
        <v>30</v>
      </c>
      <c r="B6" t="str">
        <f>"1329002009"</f>
        <v>1329002009</v>
      </c>
      <c r="C6" t="s">
        <v>1934</v>
      </c>
      <c r="D6" t="s">
        <v>1935</v>
      </c>
      <c r="E6">
        <v>25</v>
      </c>
      <c r="F6">
        <v>726</v>
      </c>
      <c r="G6">
        <v>722</v>
      </c>
      <c r="H6">
        <v>99.45</v>
      </c>
      <c r="I6">
        <v>1</v>
      </c>
      <c r="J6" s="2">
        <v>46244.423020833332</v>
      </c>
      <c r="K6" s="1">
        <v>46243</v>
      </c>
      <c r="L6" s="1">
        <v>46243</v>
      </c>
      <c r="M6" s="2">
        <v>46244.448576388888</v>
      </c>
      <c r="N6" s="2">
        <v>46244.454513888886</v>
      </c>
      <c r="O6" t="s">
        <v>31</v>
      </c>
      <c r="P6" t="str">
        <f>"2501903278"</f>
        <v>2501903278</v>
      </c>
      <c r="Q6" t="s">
        <v>1938</v>
      </c>
      <c r="R6" s="2">
        <v>46245.586875000001</v>
      </c>
      <c r="S6">
        <v>0</v>
      </c>
      <c r="T6">
        <v>0</v>
      </c>
      <c r="U6" t="s">
        <v>1933</v>
      </c>
      <c r="V6" t="s">
        <v>1933</v>
      </c>
    </row>
    <row r="7" spans="1:23" x14ac:dyDescent="0.35">
      <c r="A7" t="s">
        <v>30</v>
      </c>
      <c r="B7" t="str">
        <f>"1329002008"</f>
        <v>1329002008</v>
      </c>
      <c r="C7" t="s">
        <v>1934</v>
      </c>
      <c r="D7" t="s">
        <v>1935</v>
      </c>
      <c r="E7">
        <v>26</v>
      </c>
      <c r="F7">
        <v>947</v>
      </c>
      <c r="G7">
        <v>947</v>
      </c>
      <c r="H7">
        <v>100</v>
      </c>
      <c r="I7">
        <v>2</v>
      </c>
      <c r="J7" s="2">
        <v>46242.447523148148</v>
      </c>
      <c r="K7" s="1">
        <v>46242</v>
      </c>
      <c r="L7" s="1">
        <v>46242</v>
      </c>
      <c r="M7" s="2">
        <v>46242.583993055552</v>
      </c>
      <c r="N7" s="2">
        <v>46242.618414351855</v>
      </c>
      <c r="O7" t="s">
        <v>31</v>
      </c>
      <c r="P7" t="str">
        <f>"2501903277"</f>
        <v>2501903277</v>
      </c>
      <c r="Q7" t="s">
        <v>1938</v>
      </c>
      <c r="R7" s="2">
        <v>46245.586747685185</v>
      </c>
      <c r="S7">
        <v>0</v>
      </c>
      <c r="T7">
        <v>0</v>
      </c>
      <c r="U7" t="s">
        <v>1933</v>
      </c>
      <c r="V7" t="s">
        <v>1933</v>
      </c>
    </row>
    <row r="8" spans="1:23" x14ac:dyDescent="0.35">
      <c r="A8" t="s">
        <v>30</v>
      </c>
      <c r="B8" t="str">
        <f>"1329002007"</f>
        <v>1329002007</v>
      </c>
      <c r="C8" t="s">
        <v>1934</v>
      </c>
      <c r="D8" t="s">
        <v>1935</v>
      </c>
      <c r="E8">
        <v>28</v>
      </c>
      <c r="F8">
        <v>576</v>
      </c>
      <c r="G8">
        <v>576</v>
      </c>
      <c r="H8">
        <v>100</v>
      </c>
      <c r="I8">
        <v>1</v>
      </c>
      <c r="J8" s="2">
        <v>46240.507002314815</v>
      </c>
      <c r="K8" s="1">
        <v>46239</v>
      </c>
      <c r="L8" s="1">
        <v>46239</v>
      </c>
      <c r="M8" s="2">
        <v>46240.656226851854</v>
      </c>
      <c r="N8" s="2">
        <v>46240.66814814815</v>
      </c>
      <c r="O8" t="s">
        <v>31</v>
      </c>
      <c r="P8" t="str">
        <f>"2501903267"</f>
        <v>2501903267</v>
      </c>
      <c r="Q8" t="s">
        <v>1939</v>
      </c>
      <c r="R8" s="2">
        <v>46245.58662037037</v>
      </c>
      <c r="S8">
        <v>0</v>
      </c>
      <c r="T8">
        <v>0</v>
      </c>
      <c r="U8" t="s">
        <v>1933</v>
      </c>
      <c r="V8" t="s">
        <v>1933</v>
      </c>
    </row>
    <row r="9" spans="1:23" x14ac:dyDescent="0.35">
      <c r="A9" t="s">
        <v>30</v>
      </c>
      <c r="B9" t="str">
        <f>"1329002006"</f>
        <v>1329002006</v>
      </c>
      <c r="C9" t="s">
        <v>1934</v>
      </c>
      <c r="D9" t="s">
        <v>1935</v>
      </c>
      <c r="E9">
        <v>25</v>
      </c>
      <c r="F9">
        <v>960</v>
      </c>
      <c r="G9">
        <v>960</v>
      </c>
      <c r="H9">
        <v>100</v>
      </c>
      <c r="I9">
        <v>1</v>
      </c>
      <c r="J9" s="2">
        <v>46239.500613425924</v>
      </c>
      <c r="K9" s="1">
        <v>46239</v>
      </c>
      <c r="L9" s="1">
        <v>46239</v>
      </c>
      <c r="M9" s="2">
        <v>46240.598483796297</v>
      </c>
      <c r="N9" s="2">
        <v>46240.604895833334</v>
      </c>
      <c r="O9" t="s">
        <v>31</v>
      </c>
      <c r="P9" t="str">
        <f>"2501903266"</f>
        <v>2501903266</v>
      </c>
      <c r="Q9" t="s">
        <v>1939</v>
      </c>
      <c r="R9" s="2">
        <v>46245.586481481485</v>
      </c>
      <c r="S9">
        <v>0</v>
      </c>
      <c r="T9">
        <v>0</v>
      </c>
      <c r="U9" t="s">
        <v>1933</v>
      </c>
      <c r="V9" t="s">
        <v>1933</v>
      </c>
    </row>
    <row r="10" spans="1:23" x14ac:dyDescent="0.35">
      <c r="A10" t="s">
        <v>30</v>
      </c>
      <c r="B10" t="s">
        <v>1940</v>
      </c>
      <c r="D10" t="s">
        <v>1935</v>
      </c>
      <c r="E10">
        <v>2</v>
      </c>
      <c r="F10">
        <v>5</v>
      </c>
      <c r="G10">
        <v>5</v>
      </c>
      <c r="H10">
        <v>100</v>
      </c>
      <c r="I10">
        <v>1</v>
      </c>
      <c r="J10" s="2">
        <v>46232.42465277778</v>
      </c>
      <c r="M10" s="2">
        <v>46232.454108796293</v>
      </c>
      <c r="N10" s="2">
        <v>46232.45590277778</v>
      </c>
      <c r="O10" t="s">
        <v>31</v>
      </c>
      <c r="P10" t="str">
        <f>"2501717899"</f>
        <v>2501717899</v>
      </c>
      <c r="Q10" t="str">
        <f>"2501717899"</f>
        <v>2501717899</v>
      </c>
      <c r="R10" s="2">
        <v>46236.5387962963</v>
      </c>
      <c r="S10">
        <v>0</v>
      </c>
      <c r="T10">
        <v>0</v>
      </c>
      <c r="U10" t="s">
        <v>1933</v>
      </c>
      <c r="V10" t="s">
        <v>1933</v>
      </c>
    </row>
    <row r="11" spans="1:23" x14ac:dyDescent="0.35">
      <c r="A11" t="s">
        <v>30</v>
      </c>
      <c r="B11" t="str">
        <f>"1329001990"</f>
        <v>1329001990</v>
      </c>
      <c r="C11" t="s">
        <v>1934</v>
      </c>
      <c r="D11" t="s">
        <v>1935</v>
      </c>
      <c r="E11">
        <v>30</v>
      </c>
      <c r="F11">
        <v>118</v>
      </c>
      <c r="G11">
        <v>117</v>
      </c>
      <c r="H11">
        <v>99.15</v>
      </c>
      <c r="I11">
        <v>2</v>
      </c>
      <c r="J11" s="2">
        <v>46229.462222222224</v>
      </c>
      <c r="K11" s="1">
        <v>46229</v>
      </c>
      <c r="L11" s="1">
        <v>46229</v>
      </c>
      <c r="M11" s="2">
        <v>46229.476307870369</v>
      </c>
      <c r="N11" s="2">
        <v>46229.481805555559</v>
      </c>
      <c r="O11" t="s">
        <v>31</v>
      </c>
      <c r="P11" t="s">
        <v>1941</v>
      </c>
      <c r="Q11" t="str">
        <f>"160007305"</f>
        <v>160007305</v>
      </c>
      <c r="R11" s="2">
        <v>46232.580868055556</v>
      </c>
      <c r="S11">
        <v>0</v>
      </c>
      <c r="T11">
        <v>0</v>
      </c>
      <c r="U11" t="s">
        <v>1933</v>
      </c>
      <c r="V11" t="s">
        <v>1933</v>
      </c>
    </row>
    <row r="12" spans="1:23" x14ac:dyDescent="0.35">
      <c r="A12" t="s">
        <v>30</v>
      </c>
      <c r="B12" t="str">
        <f>"1329001983"</f>
        <v>1329001983</v>
      </c>
      <c r="C12" t="s">
        <v>1934</v>
      </c>
      <c r="D12" t="s">
        <v>1935</v>
      </c>
      <c r="E12">
        <v>22</v>
      </c>
      <c r="F12">
        <v>514</v>
      </c>
      <c r="G12">
        <v>514</v>
      </c>
      <c r="H12">
        <v>100</v>
      </c>
      <c r="I12">
        <v>2</v>
      </c>
      <c r="J12" s="2">
        <v>46226.597662037035</v>
      </c>
      <c r="K12" s="1">
        <v>46226</v>
      </c>
      <c r="L12" s="1">
        <v>46226</v>
      </c>
      <c r="M12" s="2">
        <v>46226.615671296298</v>
      </c>
      <c r="N12" s="2">
        <v>46226.626666666663</v>
      </c>
      <c r="O12" t="s">
        <v>31</v>
      </c>
      <c r="P12" t="s">
        <v>1942</v>
      </c>
      <c r="Q12" t="str">
        <f>"160007296"</f>
        <v>160007296</v>
      </c>
      <c r="R12" s="2">
        <v>46229.459780092591</v>
      </c>
      <c r="S12">
        <v>0</v>
      </c>
      <c r="T12">
        <v>0</v>
      </c>
      <c r="U12" t="s">
        <v>1933</v>
      </c>
      <c r="V12" t="s">
        <v>1933</v>
      </c>
    </row>
    <row r="13" spans="1:23" x14ac:dyDescent="0.35">
      <c r="A13" t="s">
        <v>30</v>
      </c>
      <c r="B13" t="str">
        <f>"1329001987"</f>
        <v>1329001987</v>
      </c>
      <c r="C13" t="s">
        <v>1934</v>
      </c>
      <c r="D13" t="s">
        <v>1935</v>
      </c>
      <c r="E13">
        <v>30</v>
      </c>
      <c r="F13">
        <v>120</v>
      </c>
      <c r="G13">
        <v>120</v>
      </c>
      <c r="H13">
        <v>100</v>
      </c>
      <c r="I13">
        <v>2</v>
      </c>
      <c r="J13" s="2">
        <v>46226.415601851855</v>
      </c>
      <c r="K13" s="1">
        <v>46226</v>
      </c>
      <c r="L13" s="1">
        <v>46226</v>
      </c>
      <c r="M13" s="2">
        <v>46226.466979166667</v>
      </c>
      <c r="N13" s="2">
        <v>46226.472384259258</v>
      </c>
      <c r="O13" t="s">
        <v>31</v>
      </c>
      <c r="P13" t="s">
        <v>1943</v>
      </c>
      <c r="Q13" t="str">
        <f>"160007301"</f>
        <v>160007301</v>
      </c>
      <c r="R13" s="2">
        <v>46229.459652777776</v>
      </c>
      <c r="S13">
        <v>0</v>
      </c>
      <c r="T13">
        <v>0</v>
      </c>
      <c r="U13" t="s">
        <v>1933</v>
      </c>
      <c r="V13" t="s">
        <v>1933</v>
      </c>
    </row>
    <row r="14" spans="1:23" x14ac:dyDescent="0.35">
      <c r="A14" t="s">
        <v>30</v>
      </c>
      <c r="B14" t="s">
        <v>1944</v>
      </c>
      <c r="D14" t="s">
        <v>1935</v>
      </c>
      <c r="E14">
        <v>2</v>
      </c>
      <c r="F14">
        <v>30</v>
      </c>
      <c r="G14">
        <v>30</v>
      </c>
      <c r="H14">
        <v>100</v>
      </c>
      <c r="I14">
        <v>1</v>
      </c>
      <c r="J14" s="2">
        <v>46225.62462962963</v>
      </c>
      <c r="M14" s="2">
        <v>46225.629513888889</v>
      </c>
      <c r="N14" s="2">
        <v>46225.629571759258</v>
      </c>
      <c r="O14" t="s">
        <v>31</v>
      </c>
      <c r="Q14" t="str">
        <f>"2501717773"</f>
        <v>2501717773</v>
      </c>
      <c r="R14" s="2">
        <v>46226.415034722224</v>
      </c>
      <c r="S14">
        <v>0</v>
      </c>
      <c r="T14">
        <v>0</v>
      </c>
      <c r="U14" t="s">
        <v>1933</v>
      </c>
      <c r="V14" t="s">
        <v>1933</v>
      </c>
    </row>
    <row r="15" spans="1:23" x14ac:dyDescent="0.35">
      <c r="A15" t="s">
        <v>30</v>
      </c>
      <c r="B15" t="str">
        <f>"1329001977"</f>
        <v>1329001977</v>
      </c>
      <c r="C15" t="s">
        <v>1934</v>
      </c>
      <c r="D15" t="s">
        <v>1935</v>
      </c>
      <c r="E15">
        <v>22</v>
      </c>
      <c r="F15">
        <v>528</v>
      </c>
      <c r="G15">
        <v>528</v>
      </c>
      <c r="H15">
        <v>100</v>
      </c>
      <c r="I15">
        <v>1</v>
      </c>
      <c r="J15" s="2">
        <v>46224.488738425927</v>
      </c>
      <c r="K15" s="1">
        <v>46224</v>
      </c>
      <c r="L15" s="1">
        <v>46224</v>
      </c>
      <c r="M15" s="2">
        <v>46224.58630787037</v>
      </c>
      <c r="N15" s="2">
        <v>46224.588946759257</v>
      </c>
      <c r="O15" t="s">
        <v>31</v>
      </c>
      <c r="P15" t="s">
        <v>1945</v>
      </c>
      <c r="Q15" t="str">
        <f>"1650007285"</f>
        <v>1650007285</v>
      </c>
      <c r="R15" s="2">
        <v>46225.730532407404</v>
      </c>
      <c r="S15">
        <v>0</v>
      </c>
      <c r="T15">
        <v>0</v>
      </c>
      <c r="U15" t="s">
        <v>1933</v>
      </c>
      <c r="V15" t="s">
        <v>1933</v>
      </c>
    </row>
    <row r="16" spans="1:23" x14ac:dyDescent="0.35">
      <c r="A16" t="s">
        <v>30</v>
      </c>
      <c r="B16" t="str">
        <f>"1329001978"</f>
        <v>1329001978</v>
      </c>
      <c r="C16" t="s">
        <v>1934</v>
      </c>
      <c r="D16" t="s">
        <v>1935</v>
      </c>
      <c r="E16">
        <v>22</v>
      </c>
      <c r="F16">
        <v>528</v>
      </c>
      <c r="G16">
        <v>528</v>
      </c>
      <c r="H16">
        <v>100</v>
      </c>
      <c r="I16">
        <v>1</v>
      </c>
      <c r="J16" s="2">
        <v>46224.486562500002</v>
      </c>
      <c r="K16" s="1">
        <v>46223</v>
      </c>
      <c r="L16" s="1">
        <v>46223</v>
      </c>
      <c r="M16" s="2">
        <v>46224.582499999997</v>
      </c>
      <c r="N16" s="2">
        <v>46224.584907407407</v>
      </c>
      <c r="O16" t="s">
        <v>31</v>
      </c>
      <c r="P16" t="s">
        <v>1946</v>
      </c>
      <c r="Q16" t="str">
        <f>"160007286"</f>
        <v>160007286</v>
      </c>
      <c r="R16" s="2">
        <v>46225.730393518519</v>
      </c>
      <c r="S16">
        <v>0</v>
      </c>
      <c r="T16">
        <v>0</v>
      </c>
      <c r="U16" t="s">
        <v>1933</v>
      </c>
      <c r="V16" t="s">
        <v>1933</v>
      </c>
    </row>
    <row r="17" spans="1:22" x14ac:dyDescent="0.35">
      <c r="A17" t="s">
        <v>30</v>
      </c>
      <c r="B17" t="str">
        <f>"1329001963"</f>
        <v>1329001963</v>
      </c>
      <c r="C17" t="s">
        <v>1934</v>
      </c>
      <c r="D17" t="s">
        <v>1935</v>
      </c>
      <c r="E17">
        <v>24</v>
      </c>
      <c r="F17">
        <v>579</v>
      </c>
      <c r="G17">
        <v>579</v>
      </c>
      <c r="H17">
        <v>100</v>
      </c>
      <c r="I17">
        <v>3</v>
      </c>
      <c r="J17" s="2">
        <v>46223.488391203704</v>
      </c>
      <c r="K17" s="1">
        <v>46223</v>
      </c>
      <c r="L17" s="1">
        <v>46223</v>
      </c>
      <c r="M17" s="2">
        <v>46223.564363425925</v>
      </c>
      <c r="N17" s="2">
        <v>46223.567824074074</v>
      </c>
      <c r="O17" t="s">
        <v>31</v>
      </c>
      <c r="P17" t="s">
        <v>1947</v>
      </c>
      <c r="Q17" t="str">
        <f>"160007260"</f>
        <v>160007260</v>
      </c>
      <c r="R17" s="2">
        <v>46224.485914351855</v>
      </c>
      <c r="S17">
        <v>0</v>
      </c>
      <c r="T17">
        <v>0</v>
      </c>
      <c r="U17" t="s">
        <v>1933</v>
      </c>
      <c r="V17" t="s">
        <v>1933</v>
      </c>
    </row>
    <row r="18" spans="1:22" x14ac:dyDescent="0.35">
      <c r="A18" t="s">
        <v>30</v>
      </c>
      <c r="B18" t="str">
        <f>"1329001972"</f>
        <v>1329001972</v>
      </c>
      <c r="C18" t="s">
        <v>1934</v>
      </c>
      <c r="D18" t="s">
        <v>1935</v>
      </c>
      <c r="E18">
        <v>30</v>
      </c>
      <c r="F18">
        <v>120</v>
      </c>
      <c r="G18">
        <v>120</v>
      </c>
      <c r="H18">
        <v>100</v>
      </c>
      <c r="I18">
        <v>1</v>
      </c>
      <c r="J18" s="2">
        <v>46223.461701388886</v>
      </c>
      <c r="K18" s="1">
        <v>46223</v>
      </c>
      <c r="L18" s="1">
        <v>46223</v>
      </c>
      <c r="M18" s="2">
        <v>46223.558541666665</v>
      </c>
      <c r="N18" s="2">
        <v>46223.561689814815</v>
      </c>
      <c r="O18" t="s">
        <v>31</v>
      </c>
      <c r="P18" t="s">
        <v>1948</v>
      </c>
      <c r="Q18" t="str">
        <f>"160007274"</f>
        <v>160007274</v>
      </c>
      <c r="R18" s="2">
        <v>46224.485775462963</v>
      </c>
      <c r="S18">
        <v>0</v>
      </c>
      <c r="T18">
        <v>0</v>
      </c>
      <c r="U18" t="s">
        <v>1933</v>
      </c>
      <c r="V18" t="s">
        <v>1933</v>
      </c>
    </row>
    <row r="19" spans="1:22" x14ac:dyDescent="0.35">
      <c r="A19" t="s">
        <v>30</v>
      </c>
      <c r="B19" t="str">
        <f>"1329001965"</f>
        <v>1329001965</v>
      </c>
      <c r="C19" t="s">
        <v>1934</v>
      </c>
      <c r="D19" t="s">
        <v>1935</v>
      </c>
      <c r="E19">
        <v>24</v>
      </c>
      <c r="F19">
        <v>456</v>
      </c>
      <c r="G19">
        <v>456</v>
      </c>
      <c r="H19">
        <v>100</v>
      </c>
      <c r="I19">
        <v>3</v>
      </c>
      <c r="J19" s="2">
        <v>46222.417384259257</v>
      </c>
      <c r="K19" s="1">
        <v>46222</v>
      </c>
      <c r="L19" s="1">
        <v>46222</v>
      </c>
      <c r="M19" s="2">
        <v>46222.439791666664</v>
      </c>
      <c r="N19" s="2">
        <v>46222.445115740738</v>
      </c>
      <c r="O19" t="s">
        <v>31</v>
      </c>
      <c r="P19" t="s">
        <v>1949</v>
      </c>
      <c r="Q19" t="str">
        <f>"160007267"</f>
        <v>160007267</v>
      </c>
      <c r="R19" s="2">
        <v>46223.460856481484</v>
      </c>
      <c r="S19">
        <v>0</v>
      </c>
      <c r="T19">
        <v>0</v>
      </c>
      <c r="U19" t="s">
        <v>1933</v>
      </c>
      <c r="V19" t="s">
        <v>1933</v>
      </c>
    </row>
    <row r="20" spans="1:22" x14ac:dyDescent="0.35">
      <c r="A20" t="s">
        <v>30</v>
      </c>
      <c r="B20" t="str">
        <f>"1329001957"</f>
        <v>1329001957</v>
      </c>
      <c r="C20" t="s">
        <v>1934</v>
      </c>
      <c r="D20" t="s">
        <v>1935</v>
      </c>
      <c r="E20">
        <v>30</v>
      </c>
      <c r="F20">
        <v>120</v>
      </c>
      <c r="G20">
        <v>120</v>
      </c>
      <c r="H20">
        <v>100</v>
      </c>
      <c r="I20">
        <v>1</v>
      </c>
      <c r="J20" s="2">
        <v>46221.461643518516</v>
      </c>
      <c r="K20" s="1">
        <v>46221</v>
      </c>
      <c r="L20" s="1">
        <v>46221</v>
      </c>
      <c r="M20" s="2">
        <v>46222.36482638889</v>
      </c>
      <c r="N20" s="2">
        <v>46222.367997685185</v>
      </c>
      <c r="O20" t="s">
        <v>31</v>
      </c>
      <c r="P20" t="s">
        <v>1950</v>
      </c>
      <c r="Q20" t="str">
        <f>"160007251"</f>
        <v>160007251</v>
      </c>
      <c r="R20" s="2">
        <v>46223.460532407407</v>
      </c>
      <c r="S20">
        <v>0</v>
      </c>
      <c r="T20">
        <v>0</v>
      </c>
      <c r="U20" t="s">
        <v>1933</v>
      </c>
      <c r="V20" t="s">
        <v>1933</v>
      </c>
    </row>
    <row r="21" spans="1:22" x14ac:dyDescent="0.35">
      <c r="A21" t="s">
        <v>30</v>
      </c>
      <c r="B21" t="str">
        <f>"1329001955"</f>
        <v>1329001955</v>
      </c>
      <c r="C21" t="s">
        <v>1934</v>
      </c>
      <c r="D21" t="s">
        <v>1935</v>
      </c>
      <c r="E21">
        <v>24</v>
      </c>
      <c r="F21">
        <v>912</v>
      </c>
      <c r="G21">
        <v>912</v>
      </c>
      <c r="H21">
        <v>100</v>
      </c>
      <c r="I21">
        <v>2</v>
      </c>
      <c r="J21" s="2">
        <v>46218.596875000003</v>
      </c>
      <c r="K21" s="1">
        <v>46218</v>
      </c>
      <c r="L21" s="1">
        <v>46218</v>
      </c>
      <c r="M21" s="2">
        <v>46218.618877314817</v>
      </c>
      <c r="N21" s="2">
        <v>46218.622719907406</v>
      </c>
      <c r="O21" t="s">
        <v>31</v>
      </c>
      <c r="P21" t="s">
        <v>1951</v>
      </c>
      <c r="Q21" t="str">
        <f>"160007242"</f>
        <v>160007242</v>
      </c>
      <c r="R21" s="2">
        <v>46221.460578703707</v>
      </c>
      <c r="S21">
        <v>0</v>
      </c>
      <c r="T21">
        <v>0</v>
      </c>
      <c r="U21" t="s">
        <v>1933</v>
      </c>
      <c r="V21" t="s">
        <v>1933</v>
      </c>
    </row>
    <row r="22" spans="1:22" x14ac:dyDescent="0.35">
      <c r="A22" t="s">
        <v>30</v>
      </c>
      <c r="B22" t="str">
        <f>"1329001952"</f>
        <v>1329001952</v>
      </c>
      <c r="C22" t="s">
        <v>1934</v>
      </c>
      <c r="D22" t="s">
        <v>1935</v>
      </c>
      <c r="E22">
        <v>24</v>
      </c>
      <c r="F22">
        <v>672</v>
      </c>
      <c r="G22">
        <v>672</v>
      </c>
      <c r="H22">
        <v>100</v>
      </c>
      <c r="I22">
        <v>2</v>
      </c>
      <c r="J22" s="2">
        <v>46217.747314814813</v>
      </c>
      <c r="K22" s="1">
        <v>46217</v>
      </c>
      <c r="L22" s="1">
        <v>46217</v>
      </c>
      <c r="M22" s="2">
        <v>46218.394583333335</v>
      </c>
      <c r="N22" s="2">
        <v>46218.397256944445</v>
      </c>
      <c r="O22" t="s">
        <v>31</v>
      </c>
      <c r="P22" t="s">
        <v>1952</v>
      </c>
      <c r="Q22" t="str">
        <f>"160007237"</f>
        <v>160007237</v>
      </c>
      <c r="R22" s="2">
        <v>46221.460451388892</v>
      </c>
      <c r="S22">
        <v>0</v>
      </c>
      <c r="T22">
        <v>0</v>
      </c>
      <c r="U22" t="s">
        <v>1933</v>
      </c>
      <c r="V22" t="s">
        <v>1933</v>
      </c>
    </row>
    <row r="23" spans="1:22" x14ac:dyDescent="0.35">
      <c r="A23" t="s">
        <v>30</v>
      </c>
      <c r="B23" t="str">
        <f>"1329001950"</f>
        <v>1329001950</v>
      </c>
      <c r="C23" t="s">
        <v>1934</v>
      </c>
      <c r="D23" t="s">
        <v>1935</v>
      </c>
      <c r="E23">
        <v>30</v>
      </c>
      <c r="F23">
        <v>120</v>
      </c>
      <c r="G23">
        <v>120</v>
      </c>
      <c r="H23">
        <v>100</v>
      </c>
      <c r="I23">
        <v>2</v>
      </c>
      <c r="J23" s="2">
        <v>46217.394571759258</v>
      </c>
      <c r="K23" s="1">
        <v>46217</v>
      </c>
      <c r="L23" s="1">
        <v>46217</v>
      </c>
      <c r="M23" s="2">
        <v>46217.464918981481</v>
      </c>
      <c r="N23" s="2">
        <v>46217.468472222223</v>
      </c>
      <c r="O23" t="s">
        <v>31</v>
      </c>
      <c r="P23" t="s">
        <v>1953</v>
      </c>
      <c r="Q23" t="str">
        <f>"160007235"</f>
        <v>160007235</v>
      </c>
      <c r="R23" s="2">
        <v>46218.769548611112</v>
      </c>
      <c r="S23">
        <v>0</v>
      </c>
      <c r="T23">
        <v>0</v>
      </c>
      <c r="U23" t="s">
        <v>1933</v>
      </c>
      <c r="V23" t="s">
        <v>1933</v>
      </c>
    </row>
    <row r="24" spans="1:22" x14ac:dyDescent="0.35">
      <c r="A24" t="s">
        <v>30</v>
      </c>
      <c r="B24" t="str">
        <f>"1329001945"</f>
        <v>1329001945</v>
      </c>
      <c r="C24" t="s">
        <v>1934</v>
      </c>
      <c r="D24" t="s">
        <v>1935</v>
      </c>
      <c r="E24">
        <v>30</v>
      </c>
      <c r="F24">
        <v>120</v>
      </c>
      <c r="G24">
        <v>120</v>
      </c>
      <c r="H24">
        <v>100</v>
      </c>
      <c r="I24">
        <v>1</v>
      </c>
      <c r="J24" s="2">
        <v>46217.392812500002</v>
      </c>
      <c r="K24" s="1">
        <v>46217</v>
      </c>
      <c r="L24" s="1">
        <v>46217</v>
      </c>
      <c r="M24" s="2">
        <v>46217.453703703701</v>
      </c>
      <c r="N24" s="2">
        <v>46217.456886574073</v>
      </c>
      <c r="O24" t="s">
        <v>31</v>
      </c>
      <c r="P24" t="s">
        <v>1954</v>
      </c>
      <c r="Q24" t="str">
        <f>"160007226"</f>
        <v>160007226</v>
      </c>
      <c r="R24" s="2">
        <v>46218.59578703704</v>
      </c>
      <c r="S24">
        <v>0</v>
      </c>
      <c r="T24">
        <v>0</v>
      </c>
      <c r="U24" t="s">
        <v>1933</v>
      </c>
      <c r="V24" t="s">
        <v>1933</v>
      </c>
    </row>
    <row r="25" spans="1:22" x14ac:dyDescent="0.35">
      <c r="A25" t="s">
        <v>30</v>
      </c>
      <c r="B25" t="str">
        <f>"1329001942"</f>
        <v>1329001942</v>
      </c>
      <c r="C25" t="s">
        <v>1934</v>
      </c>
      <c r="D25" t="s">
        <v>1935</v>
      </c>
      <c r="E25">
        <v>30</v>
      </c>
      <c r="F25">
        <v>120</v>
      </c>
      <c r="G25">
        <v>120</v>
      </c>
      <c r="H25">
        <v>100</v>
      </c>
      <c r="I25">
        <v>1</v>
      </c>
      <c r="J25" s="2">
        <v>46215.57880787037</v>
      </c>
      <c r="K25" s="1">
        <v>46215</v>
      </c>
      <c r="L25" s="1">
        <v>46215</v>
      </c>
      <c r="M25" s="2">
        <v>46215.61314814815</v>
      </c>
      <c r="N25" s="2">
        <v>46215.615891203706</v>
      </c>
      <c r="O25" t="s">
        <v>31</v>
      </c>
      <c r="P25" t="s">
        <v>1955</v>
      </c>
      <c r="Q25" t="str">
        <f>"160007222"</f>
        <v>160007222</v>
      </c>
      <c r="R25" s="2">
        <v>46217.714814814812</v>
      </c>
      <c r="S25">
        <v>0</v>
      </c>
      <c r="T25">
        <v>0</v>
      </c>
      <c r="U25" t="s">
        <v>1933</v>
      </c>
      <c r="V25" t="s">
        <v>1933</v>
      </c>
    </row>
    <row r="26" spans="1:22" x14ac:dyDescent="0.35">
      <c r="A26" t="s">
        <v>30</v>
      </c>
      <c r="B26" t="str">
        <f>"1329001938"</f>
        <v>1329001938</v>
      </c>
      <c r="C26" t="s">
        <v>1934</v>
      </c>
      <c r="D26" t="s">
        <v>1935</v>
      </c>
      <c r="E26">
        <v>24</v>
      </c>
      <c r="F26">
        <v>284</v>
      </c>
      <c r="G26">
        <v>284</v>
      </c>
      <c r="H26">
        <v>100</v>
      </c>
      <c r="I26">
        <v>3</v>
      </c>
      <c r="J26" s="2">
        <v>46214.464085648149</v>
      </c>
      <c r="K26" s="1">
        <v>46214</v>
      </c>
      <c r="L26" s="1">
        <v>46214</v>
      </c>
      <c r="M26" s="2">
        <v>46214.506469907406</v>
      </c>
      <c r="N26" s="2">
        <v>46214.511157407411</v>
      </c>
      <c r="O26" t="s">
        <v>31</v>
      </c>
      <c r="P26" t="s">
        <v>1956</v>
      </c>
      <c r="Q26" t="str">
        <f>"160007215"</f>
        <v>160007215</v>
      </c>
      <c r="R26" s="2">
        <v>46215.578194444446</v>
      </c>
      <c r="S26">
        <v>0</v>
      </c>
      <c r="T26">
        <v>0</v>
      </c>
      <c r="U26" t="s">
        <v>1933</v>
      </c>
      <c r="V26" t="s">
        <v>1933</v>
      </c>
    </row>
    <row r="27" spans="1:22" x14ac:dyDescent="0.35">
      <c r="A27" t="s">
        <v>30</v>
      </c>
      <c r="B27" t="str">
        <f>"1329001937"</f>
        <v>1329001937</v>
      </c>
      <c r="C27" t="s">
        <v>1934</v>
      </c>
      <c r="D27" t="s">
        <v>1935</v>
      </c>
      <c r="E27">
        <v>30</v>
      </c>
      <c r="F27">
        <v>117</v>
      </c>
      <c r="G27">
        <v>117</v>
      </c>
      <c r="H27">
        <v>100</v>
      </c>
      <c r="I27">
        <v>3</v>
      </c>
      <c r="J27" s="2">
        <v>46214.460543981484</v>
      </c>
      <c r="K27" s="1">
        <v>46214</v>
      </c>
      <c r="L27" s="1">
        <v>46214</v>
      </c>
      <c r="M27" s="2">
        <v>46214.499398148146</v>
      </c>
      <c r="N27" s="2">
        <v>46214.504016203704</v>
      </c>
      <c r="O27" t="s">
        <v>31</v>
      </c>
      <c r="P27" t="s">
        <v>1957</v>
      </c>
      <c r="Q27" t="str">
        <f>"160007214"</f>
        <v>160007214</v>
      </c>
      <c r="R27" s="2">
        <v>46215.578067129631</v>
      </c>
      <c r="S27">
        <v>0</v>
      </c>
      <c r="T27">
        <v>0</v>
      </c>
      <c r="U27" t="s">
        <v>1933</v>
      </c>
      <c r="V27" t="s">
        <v>1933</v>
      </c>
    </row>
    <row r="28" spans="1:22" x14ac:dyDescent="0.35">
      <c r="A28" t="s">
        <v>30</v>
      </c>
      <c r="B28" t="str">
        <f>"1329001931"</f>
        <v>1329001931</v>
      </c>
      <c r="C28" t="s">
        <v>1934</v>
      </c>
      <c r="D28" t="s">
        <v>1935</v>
      </c>
      <c r="E28">
        <v>24</v>
      </c>
      <c r="F28">
        <v>580</v>
      </c>
      <c r="G28">
        <v>580</v>
      </c>
      <c r="H28">
        <v>100</v>
      </c>
      <c r="I28">
        <v>2</v>
      </c>
      <c r="J28" s="2">
        <v>46212.60083333333</v>
      </c>
      <c r="K28" s="1">
        <v>46212</v>
      </c>
      <c r="L28" s="1">
        <v>46212</v>
      </c>
      <c r="M28" s="2">
        <v>46212.622673611113</v>
      </c>
      <c r="N28" s="2">
        <v>46212.632060185184</v>
      </c>
      <c r="O28" t="s">
        <v>31</v>
      </c>
      <c r="P28" t="s">
        <v>1958</v>
      </c>
      <c r="Q28" t="str">
        <f>"160007211"</f>
        <v>160007211</v>
      </c>
      <c r="R28" s="2">
        <v>46214.463148148148</v>
      </c>
      <c r="S28">
        <v>0</v>
      </c>
      <c r="T28">
        <v>0</v>
      </c>
      <c r="U28" t="s">
        <v>1933</v>
      </c>
      <c r="V28" t="s">
        <v>1933</v>
      </c>
    </row>
    <row r="29" spans="1:22" x14ac:dyDescent="0.35">
      <c r="A29" t="s">
        <v>30</v>
      </c>
      <c r="B29" t="str">
        <f>"1329001932"</f>
        <v>1329001932</v>
      </c>
      <c r="C29" t="s">
        <v>1934</v>
      </c>
      <c r="D29" t="s">
        <v>1935</v>
      </c>
      <c r="E29">
        <v>32</v>
      </c>
      <c r="F29">
        <v>120</v>
      </c>
      <c r="G29">
        <v>120</v>
      </c>
      <c r="H29">
        <v>100</v>
      </c>
      <c r="I29">
        <v>2</v>
      </c>
      <c r="J29" s="2">
        <v>46212.418587962966</v>
      </c>
      <c r="K29" s="1">
        <v>46212</v>
      </c>
      <c r="L29" s="1">
        <v>46212</v>
      </c>
      <c r="M29" s="2">
        <v>46212.459201388891</v>
      </c>
      <c r="N29" s="2">
        <v>46212.475266203706</v>
      </c>
      <c r="O29" t="s">
        <v>31</v>
      </c>
      <c r="P29" t="s">
        <v>1959</v>
      </c>
      <c r="Q29" t="str">
        <f>"160007209"</f>
        <v>160007209</v>
      </c>
      <c r="R29" s="2">
        <v>46214.463009259256</v>
      </c>
      <c r="S29">
        <v>0</v>
      </c>
      <c r="T29">
        <v>0</v>
      </c>
      <c r="U29" t="s">
        <v>1933</v>
      </c>
      <c r="V29" t="s">
        <v>1933</v>
      </c>
    </row>
    <row r="30" spans="1:22" x14ac:dyDescent="0.35">
      <c r="A30" t="s">
        <v>30</v>
      </c>
      <c r="B30" t="str">
        <f>"1329001933"</f>
        <v>1329001933</v>
      </c>
      <c r="C30" t="s">
        <v>1934</v>
      </c>
      <c r="D30" t="s">
        <v>1935</v>
      </c>
      <c r="E30">
        <v>30</v>
      </c>
      <c r="F30">
        <v>120</v>
      </c>
      <c r="G30">
        <v>120</v>
      </c>
      <c r="H30">
        <v>100</v>
      </c>
      <c r="I30">
        <v>1</v>
      </c>
      <c r="J30" s="2">
        <v>46212.416562500002</v>
      </c>
      <c r="K30" s="1">
        <v>46212</v>
      </c>
      <c r="L30" s="1">
        <v>46212</v>
      </c>
      <c r="M30" s="2">
        <v>46212.439953703702</v>
      </c>
      <c r="N30" s="2">
        <v>46212.450983796298</v>
      </c>
      <c r="O30" t="s">
        <v>31</v>
      </c>
      <c r="P30" t="s">
        <v>1960</v>
      </c>
      <c r="Q30" t="str">
        <f>"160007207"</f>
        <v>160007207</v>
      </c>
      <c r="R30" s="2">
        <v>46215.404942129629</v>
      </c>
      <c r="S30">
        <v>0</v>
      </c>
      <c r="T30">
        <v>0</v>
      </c>
      <c r="U30" t="s">
        <v>1933</v>
      </c>
      <c r="V30" t="s">
        <v>1933</v>
      </c>
    </row>
    <row r="31" spans="1:22" x14ac:dyDescent="0.35">
      <c r="A31" t="s">
        <v>30</v>
      </c>
      <c r="B31" t="str">
        <f>"1329001908"</f>
        <v>1329001908</v>
      </c>
      <c r="C31" t="s">
        <v>1934</v>
      </c>
      <c r="D31" t="s">
        <v>1935</v>
      </c>
      <c r="E31">
        <v>24</v>
      </c>
      <c r="F31">
        <v>576</v>
      </c>
      <c r="G31">
        <v>576</v>
      </c>
      <c r="H31">
        <v>100</v>
      </c>
      <c r="I31">
        <v>1</v>
      </c>
      <c r="J31" s="2">
        <v>46211.41165509259</v>
      </c>
      <c r="K31" s="1">
        <v>46211</v>
      </c>
      <c r="L31" s="1">
        <v>46211</v>
      </c>
      <c r="M31" s="2">
        <v>46211.458032407405</v>
      </c>
      <c r="N31" s="2">
        <v>46211.462812500002</v>
      </c>
      <c r="O31" t="s">
        <v>31</v>
      </c>
      <c r="P31" t="s">
        <v>1961</v>
      </c>
      <c r="Q31" t="str">
        <f>"160007192"</f>
        <v>160007192</v>
      </c>
      <c r="R31" s="2">
        <v>46212.415891203702</v>
      </c>
      <c r="S31">
        <v>0</v>
      </c>
      <c r="T31">
        <v>0</v>
      </c>
      <c r="U31" t="s">
        <v>1933</v>
      </c>
      <c r="V31" t="s">
        <v>1933</v>
      </c>
    </row>
    <row r="32" spans="1:22" x14ac:dyDescent="0.35">
      <c r="A32" t="s">
        <v>30</v>
      </c>
      <c r="B32" t="str">
        <f>"1329001918"</f>
        <v>1329001918</v>
      </c>
      <c r="C32" t="s">
        <v>1934</v>
      </c>
      <c r="D32" t="s">
        <v>1935</v>
      </c>
      <c r="E32">
        <v>32</v>
      </c>
      <c r="F32">
        <v>120</v>
      </c>
      <c r="G32">
        <v>120</v>
      </c>
      <c r="H32">
        <v>100</v>
      </c>
      <c r="I32">
        <v>2</v>
      </c>
      <c r="J32" s="2">
        <v>46210.467662037037</v>
      </c>
      <c r="K32" s="1">
        <v>46210</v>
      </c>
      <c r="L32" s="1">
        <v>46210</v>
      </c>
      <c r="M32" s="2">
        <v>46210.583657407406</v>
      </c>
      <c r="N32" s="2">
        <v>46210.608935185184</v>
      </c>
      <c r="O32" t="s">
        <v>31</v>
      </c>
      <c r="P32" t="s">
        <v>1962</v>
      </c>
      <c r="Q32" t="str">
        <f>"160007183"</f>
        <v>160007183</v>
      </c>
      <c r="R32" s="2">
        <v>46215.404791666668</v>
      </c>
      <c r="S32">
        <v>0</v>
      </c>
      <c r="T32">
        <v>0</v>
      </c>
      <c r="U32" t="s">
        <v>1933</v>
      </c>
      <c r="V32" t="s">
        <v>1933</v>
      </c>
    </row>
    <row r="33" spans="1:22" x14ac:dyDescent="0.35">
      <c r="A33" t="s">
        <v>30</v>
      </c>
      <c r="B33" t="str">
        <f>"1329001919"</f>
        <v>1329001919</v>
      </c>
      <c r="C33" t="s">
        <v>1934</v>
      </c>
      <c r="D33" t="s">
        <v>1935</v>
      </c>
      <c r="E33">
        <v>29</v>
      </c>
      <c r="F33">
        <v>115</v>
      </c>
      <c r="G33">
        <v>115</v>
      </c>
      <c r="H33">
        <v>100</v>
      </c>
      <c r="I33">
        <v>2</v>
      </c>
      <c r="J33" s="2">
        <v>46210.466064814813</v>
      </c>
      <c r="K33" s="1">
        <v>46210</v>
      </c>
      <c r="L33" s="1">
        <v>46210</v>
      </c>
      <c r="M33" s="2">
        <v>46210.562615740739</v>
      </c>
      <c r="N33" s="2">
        <v>46210.577384259261</v>
      </c>
      <c r="O33" t="s">
        <v>31</v>
      </c>
      <c r="P33" t="s">
        <v>1963</v>
      </c>
      <c r="Q33" t="str">
        <f>"160007188"</f>
        <v>160007188</v>
      </c>
      <c r="R33" s="2">
        <v>46211.410740740743</v>
      </c>
      <c r="S33">
        <v>0</v>
      </c>
      <c r="T33">
        <v>0</v>
      </c>
      <c r="U33" t="s">
        <v>1933</v>
      </c>
      <c r="V33" t="s">
        <v>1933</v>
      </c>
    </row>
    <row r="34" spans="1:22" x14ac:dyDescent="0.35">
      <c r="A34" t="s">
        <v>30</v>
      </c>
      <c r="B34" t="str">
        <f>"1329001917"</f>
        <v>1329001917</v>
      </c>
      <c r="C34" t="s">
        <v>1934</v>
      </c>
      <c r="D34" t="s">
        <v>1935</v>
      </c>
      <c r="E34">
        <v>30</v>
      </c>
      <c r="F34">
        <v>120</v>
      </c>
      <c r="G34">
        <v>120</v>
      </c>
      <c r="H34">
        <v>100</v>
      </c>
      <c r="I34">
        <v>1</v>
      </c>
      <c r="J34" s="2">
        <v>46208.427037037036</v>
      </c>
      <c r="K34" s="1">
        <v>46208</v>
      </c>
      <c r="L34" s="1">
        <v>46208</v>
      </c>
      <c r="M34" s="2">
        <v>46208.556458333333</v>
      </c>
      <c r="N34" s="2">
        <v>46208.561539351853</v>
      </c>
      <c r="O34" t="s">
        <v>31</v>
      </c>
      <c r="P34" t="s">
        <v>1964</v>
      </c>
      <c r="Q34" t="str">
        <f>"160007182"</f>
        <v>160007182</v>
      </c>
      <c r="R34" s="2">
        <v>46210.733113425929</v>
      </c>
      <c r="S34">
        <v>0</v>
      </c>
      <c r="T34">
        <v>0</v>
      </c>
      <c r="U34" t="s">
        <v>1933</v>
      </c>
      <c r="V34" t="s">
        <v>1933</v>
      </c>
    </row>
    <row r="35" spans="1:22" x14ac:dyDescent="0.35">
      <c r="A35" t="s">
        <v>30</v>
      </c>
      <c r="B35" t="str">
        <f>"1329001909"</f>
        <v>1329001909</v>
      </c>
      <c r="C35" t="s">
        <v>1934</v>
      </c>
      <c r="D35" t="s">
        <v>1935</v>
      </c>
      <c r="E35">
        <v>24</v>
      </c>
      <c r="F35">
        <v>336</v>
      </c>
      <c r="G35">
        <v>336</v>
      </c>
      <c r="H35">
        <v>100</v>
      </c>
      <c r="I35">
        <v>2</v>
      </c>
      <c r="J35" s="2">
        <v>46204.480775462966</v>
      </c>
      <c r="K35" s="1">
        <v>46204</v>
      </c>
      <c r="L35" s="1">
        <v>46204</v>
      </c>
      <c r="M35" s="2">
        <v>46204.489363425928</v>
      </c>
      <c r="N35" s="2">
        <v>46204.491759259261</v>
      </c>
      <c r="O35" t="s">
        <v>31</v>
      </c>
      <c r="P35" t="s">
        <v>1965</v>
      </c>
      <c r="Q35" t="str">
        <f>"160007168"</f>
        <v>160007168</v>
      </c>
      <c r="R35" s="2">
        <v>46208.425717592596</v>
      </c>
      <c r="S35">
        <v>0</v>
      </c>
      <c r="T35">
        <v>0</v>
      </c>
      <c r="U35" t="s">
        <v>1933</v>
      </c>
      <c r="V35" t="s">
        <v>1933</v>
      </c>
    </row>
    <row r="36" spans="1:22" x14ac:dyDescent="0.35">
      <c r="A36" t="s">
        <v>2182</v>
      </c>
      <c r="B36" t="str">
        <f>"1329002017"</f>
        <v>1329002017</v>
      </c>
      <c r="C36" t="s">
        <v>1934</v>
      </c>
      <c r="D36" t="s">
        <v>1932</v>
      </c>
      <c r="E36">
        <v>24</v>
      </c>
      <c r="F36">
        <v>683</v>
      </c>
      <c r="G36">
        <v>683</v>
      </c>
      <c r="H36">
        <v>100</v>
      </c>
      <c r="I36">
        <v>3</v>
      </c>
      <c r="J36" s="2">
        <v>46250.442430555559</v>
      </c>
      <c r="K36" s="1">
        <v>46249</v>
      </c>
      <c r="L36" s="1">
        <v>46249</v>
      </c>
      <c r="M36" s="2">
        <v>46250.456516203703</v>
      </c>
      <c r="N36" s="2">
        <v>46250.544108796297</v>
      </c>
      <c r="O36" t="s">
        <v>31</v>
      </c>
      <c r="R36" s="2">
        <v>46250.544108796297</v>
      </c>
      <c r="S36">
        <v>0</v>
      </c>
      <c r="T36">
        <v>0</v>
      </c>
      <c r="U36" t="s">
        <v>2074</v>
      </c>
      <c r="V36" t="s">
        <v>2079</v>
      </c>
    </row>
    <row r="37" spans="1:22" x14ac:dyDescent="0.35">
      <c r="A37" t="s">
        <v>2182</v>
      </c>
      <c r="B37" t="str">
        <f>"1329002016"</f>
        <v>1329002016</v>
      </c>
      <c r="C37" t="s">
        <v>1934</v>
      </c>
      <c r="D37" t="s">
        <v>1932</v>
      </c>
      <c r="E37">
        <v>23</v>
      </c>
      <c r="F37">
        <v>766</v>
      </c>
      <c r="G37">
        <v>766</v>
      </c>
      <c r="H37">
        <v>100</v>
      </c>
      <c r="I37">
        <v>3</v>
      </c>
      <c r="J37" s="2">
        <v>46247.296747685185</v>
      </c>
      <c r="K37" s="1">
        <v>46246</v>
      </c>
      <c r="L37" s="1">
        <v>46246</v>
      </c>
      <c r="M37" s="2">
        <v>46247.318553240744</v>
      </c>
      <c r="N37" s="2">
        <v>46247.391886574071</v>
      </c>
      <c r="O37" t="s">
        <v>31</v>
      </c>
      <c r="R37" s="2">
        <v>46247.391886574071</v>
      </c>
      <c r="S37">
        <v>0</v>
      </c>
      <c r="T37">
        <v>0</v>
      </c>
      <c r="U37" t="s">
        <v>2074</v>
      </c>
      <c r="V37" t="s">
        <v>2079</v>
      </c>
    </row>
    <row r="38" spans="1:22" x14ac:dyDescent="0.35">
      <c r="A38" t="s">
        <v>2182</v>
      </c>
      <c r="B38" t="s">
        <v>2183</v>
      </c>
      <c r="C38" t="s">
        <v>1934</v>
      </c>
      <c r="D38" t="s">
        <v>1932</v>
      </c>
      <c r="E38">
        <v>8</v>
      </c>
      <c r="F38">
        <v>129</v>
      </c>
      <c r="G38">
        <v>129</v>
      </c>
      <c r="H38">
        <v>100</v>
      </c>
      <c r="I38">
        <v>5</v>
      </c>
      <c r="J38" s="2">
        <v>46244.486550925925</v>
      </c>
      <c r="K38" s="1">
        <v>46244</v>
      </c>
      <c r="L38" s="1">
        <v>46244</v>
      </c>
      <c r="M38" s="2">
        <v>46245.639108796298</v>
      </c>
      <c r="N38" s="2">
        <v>46245.644675925927</v>
      </c>
      <c r="O38" t="s">
        <v>31</v>
      </c>
      <c r="R38" s="2">
        <v>46247.297627314816</v>
      </c>
      <c r="S38">
        <v>0</v>
      </c>
      <c r="T38">
        <v>0</v>
      </c>
      <c r="U38" t="s">
        <v>2074</v>
      </c>
      <c r="V38" t="s">
        <v>2074</v>
      </c>
    </row>
    <row r="39" spans="1:22" x14ac:dyDescent="0.35">
      <c r="A39" t="s">
        <v>2182</v>
      </c>
      <c r="B39" t="str">
        <f>"1329002019"</f>
        <v>1329002019</v>
      </c>
      <c r="C39" t="s">
        <v>1934</v>
      </c>
      <c r="D39" t="s">
        <v>1932</v>
      </c>
      <c r="E39">
        <v>15</v>
      </c>
      <c r="F39">
        <v>405</v>
      </c>
      <c r="G39">
        <v>405</v>
      </c>
      <c r="H39">
        <v>100</v>
      </c>
      <c r="I39">
        <v>7</v>
      </c>
      <c r="J39" s="2">
        <v>46244.335659722223</v>
      </c>
      <c r="K39" s="1">
        <v>46243</v>
      </c>
      <c r="L39" s="1">
        <v>46243</v>
      </c>
      <c r="M39" s="2">
        <v>46244.350983796299</v>
      </c>
      <c r="N39" s="2">
        <v>46244.415949074071</v>
      </c>
      <c r="O39" t="s">
        <v>31</v>
      </c>
      <c r="R39" s="2">
        <v>46244.415960648148</v>
      </c>
      <c r="S39">
        <v>0</v>
      </c>
      <c r="T39">
        <v>0</v>
      </c>
      <c r="U39" t="s">
        <v>2074</v>
      </c>
      <c r="V39" t="s">
        <v>2079</v>
      </c>
    </row>
    <row r="40" spans="1:22" x14ac:dyDescent="0.35">
      <c r="A40" t="s">
        <v>2182</v>
      </c>
      <c r="B40" t="str">
        <f>"1329002003"</f>
        <v>1329002003</v>
      </c>
      <c r="C40" t="s">
        <v>1934</v>
      </c>
      <c r="D40" t="s">
        <v>1935</v>
      </c>
      <c r="E40">
        <v>23</v>
      </c>
      <c r="F40">
        <v>804</v>
      </c>
      <c r="G40">
        <v>804</v>
      </c>
      <c r="H40">
        <v>100</v>
      </c>
      <c r="I40">
        <v>3</v>
      </c>
      <c r="J40" s="2">
        <v>46240.289548611108</v>
      </c>
      <c r="K40" s="1">
        <v>46239</v>
      </c>
      <c r="L40" s="1">
        <v>46239</v>
      </c>
      <c r="M40" s="2">
        <v>46240.310578703706</v>
      </c>
      <c r="N40" s="2">
        <v>46240.321342592593</v>
      </c>
      <c r="O40" t="s">
        <v>31</v>
      </c>
      <c r="R40" s="2">
        <v>46244.433599537035</v>
      </c>
      <c r="S40">
        <v>0</v>
      </c>
      <c r="T40">
        <v>0</v>
      </c>
      <c r="U40" t="s">
        <v>2074</v>
      </c>
      <c r="V40" t="s">
        <v>2074</v>
      </c>
    </row>
    <row r="41" spans="1:22" x14ac:dyDescent="0.35">
      <c r="A41" t="s">
        <v>2182</v>
      </c>
      <c r="B41" t="str">
        <f>"1329002002"</f>
        <v>1329002002</v>
      </c>
      <c r="C41" t="s">
        <v>1934</v>
      </c>
      <c r="D41" t="s">
        <v>1935</v>
      </c>
      <c r="E41">
        <v>25</v>
      </c>
      <c r="F41">
        <v>576</v>
      </c>
      <c r="G41">
        <v>576</v>
      </c>
      <c r="H41">
        <v>100</v>
      </c>
      <c r="I41">
        <v>1</v>
      </c>
      <c r="J41" s="2">
        <v>46239.549039351848</v>
      </c>
      <c r="K41" s="1">
        <v>46239</v>
      </c>
      <c r="L41" s="1">
        <v>46239</v>
      </c>
      <c r="M41" s="2">
        <v>46239.562824074077</v>
      </c>
      <c r="N41" s="2">
        <v>46239.571643518517</v>
      </c>
      <c r="O41" t="s">
        <v>31</v>
      </c>
      <c r="R41" s="2">
        <v>46240.29115740741</v>
      </c>
      <c r="S41">
        <v>0</v>
      </c>
      <c r="T41">
        <v>0</v>
      </c>
      <c r="U41" t="s">
        <v>2074</v>
      </c>
      <c r="V41" t="s">
        <v>2074</v>
      </c>
    </row>
    <row r="42" spans="1:22" x14ac:dyDescent="0.35">
      <c r="A42" t="s">
        <v>2182</v>
      </c>
      <c r="B42" t="str">
        <f>"1329001991"</f>
        <v>1329001991</v>
      </c>
      <c r="C42" t="s">
        <v>1934</v>
      </c>
      <c r="D42" t="s">
        <v>1932</v>
      </c>
      <c r="E42">
        <v>24</v>
      </c>
      <c r="F42">
        <v>273</v>
      </c>
      <c r="G42">
        <v>273</v>
      </c>
      <c r="H42">
        <v>100</v>
      </c>
      <c r="I42">
        <v>3</v>
      </c>
      <c r="J42" s="2">
        <v>46229.64366898148</v>
      </c>
      <c r="K42" s="1">
        <v>46229</v>
      </c>
      <c r="L42" s="1">
        <v>46229</v>
      </c>
      <c r="M42" s="2">
        <v>46231.570844907408</v>
      </c>
      <c r="N42" s="2">
        <v>46231.578969907408</v>
      </c>
      <c r="O42" t="s">
        <v>31</v>
      </c>
      <c r="P42" t="str">
        <f>"160007307"</f>
        <v>160007307</v>
      </c>
      <c r="Q42" t="s">
        <v>2184</v>
      </c>
      <c r="R42" s="2">
        <v>46231.578969907408</v>
      </c>
      <c r="S42">
        <v>0</v>
      </c>
      <c r="T42">
        <v>0</v>
      </c>
      <c r="U42" t="s">
        <v>2074</v>
      </c>
      <c r="V42" t="s">
        <v>2079</v>
      </c>
    </row>
    <row r="43" spans="1:22" x14ac:dyDescent="0.35">
      <c r="A43" t="s">
        <v>2182</v>
      </c>
      <c r="B43" t="str">
        <f>"1329001986"</f>
        <v>1329001986</v>
      </c>
      <c r="C43" t="s">
        <v>1934</v>
      </c>
      <c r="D43" t="s">
        <v>1932</v>
      </c>
      <c r="E43">
        <v>30</v>
      </c>
      <c r="F43">
        <v>120</v>
      </c>
      <c r="G43">
        <v>120</v>
      </c>
      <c r="H43">
        <v>100</v>
      </c>
      <c r="I43">
        <v>2</v>
      </c>
      <c r="J43" s="2">
        <v>46229.439363425925</v>
      </c>
      <c r="K43" s="1">
        <v>46228</v>
      </c>
      <c r="L43" s="1">
        <v>46228</v>
      </c>
      <c r="M43" s="2">
        <v>46229.653495370374</v>
      </c>
      <c r="N43" s="2">
        <v>46230.75408564815</v>
      </c>
      <c r="O43" t="s">
        <v>31</v>
      </c>
      <c r="P43" t="str">
        <f>"160007300"</f>
        <v>160007300</v>
      </c>
      <c r="Q43" t="s">
        <v>2185</v>
      </c>
      <c r="R43" s="2">
        <v>46230.75409722222</v>
      </c>
      <c r="S43">
        <v>0</v>
      </c>
      <c r="T43">
        <v>0</v>
      </c>
      <c r="U43" t="s">
        <v>2074</v>
      </c>
      <c r="V43" t="s">
        <v>2079</v>
      </c>
    </row>
    <row r="44" spans="1:22" x14ac:dyDescent="0.35">
      <c r="A44" t="s">
        <v>2182</v>
      </c>
      <c r="B44" t="str">
        <f>"1329001979"</f>
        <v>1329001979</v>
      </c>
      <c r="C44" t="s">
        <v>1934</v>
      </c>
      <c r="D44" t="s">
        <v>1935</v>
      </c>
      <c r="E44">
        <v>22</v>
      </c>
      <c r="F44">
        <v>520</v>
      </c>
      <c r="G44">
        <v>520</v>
      </c>
      <c r="H44">
        <v>100</v>
      </c>
      <c r="I44">
        <v>2</v>
      </c>
      <c r="J44" s="2">
        <v>46229.413645833331</v>
      </c>
      <c r="K44" s="1">
        <v>46228</v>
      </c>
      <c r="L44" s="1">
        <v>46228</v>
      </c>
      <c r="M44" s="2">
        <v>46229.569074074076</v>
      </c>
      <c r="N44" s="2">
        <v>46229.575752314813</v>
      </c>
      <c r="O44" t="s">
        <v>31</v>
      </c>
      <c r="P44" t="str">
        <f>"160007293"</f>
        <v>160007293</v>
      </c>
      <c r="Q44" t="s">
        <v>2186</v>
      </c>
      <c r="R44" s="2">
        <v>46240.29074074074</v>
      </c>
      <c r="S44">
        <v>0</v>
      </c>
      <c r="T44">
        <v>0</v>
      </c>
      <c r="U44" t="s">
        <v>2074</v>
      </c>
      <c r="V44" t="s">
        <v>2074</v>
      </c>
    </row>
    <row r="45" spans="1:22" x14ac:dyDescent="0.35">
      <c r="A45" t="s">
        <v>2182</v>
      </c>
      <c r="B45" t="str">
        <f>"1329001980"</f>
        <v>1329001980</v>
      </c>
      <c r="C45" t="s">
        <v>1934</v>
      </c>
      <c r="D45" t="s">
        <v>1932</v>
      </c>
      <c r="E45">
        <v>30</v>
      </c>
      <c r="F45">
        <v>120</v>
      </c>
      <c r="G45">
        <v>120</v>
      </c>
      <c r="H45">
        <v>100</v>
      </c>
      <c r="I45">
        <v>2</v>
      </c>
      <c r="J45" s="2">
        <v>46229.326608796298</v>
      </c>
      <c r="K45" s="1">
        <v>46228</v>
      </c>
      <c r="L45" s="1">
        <v>46228</v>
      </c>
      <c r="M45" s="2">
        <v>46229.335115740738</v>
      </c>
      <c r="N45" s="2">
        <v>46229.351412037038</v>
      </c>
      <c r="O45" t="s">
        <v>31</v>
      </c>
      <c r="P45" t="str">
        <f>"160007294"</f>
        <v>160007294</v>
      </c>
      <c r="Q45" t="s">
        <v>2187</v>
      </c>
      <c r="R45" s="2">
        <v>46229.351412037038</v>
      </c>
      <c r="S45">
        <v>0</v>
      </c>
      <c r="T45">
        <v>0</v>
      </c>
      <c r="U45" t="s">
        <v>2074</v>
      </c>
      <c r="V45" t="s">
        <v>2079</v>
      </c>
    </row>
    <row r="46" spans="1:22" x14ac:dyDescent="0.35">
      <c r="A46" t="s">
        <v>2182</v>
      </c>
      <c r="B46" t="str">
        <f>"1329001992"</f>
        <v>1329001992</v>
      </c>
      <c r="C46" t="s">
        <v>1934</v>
      </c>
      <c r="D46" t="s">
        <v>1935</v>
      </c>
      <c r="E46">
        <v>24</v>
      </c>
      <c r="F46">
        <v>96</v>
      </c>
      <c r="G46">
        <v>96</v>
      </c>
      <c r="H46">
        <v>100</v>
      </c>
      <c r="I46">
        <v>2</v>
      </c>
      <c r="J46" s="2">
        <v>46229.323692129627</v>
      </c>
      <c r="K46" s="1">
        <v>46228</v>
      </c>
      <c r="L46" s="1">
        <v>46228</v>
      </c>
      <c r="M46" s="2">
        <v>46229.387812499997</v>
      </c>
      <c r="N46" s="2">
        <v>46229.396134259259</v>
      </c>
      <c r="O46" t="s">
        <v>31</v>
      </c>
      <c r="P46" t="str">
        <f>"160007304"</f>
        <v>160007304</v>
      </c>
      <c r="Q46" t="s">
        <v>2188</v>
      </c>
      <c r="R46" s="2">
        <v>46240.29047453704</v>
      </c>
      <c r="S46">
        <v>0</v>
      </c>
      <c r="T46">
        <v>0</v>
      </c>
      <c r="U46" t="s">
        <v>2074</v>
      </c>
      <c r="V46" t="s">
        <v>2074</v>
      </c>
    </row>
    <row r="47" spans="1:22" x14ac:dyDescent="0.35">
      <c r="A47" t="s">
        <v>2182</v>
      </c>
      <c r="B47" t="str">
        <f>"1329001989"</f>
        <v>1329001989</v>
      </c>
      <c r="C47" t="s">
        <v>1934</v>
      </c>
      <c r="D47" t="s">
        <v>1935</v>
      </c>
      <c r="E47">
        <v>19</v>
      </c>
      <c r="F47">
        <v>608</v>
      </c>
      <c r="G47">
        <v>608</v>
      </c>
      <c r="H47">
        <v>100</v>
      </c>
      <c r="I47">
        <v>2</v>
      </c>
      <c r="J47" s="2">
        <v>46228.488935185182</v>
      </c>
      <c r="K47" s="1">
        <v>46228</v>
      </c>
      <c r="L47" s="1">
        <v>46228</v>
      </c>
      <c r="M47" s="2">
        <v>46228.563391203701</v>
      </c>
      <c r="N47" s="2">
        <v>46228.575844907406</v>
      </c>
      <c r="O47" t="s">
        <v>31</v>
      </c>
      <c r="P47" t="str">
        <f>"210003357"</f>
        <v>210003357</v>
      </c>
      <c r="Q47" t="s">
        <v>2189</v>
      </c>
      <c r="R47" s="2">
        <v>46240.290208333332</v>
      </c>
      <c r="S47">
        <v>0</v>
      </c>
      <c r="T47">
        <v>0</v>
      </c>
      <c r="U47" t="s">
        <v>2074</v>
      </c>
      <c r="V47" t="s">
        <v>2074</v>
      </c>
    </row>
    <row r="48" spans="1:22" x14ac:dyDescent="0.35">
      <c r="A48" t="s">
        <v>2182</v>
      </c>
      <c r="B48" t="str">
        <f>"1329001975"</f>
        <v>1329001975</v>
      </c>
      <c r="C48" t="s">
        <v>1934</v>
      </c>
      <c r="D48" t="s">
        <v>1935</v>
      </c>
      <c r="E48">
        <v>30</v>
      </c>
      <c r="F48">
        <v>120</v>
      </c>
      <c r="G48">
        <v>120</v>
      </c>
      <c r="H48">
        <v>100</v>
      </c>
      <c r="I48">
        <v>1</v>
      </c>
      <c r="J48" s="2">
        <v>46225.599594907406</v>
      </c>
      <c r="K48" s="1">
        <v>46225</v>
      </c>
      <c r="L48" s="1">
        <v>46225</v>
      </c>
      <c r="M48" s="2">
        <v>46225.644375000003</v>
      </c>
      <c r="N48" s="2">
        <v>46225.654097222221</v>
      </c>
      <c r="O48" t="s">
        <v>31</v>
      </c>
      <c r="P48" t="str">
        <f>"160007283"</f>
        <v>160007283</v>
      </c>
      <c r="Q48" t="s">
        <v>2190</v>
      </c>
      <c r="R48" s="2">
        <v>46229.415381944447</v>
      </c>
      <c r="S48">
        <v>0</v>
      </c>
      <c r="T48">
        <v>0</v>
      </c>
      <c r="U48" t="s">
        <v>2074</v>
      </c>
      <c r="V48" t="s">
        <v>2074</v>
      </c>
    </row>
    <row r="49" spans="1:22" x14ac:dyDescent="0.35">
      <c r="A49" t="s">
        <v>2182</v>
      </c>
      <c r="B49" t="str">
        <f>"1329001969"</f>
        <v>1329001969</v>
      </c>
      <c r="C49" t="s">
        <v>1934</v>
      </c>
      <c r="D49" t="s">
        <v>1935</v>
      </c>
      <c r="E49">
        <v>24</v>
      </c>
      <c r="F49">
        <v>96</v>
      </c>
      <c r="G49">
        <v>96</v>
      </c>
      <c r="H49">
        <v>100</v>
      </c>
      <c r="I49">
        <v>1</v>
      </c>
      <c r="J49" s="2">
        <v>46225.491666666669</v>
      </c>
      <c r="K49" s="1">
        <v>46225</v>
      </c>
      <c r="L49" s="1">
        <v>46225</v>
      </c>
      <c r="M49" s="2">
        <v>46225.636307870373</v>
      </c>
      <c r="N49" s="2">
        <v>46225.643090277779</v>
      </c>
      <c r="O49" t="s">
        <v>31</v>
      </c>
      <c r="P49" t="str">
        <f>"160007275"</f>
        <v>160007275</v>
      </c>
      <c r="Q49" t="s">
        <v>2191</v>
      </c>
      <c r="R49" s="2">
        <v>46229.415138888886</v>
      </c>
      <c r="S49">
        <v>0</v>
      </c>
      <c r="T49">
        <v>0</v>
      </c>
      <c r="U49" t="s">
        <v>2074</v>
      </c>
      <c r="V49" t="s">
        <v>2074</v>
      </c>
    </row>
    <row r="50" spans="1:22" x14ac:dyDescent="0.35">
      <c r="A50" t="s">
        <v>2182</v>
      </c>
      <c r="B50" t="str">
        <f>"1329001976"</f>
        <v>1329001976</v>
      </c>
      <c r="C50" t="s">
        <v>1934</v>
      </c>
      <c r="D50" t="s">
        <v>1935</v>
      </c>
      <c r="E50">
        <v>22</v>
      </c>
      <c r="F50">
        <v>528</v>
      </c>
      <c r="G50">
        <v>528</v>
      </c>
      <c r="H50">
        <v>100</v>
      </c>
      <c r="I50">
        <v>1</v>
      </c>
      <c r="J50" s="2">
        <v>46225.488865740743</v>
      </c>
      <c r="K50" s="1">
        <v>46225</v>
      </c>
      <c r="L50" s="1">
        <v>46225</v>
      </c>
      <c r="M50" s="2">
        <v>46225.549826388888</v>
      </c>
      <c r="N50" s="2">
        <v>46225.555601851855</v>
      </c>
      <c r="O50" t="s">
        <v>31</v>
      </c>
      <c r="P50" t="str">
        <f>"160007284"</f>
        <v>160007284</v>
      </c>
      <c r="Q50" t="s">
        <v>2192</v>
      </c>
      <c r="R50" s="2">
        <v>46225.650694444441</v>
      </c>
      <c r="S50">
        <v>0</v>
      </c>
      <c r="T50">
        <v>0</v>
      </c>
      <c r="U50" t="s">
        <v>2074</v>
      </c>
      <c r="V50" t="s">
        <v>2074</v>
      </c>
    </row>
    <row r="51" spans="1:22" x14ac:dyDescent="0.35">
      <c r="A51" t="s">
        <v>2182</v>
      </c>
      <c r="B51" t="str">
        <f>"1329001967"</f>
        <v>1329001967</v>
      </c>
      <c r="C51" t="s">
        <v>1934</v>
      </c>
      <c r="D51" t="s">
        <v>1935</v>
      </c>
      <c r="E51">
        <v>24</v>
      </c>
      <c r="F51">
        <v>96</v>
      </c>
      <c r="G51">
        <v>96</v>
      </c>
      <c r="H51">
        <v>100</v>
      </c>
      <c r="I51">
        <v>1</v>
      </c>
      <c r="J51" s="2">
        <v>46223.407222222224</v>
      </c>
      <c r="K51" s="1">
        <v>46223</v>
      </c>
      <c r="L51" s="1">
        <v>46223</v>
      </c>
      <c r="M51" s="2">
        <v>46223.440983796296</v>
      </c>
      <c r="N51" s="2">
        <v>46223.454375000001</v>
      </c>
      <c r="O51" t="s">
        <v>31</v>
      </c>
      <c r="P51" t="str">
        <f>"160007270"</f>
        <v>160007270</v>
      </c>
      <c r="Q51" t="s">
        <v>2193</v>
      </c>
      <c r="R51" s="2">
        <v>46228.558969907404</v>
      </c>
      <c r="S51">
        <v>0</v>
      </c>
      <c r="T51">
        <v>0</v>
      </c>
      <c r="U51" t="s">
        <v>2074</v>
      </c>
      <c r="V51" t="s">
        <v>2074</v>
      </c>
    </row>
    <row r="52" spans="1:22" x14ac:dyDescent="0.35">
      <c r="A52" t="s">
        <v>2182</v>
      </c>
      <c r="B52" t="str">
        <f>"1329001960"</f>
        <v>1329001960</v>
      </c>
      <c r="C52" t="s">
        <v>1934</v>
      </c>
      <c r="D52" t="s">
        <v>1935</v>
      </c>
      <c r="E52">
        <v>24</v>
      </c>
      <c r="F52">
        <v>92</v>
      </c>
      <c r="G52">
        <v>92</v>
      </c>
      <c r="H52">
        <v>100</v>
      </c>
      <c r="I52">
        <v>3</v>
      </c>
      <c r="J52" s="2">
        <v>46222.338333333333</v>
      </c>
      <c r="K52" s="1">
        <v>46221</v>
      </c>
      <c r="L52" s="1">
        <v>46221</v>
      </c>
      <c r="M52" s="2">
        <v>46222.440810185188</v>
      </c>
      <c r="N52" s="2">
        <v>46222.451342592591</v>
      </c>
      <c r="O52" t="s">
        <v>31</v>
      </c>
      <c r="P52" t="str">
        <f>"160007261"</f>
        <v>160007261</v>
      </c>
      <c r="Q52" t="s">
        <v>2194</v>
      </c>
      <c r="R52" s="2">
        <v>46228.559166666666</v>
      </c>
      <c r="S52">
        <v>0</v>
      </c>
      <c r="T52">
        <v>0</v>
      </c>
      <c r="U52" t="s">
        <v>2074</v>
      </c>
      <c r="V52" t="s">
        <v>2074</v>
      </c>
    </row>
    <row r="53" spans="1:22" x14ac:dyDescent="0.35">
      <c r="A53" t="s">
        <v>2182</v>
      </c>
      <c r="B53" t="str">
        <f>"1329001961"</f>
        <v>1329001961</v>
      </c>
      <c r="C53" t="s">
        <v>1934</v>
      </c>
      <c r="D53" t="s">
        <v>1935</v>
      </c>
      <c r="E53">
        <v>24</v>
      </c>
      <c r="F53">
        <v>96</v>
      </c>
      <c r="G53">
        <v>96</v>
      </c>
      <c r="H53">
        <v>100</v>
      </c>
      <c r="I53">
        <v>1</v>
      </c>
      <c r="J53" s="2">
        <v>46222.335173611114</v>
      </c>
      <c r="K53" s="1">
        <v>46221</v>
      </c>
      <c r="L53" s="1">
        <v>46221</v>
      </c>
      <c r="M53" s="2">
        <v>46222.398877314816</v>
      </c>
      <c r="N53" s="2">
        <v>46222.411006944443</v>
      </c>
      <c r="O53" t="s">
        <v>31</v>
      </c>
      <c r="P53" t="str">
        <f>"160007263"</f>
        <v>160007263</v>
      </c>
      <c r="Q53" t="s">
        <v>2195</v>
      </c>
      <c r="R53" s="2">
        <v>46225.294444444444</v>
      </c>
      <c r="S53">
        <v>0</v>
      </c>
      <c r="T53">
        <v>0</v>
      </c>
      <c r="U53" t="s">
        <v>2074</v>
      </c>
      <c r="V53" t="s">
        <v>2074</v>
      </c>
    </row>
    <row r="54" spans="1:22" x14ac:dyDescent="0.35">
      <c r="A54" t="s">
        <v>2182</v>
      </c>
      <c r="B54" t="str">
        <f>"1329001953"</f>
        <v>1329001953</v>
      </c>
      <c r="C54" t="s">
        <v>1934</v>
      </c>
      <c r="D54" t="s">
        <v>1935</v>
      </c>
      <c r="E54">
        <v>25</v>
      </c>
      <c r="F54">
        <v>912</v>
      </c>
      <c r="G54">
        <v>912</v>
      </c>
      <c r="H54">
        <v>100</v>
      </c>
      <c r="I54">
        <v>2</v>
      </c>
      <c r="J54" s="2">
        <v>46219.465590277781</v>
      </c>
      <c r="K54" s="1">
        <v>46219</v>
      </c>
      <c r="L54" s="1">
        <v>46219</v>
      </c>
      <c r="M54" s="2">
        <v>46219.479039351849</v>
      </c>
      <c r="N54" s="2">
        <v>46219.55195601852</v>
      </c>
      <c r="O54" t="s">
        <v>31</v>
      </c>
      <c r="P54" t="str">
        <f>"160007244"</f>
        <v>160007244</v>
      </c>
      <c r="Q54" t="s">
        <v>2196</v>
      </c>
      <c r="R54" s="2">
        <v>46222.340752314813</v>
      </c>
      <c r="S54">
        <v>0</v>
      </c>
      <c r="T54">
        <v>0</v>
      </c>
      <c r="U54" t="s">
        <v>2074</v>
      </c>
      <c r="V54" t="s">
        <v>2074</v>
      </c>
    </row>
    <row r="55" spans="1:22" x14ac:dyDescent="0.35">
      <c r="A55" t="s">
        <v>2182</v>
      </c>
      <c r="B55" t="str">
        <f>"1329001951"</f>
        <v>1329001951</v>
      </c>
      <c r="C55" t="s">
        <v>1934</v>
      </c>
      <c r="D55" t="s">
        <v>1935</v>
      </c>
      <c r="E55">
        <v>24</v>
      </c>
      <c r="F55">
        <v>947</v>
      </c>
      <c r="G55">
        <v>947</v>
      </c>
      <c r="H55">
        <v>100</v>
      </c>
      <c r="I55">
        <v>3</v>
      </c>
      <c r="J55" s="2">
        <v>46218.547743055555</v>
      </c>
      <c r="K55" s="1">
        <v>46218</v>
      </c>
      <c r="L55" s="1">
        <v>46218</v>
      </c>
      <c r="M55" s="2">
        <v>46218.560162037036</v>
      </c>
      <c r="N55" s="2">
        <v>46218.573877314811</v>
      </c>
      <c r="O55" t="s">
        <v>31</v>
      </c>
      <c r="P55" t="str">
        <f>"160007236"</f>
        <v>160007236</v>
      </c>
      <c r="Q55" t="s">
        <v>2197</v>
      </c>
      <c r="R55" s="2">
        <v>46222.340532407405</v>
      </c>
      <c r="S55">
        <v>0</v>
      </c>
      <c r="T55">
        <v>0</v>
      </c>
      <c r="U55" t="s">
        <v>2074</v>
      </c>
      <c r="V55" t="s">
        <v>2074</v>
      </c>
    </row>
    <row r="56" spans="1:22" x14ac:dyDescent="0.35">
      <c r="A56" t="s">
        <v>2182</v>
      </c>
      <c r="B56" t="str">
        <f>"1329001946"</f>
        <v>1329001946</v>
      </c>
      <c r="C56" t="s">
        <v>1934</v>
      </c>
      <c r="D56" t="s">
        <v>1935</v>
      </c>
      <c r="E56">
        <v>24</v>
      </c>
      <c r="F56">
        <v>576</v>
      </c>
      <c r="G56">
        <v>576</v>
      </c>
      <c r="H56">
        <v>100</v>
      </c>
      <c r="I56">
        <v>2</v>
      </c>
      <c r="J56" s="2">
        <v>46218.304479166669</v>
      </c>
      <c r="K56" s="1">
        <v>46217</v>
      </c>
      <c r="L56" s="1">
        <v>46217</v>
      </c>
      <c r="M56" s="2">
        <v>46218.385972222219</v>
      </c>
      <c r="N56" s="2">
        <v>46218.399039351854</v>
      </c>
      <c r="O56" t="s">
        <v>31</v>
      </c>
      <c r="P56" t="str">
        <f>"160007229"</f>
        <v>160007229</v>
      </c>
      <c r="Q56" t="s">
        <v>2198</v>
      </c>
      <c r="R56" s="2">
        <v>46222.340324074074</v>
      </c>
      <c r="S56">
        <v>0</v>
      </c>
      <c r="T56">
        <v>0</v>
      </c>
      <c r="U56" t="s">
        <v>2074</v>
      </c>
      <c r="V56" t="s">
        <v>2074</v>
      </c>
    </row>
    <row r="57" spans="1:22" x14ac:dyDescent="0.35">
      <c r="A57" t="s">
        <v>2182</v>
      </c>
      <c r="B57" t="str">
        <f>"1329001935"</f>
        <v>1329001935</v>
      </c>
      <c r="C57" t="s">
        <v>1934</v>
      </c>
      <c r="D57" t="s">
        <v>1935</v>
      </c>
      <c r="E57">
        <v>21</v>
      </c>
      <c r="F57">
        <v>224</v>
      </c>
      <c r="G57">
        <v>224</v>
      </c>
      <c r="H57">
        <v>100</v>
      </c>
      <c r="I57">
        <v>3</v>
      </c>
      <c r="J57" s="2">
        <v>46217.490925925929</v>
      </c>
      <c r="K57" s="1">
        <v>46216</v>
      </c>
      <c r="L57" s="1">
        <v>46216</v>
      </c>
      <c r="M57" s="2">
        <v>46217.553368055553</v>
      </c>
      <c r="N57" s="2">
        <v>46217.566562499997</v>
      </c>
      <c r="O57" t="s">
        <v>31</v>
      </c>
      <c r="P57" t="str">
        <f>"160007212"</f>
        <v>160007212</v>
      </c>
      <c r="Q57" t="s">
        <v>2199</v>
      </c>
      <c r="R57" s="2">
        <v>46222.395335648151</v>
      </c>
      <c r="S57">
        <v>0</v>
      </c>
      <c r="T57">
        <v>0</v>
      </c>
      <c r="U57" t="s">
        <v>2074</v>
      </c>
      <c r="V57" t="s">
        <v>2074</v>
      </c>
    </row>
    <row r="58" spans="1:22" x14ac:dyDescent="0.35">
      <c r="A58" t="s">
        <v>2182</v>
      </c>
      <c r="B58" t="str">
        <f>"1329001936"</f>
        <v>1329001936</v>
      </c>
      <c r="C58" t="s">
        <v>1934</v>
      </c>
      <c r="D58" t="s">
        <v>1935</v>
      </c>
      <c r="E58">
        <v>24</v>
      </c>
      <c r="F58">
        <v>462</v>
      </c>
      <c r="G58">
        <v>462</v>
      </c>
      <c r="H58">
        <v>100</v>
      </c>
      <c r="I58">
        <v>2</v>
      </c>
      <c r="J58" s="2">
        <v>46217.369884259257</v>
      </c>
      <c r="K58" s="1">
        <v>46217</v>
      </c>
      <c r="L58" s="1">
        <v>46217</v>
      </c>
      <c r="M58" s="2">
        <v>46217.375775462962</v>
      </c>
      <c r="N58" s="2">
        <v>46217.38753472222</v>
      </c>
      <c r="O58" t="s">
        <v>31</v>
      </c>
      <c r="P58" t="str">
        <f>"160007213"</f>
        <v>160007213</v>
      </c>
      <c r="Q58" t="s">
        <v>2200</v>
      </c>
      <c r="R58" s="2">
        <v>46222.340046296296</v>
      </c>
      <c r="S58">
        <v>0</v>
      </c>
      <c r="T58">
        <v>0</v>
      </c>
      <c r="U58" t="s">
        <v>2074</v>
      </c>
      <c r="V58" t="s">
        <v>2074</v>
      </c>
    </row>
    <row r="59" spans="1:22" x14ac:dyDescent="0.35">
      <c r="A59" t="s">
        <v>2182</v>
      </c>
      <c r="B59" t="str">
        <f>"1329001930"</f>
        <v>1329001930</v>
      </c>
      <c r="C59" t="s">
        <v>1934</v>
      </c>
      <c r="D59" t="s">
        <v>1935</v>
      </c>
      <c r="E59">
        <v>24</v>
      </c>
      <c r="F59">
        <v>795</v>
      </c>
      <c r="G59">
        <v>795</v>
      </c>
      <c r="H59">
        <v>100</v>
      </c>
      <c r="I59">
        <v>2</v>
      </c>
      <c r="J59" s="2">
        <v>46215.317569444444</v>
      </c>
      <c r="K59" s="1">
        <v>46214</v>
      </c>
      <c r="L59" s="1">
        <v>46214</v>
      </c>
      <c r="M59" s="2">
        <v>46215.335798611108</v>
      </c>
      <c r="N59" s="2">
        <v>46215.351180555554</v>
      </c>
      <c r="O59" t="s">
        <v>31</v>
      </c>
      <c r="P59" t="str">
        <f>"160007210"</f>
        <v>160007210</v>
      </c>
      <c r="Q59" t="s">
        <v>2201</v>
      </c>
      <c r="R59" s="2">
        <v>46215.548298611109</v>
      </c>
      <c r="S59">
        <v>0</v>
      </c>
      <c r="T59">
        <v>0</v>
      </c>
      <c r="U59" t="s">
        <v>2074</v>
      </c>
      <c r="V59" t="s">
        <v>2074</v>
      </c>
    </row>
    <row r="60" spans="1:22" x14ac:dyDescent="0.35">
      <c r="A60" t="s">
        <v>2182</v>
      </c>
      <c r="B60" t="str">
        <f>"1329001912"</f>
        <v>1329001912</v>
      </c>
      <c r="C60" t="s">
        <v>1934</v>
      </c>
      <c r="D60" t="s">
        <v>1935</v>
      </c>
      <c r="E60">
        <v>24</v>
      </c>
      <c r="F60">
        <v>96</v>
      </c>
      <c r="G60">
        <v>96</v>
      </c>
      <c r="H60">
        <v>100</v>
      </c>
      <c r="I60">
        <v>1</v>
      </c>
      <c r="J60" s="2">
        <v>46208.423310185186</v>
      </c>
      <c r="K60" s="1">
        <v>46208</v>
      </c>
      <c r="L60" s="1">
        <v>46208</v>
      </c>
      <c r="M60" s="2">
        <v>46208.434641203705</v>
      </c>
      <c r="N60" s="2">
        <v>46208.440358796295</v>
      </c>
      <c r="O60" t="s">
        <v>31</v>
      </c>
      <c r="P60" t="str">
        <f>"160007177"</f>
        <v>160007177</v>
      </c>
      <c r="Q60" t="s">
        <v>2202</v>
      </c>
      <c r="R60" s="2">
        <v>46215.293449074074</v>
      </c>
      <c r="S60">
        <v>0</v>
      </c>
      <c r="T60">
        <v>0</v>
      </c>
      <c r="U60" t="s">
        <v>2074</v>
      </c>
      <c r="V60" t="s">
        <v>2074</v>
      </c>
    </row>
    <row r="61" spans="1:22" x14ac:dyDescent="0.35">
      <c r="A61" t="s">
        <v>2182</v>
      </c>
      <c r="B61" t="str">
        <f>"1329001903"</f>
        <v>1329001903</v>
      </c>
      <c r="C61" t="s">
        <v>1934</v>
      </c>
      <c r="D61" t="s">
        <v>1935</v>
      </c>
      <c r="E61">
        <v>24</v>
      </c>
      <c r="F61">
        <v>576</v>
      </c>
      <c r="G61">
        <v>576</v>
      </c>
      <c r="H61">
        <v>100</v>
      </c>
      <c r="I61">
        <v>1</v>
      </c>
      <c r="J61" s="2">
        <v>46204.631608796299</v>
      </c>
      <c r="K61" s="1">
        <v>46204</v>
      </c>
      <c r="L61" s="1">
        <v>46204</v>
      </c>
      <c r="M61" s="2">
        <v>46204.636041666665</v>
      </c>
      <c r="N61" s="2">
        <v>46204.644108796296</v>
      </c>
      <c r="O61" t="s">
        <v>31</v>
      </c>
      <c r="P61" t="str">
        <f>"160007160"</f>
        <v>160007160</v>
      </c>
      <c r="Q61" t="s">
        <v>2203</v>
      </c>
      <c r="R61" s="2">
        <v>46208.425023148149</v>
      </c>
      <c r="S61">
        <v>0</v>
      </c>
      <c r="T61">
        <v>0</v>
      </c>
      <c r="U61" t="s">
        <v>2074</v>
      </c>
      <c r="V61" t="s">
        <v>2074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00"/>
  <sheetViews>
    <sheetView topLeftCell="A94" workbookViewId="0">
      <selection activeCell="C113" sqref="C113"/>
    </sheetView>
  </sheetViews>
  <sheetFormatPr defaultRowHeight="14.5" x14ac:dyDescent="0.35"/>
  <sheetData>
    <row r="1" spans="1:36" x14ac:dyDescent="0.35">
      <c r="A1" t="s">
        <v>1525</v>
      </c>
      <c r="B1" t="s">
        <v>1531</v>
      </c>
      <c r="C1" t="s">
        <v>15</v>
      </c>
      <c r="D1" t="s">
        <v>3</v>
      </c>
      <c r="E1" t="s">
        <v>1966</v>
      </c>
      <c r="F1" t="s">
        <v>1967</v>
      </c>
      <c r="G1" t="s">
        <v>1530</v>
      </c>
      <c r="H1" t="s">
        <v>1968</v>
      </c>
      <c r="I1" t="s">
        <v>1969</v>
      </c>
      <c r="J1" t="s">
        <v>1970</v>
      </c>
      <c r="K1" t="s">
        <v>1529</v>
      </c>
      <c r="L1" t="s">
        <v>1971</v>
      </c>
      <c r="M1" t="s">
        <v>20</v>
      </c>
      <c r="N1" t="s">
        <v>1929</v>
      </c>
      <c r="O1" t="s">
        <v>1972</v>
      </c>
      <c r="P1" t="s">
        <v>10</v>
      </c>
      <c r="Q1" t="s">
        <v>1926</v>
      </c>
      <c r="R1" t="s">
        <v>1973</v>
      </c>
      <c r="S1" t="s">
        <v>1974</v>
      </c>
      <c r="T1" t="s">
        <v>1975</v>
      </c>
      <c r="U1" t="s">
        <v>1928</v>
      </c>
      <c r="V1" t="s">
        <v>1976</v>
      </c>
      <c r="W1" t="s">
        <v>1977</v>
      </c>
      <c r="X1" t="s">
        <v>1978</v>
      </c>
      <c r="Y1" t="s">
        <v>16</v>
      </c>
      <c r="Z1" t="s">
        <v>1979</v>
      </c>
      <c r="AA1" t="s">
        <v>1980</v>
      </c>
      <c r="AB1" t="s">
        <v>1981</v>
      </c>
      <c r="AC1" t="s">
        <v>1982</v>
      </c>
      <c r="AD1" t="s">
        <v>1983</v>
      </c>
      <c r="AE1" t="s">
        <v>1984</v>
      </c>
      <c r="AF1" t="s">
        <v>1985</v>
      </c>
      <c r="AG1" t="s">
        <v>1986</v>
      </c>
      <c r="AH1" t="s">
        <v>18</v>
      </c>
      <c r="AI1" t="s">
        <v>1987</v>
      </c>
      <c r="AJ1" t="s">
        <v>1988</v>
      </c>
    </row>
    <row r="2" spans="1:36" x14ac:dyDescent="0.35">
      <c r="A2" t="str">
        <f>"2501718144"</f>
        <v>2501718144</v>
      </c>
      <c r="B2" t="s">
        <v>1540</v>
      </c>
      <c r="C2" s="2">
        <v>46251.936226851853</v>
      </c>
      <c r="D2" t="s">
        <v>1536</v>
      </c>
      <c r="E2">
        <v>1</v>
      </c>
      <c r="F2">
        <v>2</v>
      </c>
      <c r="G2" t="s">
        <v>1539</v>
      </c>
      <c r="J2" t="s">
        <v>1934</v>
      </c>
      <c r="K2" t="str">
        <f>"520721"</f>
        <v>520721</v>
      </c>
      <c r="L2" s="1">
        <v>46251</v>
      </c>
      <c r="M2" t="s">
        <v>1933</v>
      </c>
      <c r="N2" t="s">
        <v>1933</v>
      </c>
      <c r="Q2" t="str">
        <f>"71"</f>
        <v>71</v>
      </c>
      <c r="R2" t="s">
        <v>1540</v>
      </c>
      <c r="S2" t="s">
        <v>1539</v>
      </c>
      <c r="U2">
        <v>0</v>
      </c>
      <c r="V2">
        <v>0</v>
      </c>
      <c r="X2" s="2">
        <v>46252.488726851851</v>
      </c>
      <c r="Y2" s="2">
        <v>46252.488726851851</v>
      </c>
      <c r="Z2" t="s">
        <v>1539</v>
      </c>
      <c r="AD2" t="s">
        <v>1539</v>
      </c>
      <c r="AH2">
        <v>0</v>
      </c>
      <c r="AI2" t="s">
        <v>1989</v>
      </c>
    </row>
    <row r="3" spans="1:36" x14ac:dyDescent="0.35">
      <c r="A3" t="str">
        <f>"2501718140"</f>
        <v>2501718140</v>
      </c>
      <c r="B3" t="s">
        <v>1543</v>
      </c>
      <c r="C3" s="2">
        <v>46251.936226851853</v>
      </c>
      <c r="D3" t="s">
        <v>1536</v>
      </c>
      <c r="E3">
        <v>2</v>
      </c>
      <c r="F3">
        <v>60</v>
      </c>
      <c r="G3" t="s">
        <v>1542</v>
      </c>
      <c r="J3" t="s">
        <v>1934</v>
      </c>
      <c r="K3" t="str">
        <f>"520593"</f>
        <v>520593</v>
      </c>
      <c r="L3" s="1">
        <v>46251</v>
      </c>
      <c r="M3" t="s">
        <v>1933</v>
      </c>
      <c r="N3" t="s">
        <v>1933</v>
      </c>
      <c r="Q3" t="str">
        <f>"149"</f>
        <v>149</v>
      </c>
      <c r="R3" t="s">
        <v>1543</v>
      </c>
      <c r="S3" t="s">
        <v>1542</v>
      </c>
      <c r="U3">
        <v>0</v>
      </c>
      <c r="V3">
        <v>0</v>
      </c>
      <c r="X3" s="2">
        <v>46252.358113425929</v>
      </c>
      <c r="Y3" s="2">
        <v>46252.358113425929</v>
      </c>
      <c r="Z3" t="s">
        <v>1542</v>
      </c>
      <c r="AD3" t="s">
        <v>1542</v>
      </c>
      <c r="AH3">
        <v>0</v>
      </c>
      <c r="AI3" t="str">
        <f>"506319046"</f>
        <v>506319046</v>
      </c>
    </row>
    <row r="4" spans="1:36" x14ac:dyDescent="0.35">
      <c r="A4" t="str">
        <f>"2501718133"</f>
        <v>2501718133</v>
      </c>
      <c r="B4" t="s">
        <v>1556</v>
      </c>
      <c r="C4" s="2">
        <v>46250.651400462964</v>
      </c>
      <c r="D4" t="s">
        <v>1536</v>
      </c>
      <c r="E4">
        <v>1</v>
      </c>
      <c r="F4">
        <v>52</v>
      </c>
      <c r="G4" t="s">
        <v>1555</v>
      </c>
      <c r="J4" t="s">
        <v>1934</v>
      </c>
      <c r="K4" t="str">
        <f>"521161"</f>
        <v>521161</v>
      </c>
      <c r="L4" s="1">
        <v>46250</v>
      </c>
      <c r="M4" t="s">
        <v>1990</v>
      </c>
      <c r="N4" t="s">
        <v>1933</v>
      </c>
      <c r="Q4" t="s">
        <v>1991</v>
      </c>
      <c r="R4" t="s">
        <v>1556</v>
      </c>
      <c r="S4" t="s">
        <v>1638</v>
      </c>
      <c r="U4">
        <v>0</v>
      </c>
      <c r="V4">
        <v>0</v>
      </c>
      <c r="X4" s="2">
        <v>46251.370509259257</v>
      </c>
      <c r="Y4" s="2">
        <v>46251.370509259257</v>
      </c>
      <c r="Z4" t="s">
        <v>1555</v>
      </c>
      <c r="AD4" t="s">
        <v>1638</v>
      </c>
      <c r="AH4">
        <v>0</v>
      </c>
      <c r="AI4" t="str">
        <f>"567066679"</f>
        <v>567066679</v>
      </c>
    </row>
    <row r="5" spans="1:36" x14ac:dyDescent="0.35">
      <c r="A5" t="str">
        <f>"2501718135"</f>
        <v>2501718135</v>
      </c>
      <c r="B5" t="s">
        <v>1540</v>
      </c>
      <c r="C5" s="2">
        <v>46250.649606481478</v>
      </c>
      <c r="D5" t="s">
        <v>1536</v>
      </c>
      <c r="E5">
        <v>2</v>
      </c>
      <c r="F5">
        <v>4</v>
      </c>
      <c r="G5" t="s">
        <v>1550</v>
      </c>
      <c r="J5" t="s">
        <v>1934</v>
      </c>
      <c r="K5" t="str">
        <f>"520721"</f>
        <v>520721</v>
      </c>
      <c r="L5" s="1">
        <v>46250</v>
      </c>
      <c r="M5" t="s">
        <v>1990</v>
      </c>
      <c r="N5" t="s">
        <v>1933</v>
      </c>
      <c r="Q5" t="str">
        <f>"46334"</f>
        <v>46334</v>
      </c>
      <c r="R5" t="s">
        <v>1540</v>
      </c>
      <c r="S5" t="s">
        <v>1791</v>
      </c>
      <c r="U5">
        <v>0</v>
      </c>
      <c r="V5">
        <v>0</v>
      </c>
      <c r="X5" s="2">
        <v>46251.37096064815</v>
      </c>
      <c r="Y5" s="2">
        <v>46251.37096064815</v>
      </c>
      <c r="Z5" t="s">
        <v>1791</v>
      </c>
      <c r="AD5" t="s">
        <v>1791</v>
      </c>
      <c r="AH5">
        <v>0</v>
      </c>
      <c r="AI5" t="str">
        <f>"540893725"</f>
        <v>540893725</v>
      </c>
    </row>
    <row r="6" spans="1:36" x14ac:dyDescent="0.35">
      <c r="A6" t="str">
        <f>"2501718114"</f>
        <v>2501718114</v>
      </c>
      <c r="B6" t="s">
        <v>1540</v>
      </c>
      <c r="C6" s="2">
        <v>46247.653287037036</v>
      </c>
      <c r="D6" t="s">
        <v>1536</v>
      </c>
      <c r="E6">
        <v>1</v>
      </c>
      <c r="F6">
        <v>100</v>
      </c>
      <c r="G6" t="s">
        <v>1550</v>
      </c>
      <c r="J6" t="s">
        <v>1934</v>
      </c>
      <c r="K6" t="str">
        <f>"520721"</f>
        <v>520721</v>
      </c>
      <c r="L6" s="1">
        <v>46247</v>
      </c>
      <c r="M6" t="s">
        <v>1933</v>
      </c>
      <c r="N6" t="s">
        <v>1933</v>
      </c>
      <c r="Q6" t="str">
        <f>"10359"</f>
        <v>10359</v>
      </c>
      <c r="R6" t="s">
        <v>1540</v>
      </c>
      <c r="S6" t="s">
        <v>1550</v>
      </c>
      <c r="U6">
        <v>0</v>
      </c>
      <c r="V6">
        <v>0</v>
      </c>
      <c r="X6" s="2">
        <v>46249.370474537034</v>
      </c>
      <c r="Y6" s="2">
        <v>46249.370474537034</v>
      </c>
      <c r="Z6" t="s">
        <v>1550</v>
      </c>
      <c r="AD6" t="s">
        <v>1550</v>
      </c>
      <c r="AH6">
        <v>0</v>
      </c>
      <c r="AI6" t="str">
        <f>"569879402"</f>
        <v>569879402</v>
      </c>
    </row>
    <row r="7" spans="1:36" x14ac:dyDescent="0.35">
      <c r="A7" t="str">
        <f>"2501718111"</f>
        <v>2501718111</v>
      </c>
      <c r="B7" t="s">
        <v>1540</v>
      </c>
      <c r="C7" s="2">
        <v>46247.653275462966</v>
      </c>
      <c r="D7" t="s">
        <v>1536</v>
      </c>
      <c r="E7">
        <v>1</v>
      </c>
      <c r="F7">
        <v>208</v>
      </c>
      <c r="G7" t="s">
        <v>1550</v>
      </c>
      <c r="J7" t="s">
        <v>1934</v>
      </c>
      <c r="K7" t="str">
        <f>"520721"</f>
        <v>520721</v>
      </c>
      <c r="L7" s="1">
        <v>46247</v>
      </c>
      <c r="M7" t="s">
        <v>1933</v>
      </c>
      <c r="N7" t="s">
        <v>1933</v>
      </c>
      <c r="Q7" t="str">
        <f>"10344"</f>
        <v>10344</v>
      </c>
      <c r="R7" t="s">
        <v>1540</v>
      </c>
      <c r="S7" t="s">
        <v>1550</v>
      </c>
      <c r="U7">
        <v>0</v>
      </c>
      <c r="V7">
        <v>0</v>
      </c>
      <c r="X7" s="2">
        <v>46249.370474537034</v>
      </c>
      <c r="Y7" s="2">
        <v>46249.370474537034</v>
      </c>
      <c r="Z7" t="s">
        <v>1550</v>
      </c>
      <c r="AD7" t="s">
        <v>1550</v>
      </c>
      <c r="AH7">
        <v>0</v>
      </c>
      <c r="AI7" t="str">
        <f>"569879402"</f>
        <v>569879402</v>
      </c>
    </row>
    <row r="8" spans="1:36" x14ac:dyDescent="0.35">
      <c r="A8" t="str">
        <f>"2501718106"</f>
        <v>2501718106</v>
      </c>
      <c r="B8" t="s">
        <v>1583</v>
      </c>
      <c r="C8" s="2">
        <v>46247.653275462966</v>
      </c>
      <c r="D8" t="s">
        <v>1536</v>
      </c>
      <c r="E8">
        <v>1</v>
      </c>
      <c r="F8">
        <v>2</v>
      </c>
      <c r="G8" t="s">
        <v>1582</v>
      </c>
      <c r="J8" t="s">
        <v>1934</v>
      </c>
      <c r="K8" t="str">
        <f>"521234"</f>
        <v>521234</v>
      </c>
      <c r="L8" s="1">
        <v>46247</v>
      </c>
      <c r="M8" t="s">
        <v>1933</v>
      </c>
      <c r="N8" t="s">
        <v>1933</v>
      </c>
      <c r="Q8" t="s">
        <v>1992</v>
      </c>
      <c r="R8" t="s">
        <v>1583</v>
      </c>
      <c r="S8" t="s">
        <v>1582</v>
      </c>
      <c r="U8">
        <v>0</v>
      </c>
      <c r="V8">
        <v>0</v>
      </c>
      <c r="X8" s="2">
        <v>46249.371006944442</v>
      </c>
      <c r="Y8" s="2">
        <v>46249.371006944442</v>
      </c>
      <c r="Z8" t="s">
        <v>1582</v>
      </c>
      <c r="AD8" t="s">
        <v>1582</v>
      </c>
      <c r="AH8">
        <v>0</v>
      </c>
      <c r="AI8" t="str">
        <f>"536911373"</f>
        <v>536911373</v>
      </c>
    </row>
    <row r="9" spans="1:36" x14ac:dyDescent="0.35">
      <c r="A9" t="str">
        <f>"2501718101"</f>
        <v>2501718101</v>
      </c>
      <c r="B9" t="s">
        <v>1568</v>
      </c>
      <c r="C9" s="2">
        <v>46247.653275462966</v>
      </c>
      <c r="D9" t="s">
        <v>1536</v>
      </c>
      <c r="E9">
        <v>1</v>
      </c>
      <c r="F9">
        <v>33</v>
      </c>
      <c r="G9" t="s">
        <v>1586</v>
      </c>
      <c r="J9" t="s">
        <v>1934</v>
      </c>
      <c r="K9" t="str">
        <f>"520801"</f>
        <v>520801</v>
      </c>
      <c r="L9" s="1">
        <v>46247</v>
      </c>
      <c r="M9" t="s">
        <v>1933</v>
      </c>
      <c r="N9" t="s">
        <v>1933</v>
      </c>
      <c r="Q9" t="str">
        <f>"261182"</f>
        <v>261182</v>
      </c>
      <c r="R9" t="s">
        <v>1568</v>
      </c>
      <c r="S9" t="s">
        <v>1586</v>
      </c>
      <c r="U9">
        <v>0</v>
      </c>
      <c r="V9">
        <v>0</v>
      </c>
      <c r="X9" s="2">
        <v>46249.371493055558</v>
      </c>
      <c r="Y9" s="2">
        <v>46249.371493055558</v>
      </c>
      <c r="Z9" t="s">
        <v>1586</v>
      </c>
      <c r="AD9" t="s">
        <v>1586</v>
      </c>
      <c r="AH9">
        <v>0</v>
      </c>
      <c r="AI9" t="str">
        <f>"534439046"</f>
        <v>534439046</v>
      </c>
    </row>
    <row r="10" spans="1:36" x14ac:dyDescent="0.35">
      <c r="A10" t="str">
        <f>"2501718100"</f>
        <v>2501718100</v>
      </c>
      <c r="B10" t="s">
        <v>1568</v>
      </c>
      <c r="C10" s="2">
        <v>46247.653275462966</v>
      </c>
      <c r="D10" t="s">
        <v>1536</v>
      </c>
      <c r="E10">
        <v>1</v>
      </c>
      <c r="F10">
        <v>20</v>
      </c>
      <c r="G10" t="s">
        <v>1559</v>
      </c>
      <c r="J10" t="s">
        <v>1934</v>
      </c>
      <c r="K10" t="str">
        <f>"520801"</f>
        <v>520801</v>
      </c>
      <c r="L10" s="1">
        <v>46247</v>
      </c>
      <c r="M10" t="s">
        <v>1933</v>
      </c>
      <c r="N10" t="s">
        <v>1933</v>
      </c>
      <c r="Q10" t="str">
        <f>"261183"</f>
        <v>261183</v>
      </c>
      <c r="R10" t="s">
        <v>1568</v>
      </c>
      <c r="S10" t="s">
        <v>1559</v>
      </c>
      <c r="U10">
        <v>0</v>
      </c>
      <c r="V10">
        <v>0</v>
      </c>
      <c r="X10" s="2">
        <v>46249.371493055558</v>
      </c>
      <c r="Y10" s="2">
        <v>46249.371493055558</v>
      </c>
      <c r="Z10" t="s">
        <v>1559</v>
      </c>
      <c r="AD10" t="s">
        <v>1559</v>
      </c>
      <c r="AH10">
        <v>0</v>
      </c>
      <c r="AI10" t="str">
        <f>"501559940"</f>
        <v>501559940</v>
      </c>
    </row>
    <row r="11" spans="1:36" x14ac:dyDescent="0.35">
      <c r="A11" t="str">
        <f>"2501718097"</f>
        <v>2501718097</v>
      </c>
      <c r="B11" t="s">
        <v>1583</v>
      </c>
      <c r="C11" s="2">
        <v>46247.653275462966</v>
      </c>
      <c r="D11" t="s">
        <v>1536</v>
      </c>
      <c r="E11">
        <v>1</v>
      </c>
      <c r="F11">
        <v>1</v>
      </c>
      <c r="G11" t="s">
        <v>1598</v>
      </c>
      <c r="J11" t="s">
        <v>1934</v>
      </c>
      <c r="K11" t="str">
        <f>"521234"</f>
        <v>521234</v>
      </c>
      <c r="L11" s="1">
        <v>46247</v>
      </c>
      <c r="M11" t="s">
        <v>1933</v>
      </c>
      <c r="N11" t="s">
        <v>1933</v>
      </c>
      <c r="Q11" t="s">
        <v>1993</v>
      </c>
      <c r="R11" t="s">
        <v>1583</v>
      </c>
      <c r="S11" t="s">
        <v>1598</v>
      </c>
      <c r="U11">
        <v>0</v>
      </c>
      <c r="V11">
        <v>0</v>
      </c>
      <c r="X11" s="2">
        <v>46249.371006944442</v>
      </c>
      <c r="Y11" s="2">
        <v>46249.371006944442</v>
      </c>
      <c r="Z11" t="s">
        <v>1598</v>
      </c>
      <c r="AD11" t="s">
        <v>1598</v>
      </c>
      <c r="AH11">
        <v>0</v>
      </c>
      <c r="AI11" t="str">
        <f>"591194604"</f>
        <v>591194604</v>
      </c>
    </row>
    <row r="12" spans="1:36" x14ac:dyDescent="0.35">
      <c r="A12" t="str">
        <f>"2501718096"</f>
        <v>2501718096</v>
      </c>
      <c r="B12" t="s">
        <v>1540</v>
      </c>
      <c r="C12" s="2">
        <v>46247.653275462966</v>
      </c>
      <c r="D12" t="s">
        <v>1536</v>
      </c>
      <c r="E12">
        <v>2</v>
      </c>
      <c r="F12">
        <v>12</v>
      </c>
      <c r="G12" t="s">
        <v>1564</v>
      </c>
      <c r="J12" t="s">
        <v>1934</v>
      </c>
      <c r="K12" t="str">
        <f>"520721"</f>
        <v>520721</v>
      </c>
      <c r="L12" s="1">
        <v>46247</v>
      </c>
      <c r="M12" t="s">
        <v>1933</v>
      </c>
      <c r="N12" t="s">
        <v>1933</v>
      </c>
      <c r="Q12" t="str">
        <f>"955"</f>
        <v>955</v>
      </c>
      <c r="R12" t="s">
        <v>1540</v>
      </c>
      <c r="S12" t="s">
        <v>1564</v>
      </c>
      <c r="U12">
        <v>0</v>
      </c>
      <c r="V12">
        <v>0</v>
      </c>
      <c r="X12" s="2">
        <v>46249.370474537034</v>
      </c>
      <c r="Y12" s="2">
        <v>46249.370474537034</v>
      </c>
      <c r="Z12" t="s">
        <v>1564</v>
      </c>
      <c r="AD12" t="s">
        <v>1564</v>
      </c>
      <c r="AH12">
        <v>0</v>
      </c>
      <c r="AI12" t="str">
        <f>"545352523"</f>
        <v>545352523</v>
      </c>
    </row>
    <row r="13" spans="1:36" x14ac:dyDescent="0.35">
      <c r="A13" t="str">
        <f>"2501718093"</f>
        <v>2501718093</v>
      </c>
      <c r="B13" t="s">
        <v>1605</v>
      </c>
      <c r="C13" s="2">
        <v>46247.653275462966</v>
      </c>
      <c r="D13" t="s">
        <v>1536</v>
      </c>
      <c r="E13">
        <v>1</v>
      </c>
      <c r="F13">
        <v>15</v>
      </c>
      <c r="G13" t="s">
        <v>1586</v>
      </c>
      <c r="J13" t="s">
        <v>1934</v>
      </c>
      <c r="K13" t="str">
        <f>"521107"</f>
        <v>521107</v>
      </c>
      <c r="L13" s="1">
        <v>46247</v>
      </c>
      <c r="M13" t="s">
        <v>1933</v>
      </c>
      <c r="N13" t="s">
        <v>1933</v>
      </c>
      <c r="Q13" t="s">
        <v>1994</v>
      </c>
      <c r="R13" t="s">
        <v>1605</v>
      </c>
      <c r="S13" t="s">
        <v>1586</v>
      </c>
      <c r="U13">
        <v>0</v>
      </c>
      <c r="V13">
        <v>0</v>
      </c>
      <c r="X13" s="2">
        <v>46249.371967592589</v>
      </c>
      <c r="Y13" s="2">
        <v>46249.371967592589</v>
      </c>
      <c r="Z13" t="s">
        <v>1586</v>
      </c>
      <c r="AD13" t="s">
        <v>1586</v>
      </c>
      <c r="AH13">
        <v>0</v>
      </c>
      <c r="AI13" t="str">
        <f>"509374801"</f>
        <v>509374801</v>
      </c>
    </row>
    <row r="14" spans="1:36" x14ac:dyDescent="0.35">
      <c r="A14" t="str">
        <f>"2501718089"</f>
        <v>2501718089</v>
      </c>
      <c r="B14" t="s">
        <v>1560</v>
      </c>
      <c r="C14" s="2">
        <v>46247.653263888889</v>
      </c>
      <c r="D14" t="s">
        <v>1536</v>
      </c>
      <c r="E14">
        <v>3</v>
      </c>
      <c r="F14">
        <v>436</v>
      </c>
      <c r="G14" t="s">
        <v>1559</v>
      </c>
      <c r="J14" t="s">
        <v>1934</v>
      </c>
      <c r="K14" t="str">
        <f>"521088"</f>
        <v>521088</v>
      </c>
      <c r="L14" s="1">
        <v>46247</v>
      </c>
      <c r="M14" t="s">
        <v>1933</v>
      </c>
      <c r="N14" t="s">
        <v>1933</v>
      </c>
      <c r="Q14" t="s">
        <v>1995</v>
      </c>
      <c r="R14" t="s">
        <v>1560</v>
      </c>
      <c r="S14" t="s">
        <v>1559</v>
      </c>
      <c r="U14">
        <v>0</v>
      </c>
      <c r="V14">
        <v>0</v>
      </c>
      <c r="X14" s="2">
        <v>46249.372407407405</v>
      </c>
      <c r="Y14" s="2">
        <v>46249.372407407405</v>
      </c>
      <c r="Z14" t="s">
        <v>1559</v>
      </c>
      <c r="AD14" t="s">
        <v>1559</v>
      </c>
      <c r="AH14">
        <v>0</v>
      </c>
      <c r="AI14" t="str">
        <f>"550255087"</f>
        <v>550255087</v>
      </c>
    </row>
    <row r="15" spans="1:36" x14ac:dyDescent="0.35">
      <c r="A15" t="str">
        <f>"2501718084"</f>
        <v>2501718084</v>
      </c>
      <c r="B15" t="s">
        <v>1540</v>
      </c>
      <c r="C15" s="2">
        <v>46246.761122685188</v>
      </c>
      <c r="D15" t="s">
        <v>1536</v>
      </c>
      <c r="E15">
        <v>1</v>
      </c>
      <c r="F15">
        <v>9</v>
      </c>
      <c r="G15" t="s">
        <v>1623</v>
      </c>
      <c r="J15" t="s">
        <v>1934</v>
      </c>
      <c r="K15" t="str">
        <f>"520721"</f>
        <v>520721</v>
      </c>
      <c r="L15" s="1">
        <v>46246</v>
      </c>
      <c r="M15" t="s">
        <v>1933</v>
      </c>
      <c r="N15" t="s">
        <v>1933</v>
      </c>
      <c r="Q15" t="str">
        <f>"906"</f>
        <v>906</v>
      </c>
      <c r="R15" t="s">
        <v>1540</v>
      </c>
      <c r="S15" t="s">
        <v>1623</v>
      </c>
      <c r="U15">
        <v>0</v>
      </c>
      <c r="V15">
        <v>0</v>
      </c>
      <c r="X15" s="2">
        <v>46247.301064814812</v>
      </c>
      <c r="Y15" s="2">
        <v>46247.301064814812</v>
      </c>
      <c r="Z15" t="s">
        <v>1623</v>
      </c>
      <c r="AD15" t="s">
        <v>1623</v>
      </c>
      <c r="AH15">
        <v>0</v>
      </c>
      <c r="AI15" t="str">
        <f>"541661765"</f>
        <v>541661765</v>
      </c>
    </row>
    <row r="16" spans="1:36" x14ac:dyDescent="0.35">
      <c r="A16" t="str">
        <f>"2501718082"</f>
        <v>2501718082</v>
      </c>
      <c r="B16" t="s">
        <v>1540</v>
      </c>
      <c r="C16" s="2">
        <v>46246.761122685188</v>
      </c>
      <c r="D16" t="s">
        <v>1536</v>
      </c>
      <c r="E16">
        <v>1</v>
      </c>
      <c r="F16">
        <v>10</v>
      </c>
      <c r="G16" t="s">
        <v>1619</v>
      </c>
      <c r="J16" t="s">
        <v>1934</v>
      </c>
      <c r="K16" t="str">
        <f>"520721"</f>
        <v>520721</v>
      </c>
      <c r="L16" s="1">
        <v>46246</v>
      </c>
      <c r="M16" t="s">
        <v>1933</v>
      </c>
      <c r="N16" t="s">
        <v>1933</v>
      </c>
      <c r="Q16" t="str">
        <f>"843"</f>
        <v>843</v>
      </c>
      <c r="R16" t="s">
        <v>1540</v>
      </c>
      <c r="S16" t="s">
        <v>1619</v>
      </c>
      <c r="U16">
        <v>0</v>
      </c>
      <c r="V16">
        <v>0</v>
      </c>
      <c r="X16" s="2">
        <v>46247.301064814812</v>
      </c>
      <c r="Y16" s="2">
        <v>46247.301064814812</v>
      </c>
      <c r="Z16" t="s">
        <v>1619</v>
      </c>
      <c r="AD16" t="s">
        <v>1619</v>
      </c>
      <c r="AH16">
        <v>0</v>
      </c>
      <c r="AI16" t="str">
        <f>"536290923"</f>
        <v>536290923</v>
      </c>
    </row>
    <row r="17" spans="1:35" x14ac:dyDescent="0.35">
      <c r="A17" t="str">
        <f>"2501718081"</f>
        <v>2501718081</v>
      </c>
      <c r="B17" t="s">
        <v>1583</v>
      </c>
      <c r="C17" s="2">
        <v>46246.761122685188</v>
      </c>
      <c r="D17" t="s">
        <v>1536</v>
      </c>
      <c r="E17">
        <v>1</v>
      </c>
      <c r="F17">
        <v>4</v>
      </c>
      <c r="G17" t="s">
        <v>1617</v>
      </c>
      <c r="J17" t="s">
        <v>1934</v>
      </c>
      <c r="K17" t="str">
        <f>"521234"</f>
        <v>521234</v>
      </c>
      <c r="L17" s="1">
        <v>46246</v>
      </c>
      <c r="M17" t="s">
        <v>1933</v>
      </c>
      <c r="N17" t="s">
        <v>1933</v>
      </c>
      <c r="Q17" t="s">
        <v>1996</v>
      </c>
      <c r="R17" t="s">
        <v>1583</v>
      </c>
      <c r="S17" t="s">
        <v>1617</v>
      </c>
      <c r="U17">
        <v>0</v>
      </c>
      <c r="V17">
        <v>0</v>
      </c>
      <c r="X17" s="2">
        <v>46247.300254629627</v>
      </c>
      <c r="Y17" s="2">
        <v>46247.300254629627</v>
      </c>
      <c r="Z17" t="s">
        <v>1617</v>
      </c>
      <c r="AD17" t="s">
        <v>1617</v>
      </c>
      <c r="AH17">
        <v>0</v>
      </c>
      <c r="AI17" t="str">
        <f>"536028246"</f>
        <v>536028246</v>
      </c>
    </row>
    <row r="18" spans="1:35" x14ac:dyDescent="0.35">
      <c r="A18" t="str">
        <f>"2501718072"</f>
        <v>2501718072</v>
      </c>
      <c r="B18" t="s">
        <v>1629</v>
      </c>
      <c r="C18" s="2">
        <v>46245.950694444444</v>
      </c>
      <c r="D18" t="s">
        <v>1536</v>
      </c>
      <c r="E18">
        <v>1</v>
      </c>
      <c r="F18">
        <v>2</v>
      </c>
      <c r="G18" t="s">
        <v>1542</v>
      </c>
      <c r="J18" t="s">
        <v>1934</v>
      </c>
      <c r="K18" t="str">
        <f>"521237"</f>
        <v>521237</v>
      </c>
      <c r="L18" s="1">
        <v>46245</v>
      </c>
      <c r="M18" t="s">
        <v>1933</v>
      </c>
      <c r="N18" t="s">
        <v>1933</v>
      </c>
      <c r="Q18" t="s">
        <v>1997</v>
      </c>
      <c r="R18" t="s">
        <v>1629</v>
      </c>
      <c r="S18" t="s">
        <v>1542</v>
      </c>
      <c r="U18">
        <v>0</v>
      </c>
      <c r="V18">
        <v>0</v>
      </c>
      <c r="X18" s="2">
        <v>46246.419432870367</v>
      </c>
      <c r="Y18" s="2">
        <v>46246.419432870367</v>
      </c>
      <c r="Z18" t="s">
        <v>1542</v>
      </c>
      <c r="AD18" t="s">
        <v>1542</v>
      </c>
      <c r="AH18">
        <v>0</v>
      </c>
      <c r="AI18" t="str">
        <f>"546528717"</f>
        <v>546528717</v>
      </c>
    </row>
    <row r="19" spans="1:35" x14ac:dyDescent="0.35">
      <c r="A19" t="str">
        <f>"2501718069"</f>
        <v>2501718069</v>
      </c>
      <c r="B19" t="s">
        <v>1629</v>
      </c>
      <c r="C19" s="2">
        <v>46245.950694444444</v>
      </c>
      <c r="D19" t="s">
        <v>1536</v>
      </c>
      <c r="E19">
        <v>1</v>
      </c>
      <c r="F19">
        <v>2</v>
      </c>
      <c r="G19" t="s">
        <v>1631</v>
      </c>
      <c r="J19" t="s">
        <v>1934</v>
      </c>
      <c r="K19" t="str">
        <f>"521237"</f>
        <v>521237</v>
      </c>
      <c r="L19" s="1">
        <v>46245</v>
      </c>
      <c r="M19" t="s">
        <v>1933</v>
      </c>
      <c r="N19" t="s">
        <v>1933</v>
      </c>
      <c r="Q19" t="s">
        <v>1998</v>
      </c>
      <c r="R19" t="s">
        <v>1629</v>
      </c>
      <c r="S19" t="s">
        <v>1631</v>
      </c>
      <c r="U19">
        <v>0</v>
      </c>
      <c r="V19">
        <v>0</v>
      </c>
      <c r="X19" s="2">
        <v>46246.419432870367</v>
      </c>
      <c r="Y19" s="2">
        <v>46246.419432870367</v>
      </c>
      <c r="Z19" t="s">
        <v>1631</v>
      </c>
      <c r="AD19" t="s">
        <v>1631</v>
      </c>
      <c r="AH19">
        <v>0</v>
      </c>
      <c r="AI19" t="str">
        <f>"593194604"</f>
        <v>593194604</v>
      </c>
    </row>
    <row r="20" spans="1:35" x14ac:dyDescent="0.35">
      <c r="A20" t="str">
        <f>"2501718065"</f>
        <v>2501718065</v>
      </c>
      <c r="B20" t="s">
        <v>1634</v>
      </c>
      <c r="C20" s="2">
        <v>46244.84814814815</v>
      </c>
      <c r="D20" t="s">
        <v>1536</v>
      </c>
      <c r="E20">
        <v>2</v>
      </c>
      <c r="F20">
        <v>200</v>
      </c>
      <c r="G20" t="s">
        <v>1633</v>
      </c>
      <c r="J20" t="s">
        <v>1934</v>
      </c>
      <c r="K20" t="str">
        <f>"521195"</f>
        <v>521195</v>
      </c>
      <c r="L20" s="1">
        <v>46244</v>
      </c>
      <c r="M20" t="s">
        <v>1933</v>
      </c>
      <c r="N20" t="s">
        <v>1933</v>
      </c>
      <c r="Q20" t="str">
        <f>"100002"</f>
        <v>100002</v>
      </c>
      <c r="R20" t="s">
        <v>1634</v>
      </c>
      <c r="S20" t="s">
        <v>1633</v>
      </c>
      <c r="U20">
        <v>0</v>
      </c>
      <c r="V20">
        <v>0</v>
      </c>
      <c r="X20" s="2">
        <v>46245.411168981482</v>
      </c>
      <c r="Y20" s="2">
        <v>46245.411168981482</v>
      </c>
      <c r="Z20" t="s">
        <v>1633</v>
      </c>
      <c r="AD20" t="s">
        <v>1633</v>
      </c>
      <c r="AH20">
        <v>0</v>
      </c>
      <c r="AI20" t="str">
        <f>"551558885"</f>
        <v>551558885</v>
      </c>
    </row>
    <row r="21" spans="1:35" x14ac:dyDescent="0.35">
      <c r="A21" t="str">
        <f>"2501718061"</f>
        <v>2501718061</v>
      </c>
      <c r="B21" t="s">
        <v>1556</v>
      </c>
      <c r="C21" s="2">
        <v>46244.848136574074</v>
      </c>
      <c r="D21" t="s">
        <v>1536</v>
      </c>
      <c r="E21">
        <v>1</v>
      </c>
      <c r="F21">
        <v>78</v>
      </c>
      <c r="G21" t="s">
        <v>1638</v>
      </c>
      <c r="J21" t="s">
        <v>1934</v>
      </c>
      <c r="K21" t="str">
        <f>"521161"</f>
        <v>521161</v>
      </c>
      <c r="L21" s="1">
        <v>46244</v>
      </c>
      <c r="M21" t="s">
        <v>1933</v>
      </c>
      <c r="N21" t="s">
        <v>1933</v>
      </c>
      <c r="Q21" t="s">
        <v>1999</v>
      </c>
      <c r="R21" t="s">
        <v>1556</v>
      </c>
      <c r="S21" t="s">
        <v>1638</v>
      </c>
      <c r="U21">
        <v>0</v>
      </c>
      <c r="V21">
        <v>0</v>
      </c>
      <c r="X21" s="2">
        <v>46245.410717592589</v>
      </c>
      <c r="Y21" s="2">
        <v>46245.410717592589</v>
      </c>
      <c r="Z21" t="s">
        <v>1638</v>
      </c>
      <c r="AD21" t="s">
        <v>1638</v>
      </c>
      <c r="AH21">
        <v>0</v>
      </c>
      <c r="AI21" t="str">
        <f>"596314983"</f>
        <v>596314983</v>
      </c>
    </row>
    <row r="22" spans="1:35" x14ac:dyDescent="0.35">
      <c r="A22" t="str">
        <f>"2501718060"</f>
        <v>2501718060</v>
      </c>
      <c r="B22" t="s">
        <v>1643</v>
      </c>
      <c r="C22" s="2">
        <v>46244.848136574074</v>
      </c>
      <c r="D22" t="s">
        <v>1536</v>
      </c>
      <c r="E22">
        <v>1</v>
      </c>
      <c r="F22">
        <v>1</v>
      </c>
      <c r="G22" t="s">
        <v>1642</v>
      </c>
      <c r="J22" t="s">
        <v>1934</v>
      </c>
      <c r="K22" t="str">
        <f>"520605"</f>
        <v>520605</v>
      </c>
      <c r="L22" s="1">
        <v>46244</v>
      </c>
      <c r="M22" t="s">
        <v>1933</v>
      </c>
      <c r="N22" t="s">
        <v>1933</v>
      </c>
      <c r="Q22" t="s">
        <v>2000</v>
      </c>
      <c r="R22" t="s">
        <v>1643</v>
      </c>
      <c r="S22" t="s">
        <v>1642</v>
      </c>
      <c r="U22">
        <v>0</v>
      </c>
      <c r="V22">
        <v>0</v>
      </c>
      <c r="X22" s="2">
        <v>46245.410219907404</v>
      </c>
      <c r="Y22" s="2">
        <v>46245.410219907404</v>
      </c>
      <c r="Z22" t="s">
        <v>1642</v>
      </c>
      <c r="AD22" t="s">
        <v>1642</v>
      </c>
      <c r="AH22">
        <v>0</v>
      </c>
      <c r="AI22" t="s">
        <v>2001</v>
      </c>
    </row>
    <row r="23" spans="1:35" x14ac:dyDescent="0.35">
      <c r="A23" t="str">
        <f>"2501718059"</f>
        <v>2501718059</v>
      </c>
      <c r="B23" t="s">
        <v>1646</v>
      </c>
      <c r="C23" s="2">
        <v>46244.848136574074</v>
      </c>
      <c r="D23" t="s">
        <v>1536</v>
      </c>
      <c r="E23">
        <v>2</v>
      </c>
      <c r="F23">
        <v>20</v>
      </c>
      <c r="G23" t="s">
        <v>1645</v>
      </c>
      <c r="J23" t="s">
        <v>1934</v>
      </c>
      <c r="K23" t="str">
        <f>"521142"</f>
        <v>521142</v>
      </c>
      <c r="L23" s="1">
        <v>46244</v>
      </c>
      <c r="M23" t="s">
        <v>1933</v>
      </c>
      <c r="N23" t="s">
        <v>1933</v>
      </c>
      <c r="Q23" t="str">
        <f>"15"</f>
        <v>15</v>
      </c>
      <c r="R23" t="s">
        <v>1646</v>
      </c>
      <c r="S23" t="s">
        <v>1645</v>
      </c>
      <c r="U23">
        <v>0</v>
      </c>
      <c r="V23">
        <v>0</v>
      </c>
      <c r="X23" s="2">
        <v>46245.409490740742</v>
      </c>
      <c r="Y23" s="2">
        <v>46245.409490740742</v>
      </c>
      <c r="Z23" t="s">
        <v>1645</v>
      </c>
      <c r="AD23" t="s">
        <v>1645</v>
      </c>
      <c r="AH23">
        <v>0</v>
      </c>
      <c r="AI23" t="str">
        <f>"55151232"</f>
        <v>55151232</v>
      </c>
    </row>
    <row r="24" spans="1:35" x14ac:dyDescent="0.35">
      <c r="A24" t="str">
        <f>"2501718053"</f>
        <v>2501718053</v>
      </c>
      <c r="B24" t="s">
        <v>1560</v>
      </c>
      <c r="C24" s="2">
        <v>46243.708321759259</v>
      </c>
      <c r="D24" t="s">
        <v>1536</v>
      </c>
      <c r="E24">
        <v>1</v>
      </c>
      <c r="F24">
        <v>43</v>
      </c>
      <c r="G24" t="s">
        <v>1559</v>
      </c>
      <c r="J24" t="s">
        <v>1934</v>
      </c>
      <c r="K24" t="str">
        <f>"521088"</f>
        <v>521088</v>
      </c>
      <c r="L24" s="1">
        <v>46243</v>
      </c>
      <c r="M24" t="s">
        <v>1933</v>
      </c>
      <c r="N24" t="s">
        <v>1933</v>
      </c>
      <c r="Q24" t="s">
        <v>2002</v>
      </c>
      <c r="R24" t="s">
        <v>1560</v>
      </c>
      <c r="S24" t="s">
        <v>1559</v>
      </c>
      <c r="U24">
        <v>0</v>
      </c>
      <c r="V24">
        <v>0</v>
      </c>
      <c r="X24" s="2">
        <v>46244.455590277779</v>
      </c>
      <c r="Y24" s="2">
        <v>46244.455590277779</v>
      </c>
      <c r="Z24" t="s">
        <v>1559</v>
      </c>
      <c r="AD24" t="s">
        <v>1559</v>
      </c>
      <c r="AH24">
        <v>0</v>
      </c>
      <c r="AI24" t="str">
        <f>"550255087"</f>
        <v>550255087</v>
      </c>
    </row>
    <row r="25" spans="1:35" x14ac:dyDescent="0.35">
      <c r="A25" t="str">
        <f>"2501718047"</f>
        <v>2501718047</v>
      </c>
      <c r="B25" t="s">
        <v>1540</v>
      </c>
      <c r="C25" s="2">
        <v>46240.76421296296</v>
      </c>
      <c r="D25" t="s">
        <v>1536</v>
      </c>
      <c r="E25">
        <v>1</v>
      </c>
      <c r="F25">
        <v>8</v>
      </c>
      <c r="G25" t="s">
        <v>1564</v>
      </c>
      <c r="J25" t="s">
        <v>1934</v>
      </c>
      <c r="K25" t="str">
        <f>"520721"</f>
        <v>520721</v>
      </c>
      <c r="L25" s="1">
        <v>46242</v>
      </c>
      <c r="M25" t="s">
        <v>1933</v>
      </c>
      <c r="N25" t="s">
        <v>1933</v>
      </c>
      <c r="Q25" t="str">
        <f>"952"</f>
        <v>952</v>
      </c>
      <c r="R25" t="s">
        <v>1540</v>
      </c>
      <c r="S25" t="s">
        <v>1564</v>
      </c>
      <c r="U25">
        <v>0</v>
      </c>
      <c r="V25">
        <v>0</v>
      </c>
      <c r="X25" s="2">
        <v>46242.310127314813</v>
      </c>
      <c r="Y25" s="2">
        <v>46242.310127314813</v>
      </c>
      <c r="Z25" t="s">
        <v>1564</v>
      </c>
      <c r="AD25" t="s">
        <v>1564</v>
      </c>
      <c r="AH25">
        <v>0</v>
      </c>
      <c r="AI25" t="str">
        <f>"502525230"</f>
        <v>502525230</v>
      </c>
    </row>
    <row r="26" spans="1:35" x14ac:dyDescent="0.35">
      <c r="A26" t="str">
        <f>"2501718046"</f>
        <v>2501718046</v>
      </c>
      <c r="B26" t="s">
        <v>1540</v>
      </c>
      <c r="C26" s="2">
        <v>46240.76421296296</v>
      </c>
      <c r="D26" t="s">
        <v>1536</v>
      </c>
      <c r="E26">
        <v>1</v>
      </c>
      <c r="F26">
        <v>10</v>
      </c>
      <c r="G26" t="s">
        <v>1649</v>
      </c>
      <c r="J26" t="s">
        <v>1934</v>
      </c>
      <c r="K26" t="str">
        <f>"520721"</f>
        <v>520721</v>
      </c>
      <c r="L26" s="1">
        <v>46242</v>
      </c>
      <c r="M26" t="s">
        <v>1933</v>
      </c>
      <c r="N26" t="s">
        <v>1933</v>
      </c>
      <c r="Q26" t="str">
        <f>"563"</f>
        <v>563</v>
      </c>
      <c r="R26" t="s">
        <v>1540</v>
      </c>
      <c r="S26" t="s">
        <v>1649</v>
      </c>
      <c r="U26">
        <v>0</v>
      </c>
      <c r="V26">
        <v>0</v>
      </c>
      <c r="X26" s="2">
        <v>46242.310127314813</v>
      </c>
      <c r="Y26" s="2">
        <v>46242.310127314813</v>
      </c>
      <c r="Z26" t="s">
        <v>1649</v>
      </c>
      <c r="AD26" t="s">
        <v>1649</v>
      </c>
      <c r="AH26">
        <v>0</v>
      </c>
      <c r="AI26" t="str">
        <f>"563227533"</f>
        <v>563227533</v>
      </c>
    </row>
    <row r="27" spans="1:35" x14ac:dyDescent="0.35">
      <c r="A27" t="str">
        <f>"2501718040"</f>
        <v>2501718040</v>
      </c>
      <c r="B27" t="s">
        <v>1652</v>
      </c>
      <c r="C27" s="2">
        <v>46240.76421296296</v>
      </c>
      <c r="D27" t="s">
        <v>1536</v>
      </c>
      <c r="E27">
        <v>1</v>
      </c>
      <c r="F27">
        <v>30</v>
      </c>
      <c r="G27" t="s">
        <v>1651</v>
      </c>
      <c r="J27" t="s">
        <v>1934</v>
      </c>
      <c r="K27" t="str">
        <f>"521159"</f>
        <v>521159</v>
      </c>
      <c r="L27" s="1">
        <v>46242</v>
      </c>
      <c r="M27" t="s">
        <v>1933</v>
      </c>
      <c r="N27" t="s">
        <v>1933</v>
      </c>
      <c r="Q27" t="s">
        <v>2003</v>
      </c>
      <c r="R27" t="s">
        <v>1652</v>
      </c>
      <c r="S27" t="s">
        <v>1651</v>
      </c>
      <c r="U27">
        <v>0</v>
      </c>
      <c r="V27">
        <v>0</v>
      </c>
      <c r="X27" s="2">
        <v>46242.310960648145</v>
      </c>
      <c r="Y27" s="2">
        <v>46242.310960648145</v>
      </c>
      <c r="Z27" t="s">
        <v>1651</v>
      </c>
      <c r="AD27" t="s">
        <v>1651</v>
      </c>
      <c r="AH27">
        <v>0</v>
      </c>
      <c r="AI27" t="str">
        <f>"532100619"</f>
        <v>532100619</v>
      </c>
    </row>
    <row r="28" spans="1:35" x14ac:dyDescent="0.35">
      <c r="A28" t="str">
        <f>"2501718023"</f>
        <v>2501718023</v>
      </c>
      <c r="B28" t="s">
        <v>1540</v>
      </c>
      <c r="C28" s="2">
        <v>46238.57236111111</v>
      </c>
      <c r="D28" t="s">
        <v>1536</v>
      </c>
      <c r="E28">
        <v>1</v>
      </c>
      <c r="F28">
        <v>40</v>
      </c>
      <c r="G28" t="s">
        <v>1667</v>
      </c>
      <c r="J28" t="s">
        <v>1934</v>
      </c>
      <c r="K28" t="str">
        <f>"520721"</f>
        <v>520721</v>
      </c>
      <c r="L28" s="1">
        <v>46238</v>
      </c>
      <c r="M28" t="s">
        <v>1933</v>
      </c>
      <c r="N28" t="s">
        <v>1933</v>
      </c>
      <c r="Q28" t="str">
        <f>"100151"</f>
        <v>100151</v>
      </c>
      <c r="R28" t="s">
        <v>1540</v>
      </c>
      <c r="S28" t="s">
        <v>1667</v>
      </c>
      <c r="U28">
        <v>0</v>
      </c>
      <c r="V28">
        <v>0</v>
      </c>
      <c r="X28" s="2">
        <v>46239.307581018518</v>
      </c>
      <c r="Y28" s="2">
        <v>46239.307581018518</v>
      </c>
      <c r="Z28" t="s">
        <v>1667</v>
      </c>
      <c r="AD28" t="s">
        <v>1667</v>
      </c>
      <c r="AH28">
        <v>0</v>
      </c>
      <c r="AI28" t="s">
        <v>2004</v>
      </c>
    </row>
    <row r="29" spans="1:35" x14ac:dyDescent="0.35">
      <c r="A29" t="str">
        <f>"2501718022"</f>
        <v>2501718022</v>
      </c>
      <c r="B29" t="s">
        <v>1652</v>
      </c>
      <c r="C29" s="2">
        <v>46238.57236111111</v>
      </c>
      <c r="D29" t="s">
        <v>1536</v>
      </c>
      <c r="E29">
        <v>1</v>
      </c>
      <c r="F29">
        <v>9</v>
      </c>
      <c r="G29" t="s">
        <v>1663</v>
      </c>
      <c r="J29" t="s">
        <v>1934</v>
      </c>
      <c r="K29" t="str">
        <f>"521159"</f>
        <v>521159</v>
      </c>
      <c r="L29" s="1">
        <v>46238</v>
      </c>
      <c r="M29" t="s">
        <v>1933</v>
      </c>
      <c r="N29" t="s">
        <v>1933</v>
      </c>
      <c r="Q29" t="s">
        <v>2005</v>
      </c>
      <c r="R29" t="s">
        <v>1652</v>
      </c>
      <c r="S29" t="s">
        <v>1663</v>
      </c>
      <c r="U29">
        <v>0</v>
      </c>
      <c r="V29">
        <v>0</v>
      </c>
      <c r="X29" s="2">
        <v>46239.307175925926</v>
      </c>
      <c r="Y29" s="2">
        <v>46239.307175925926</v>
      </c>
      <c r="Z29" t="s">
        <v>1663</v>
      </c>
      <c r="AD29" t="s">
        <v>1663</v>
      </c>
      <c r="AH29">
        <v>0</v>
      </c>
      <c r="AI29" t="str">
        <f>"509357967"</f>
        <v>509357967</v>
      </c>
    </row>
    <row r="30" spans="1:35" x14ac:dyDescent="0.35">
      <c r="A30" t="str">
        <f>"2501718018"</f>
        <v>2501718018</v>
      </c>
      <c r="B30" t="s">
        <v>1671</v>
      </c>
      <c r="C30" s="2">
        <v>46237.676574074074</v>
      </c>
      <c r="D30" t="s">
        <v>1536</v>
      </c>
      <c r="E30">
        <v>1</v>
      </c>
      <c r="F30">
        <v>10</v>
      </c>
      <c r="G30" t="s">
        <v>1586</v>
      </c>
      <c r="J30" t="s">
        <v>1934</v>
      </c>
      <c r="K30" t="str">
        <f>"520228"</f>
        <v>520228</v>
      </c>
      <c r="L30" s="1">
        <v>46237</v>
      </c>
      <c r="M30" t="s">
        <v>1933</v>
      </c>
      <c r="N30" t="s">
        <v>1933</v>
      </c>
      <c r="Q30" t="str">
        <f>"1188"</f>
        <v>1188</v>
      </c>
      <c r="R30" t="s">
        <v>1671</v>
      </c>
      <c r="S30" t="s">
        <v>1586</v>
      </c>
      <c r="U30">
        <v>0</v>
      </c>
      <c r="V30">
        <v>0</v>
      </c>
      <c r="X30" s="2">
        <v>46238.441030092596</v>
      </c>
      <c r="Y30" s="2">
        <v>46238.441030092596</v>
      </c>
      <c r="Z30" t="s">
        <v>1586</v>
      </c>
      <c r="AD30" t="s">
        <v>1586</v>
      </c>
      <c r="AH30">
        <v>0</v>
      </c>
      <c r="AI30" t="str">
        <f>"555092706"</f>
        <v>555092706</v>
      </c>
    </row>
    <row r="31" spans="1:35" x14ac:dyDescent="0.35">
      <c r="A31" t="str">
        <f>"2501718011"</f>
        <v>2501718011</v>
      </c>
      <c r="B31" t="s">
        <v>1678</v>
      </c>
      <c r="C31" s="2">
        <v>46236.651979166665</v>
      </c>
      <c r="D31" t="s">
        <v>1536</v>
      </c>
      <c r="E31">
        <v>1</v>
      </c>
      <c r="F31">
        <v>2</v>
      </c>
      <c r="G31" t="s">
        <v>1677</v>
      </c>
      <c r="J31" t="s">
        <v>1934</v>
      </c>
      <c r="K31" t="str">
        <f>"520192"</f>
        <v>520192</v>
      </c>
      <c r="L31" s="1">
        <v>46236</v>
      </c>
      <c r="M31" t="s">
        <v>1933</v>
      </c>
      <c r="N31" t="s">
        <v>1933</v>
      </c>
      <c r="Q31" t="str">
        <f>"153"</f>
        <v>153</v>
      </c>
      <c r="R31" t="s">
        <v>1678</v>
      </c>
      <c r="S31" t="s">
        <v>1677</v>
      </c>
      <c r="U31">
        <v>0</v>
      </c>
      <c r="V31">
        <v>0</v>
      </c>
      <c r="X31" s="2">
        <v>46237.371307870373</v>
      </c>
      <c r="Y31" s="2">
        <v>46237.371307870373</v>
      </c>
      <c r="Z31" t="s">
        <v>1677</v>
      </c>
      <c r="AD31" t="s">
        <v>1677</v>
      </c>
      <c r="AH31">
        <v>0</v>
      </c>
      <c r="AI31" t="str">
        <f>"537844168"</f>
        <v>537844168</v>
      </c>
    </row>
    <row r="32" spans="1:35" x14ac:dyDescent="0.35">
      <c r="A32" t="str">
        <f>"2501717992"</f>
        <v>2501717992</v>
      </c>
      <c r="B32" t="s">
        <v>1681</v>
      </c>
      <c r="C32" s="2">
        <v>46236.651979166665</v>
      </c>
      <c r="D32" t="s">
        <v>1536</v>
      </c>
      <c r="E32">
        <v>1</v>
      </c>
      <c r="F32">
        <v>124</v>
      </c>
      <c r="G32" t="s">
        <v>1680</v>
      </c>
      <c r="J32" t="s">
        <v>1934</v>
      </c>
      <c r="K32" t="str">
        <f>"521152"</f>
        <v>521152</v>
      </c>
      <c r="L32" s="1">
        <v>46236</v>
      </c>
      <c r="M32" t="s">
        <v>1933</v>
      </c>
      <c r="N32" t="s">
        <v>1933</v>
      </c>
      <c r="Q32" t="str">
        <f>"100032"</f>
        <v>100032</v>
      </c>
      <c r="R32" t="s">
        <v>1681</v>
      </c>
      <c r="S32" t="s">
        <v>1680</v>
      </c>
      <c r="U32">
        <v>0</v>
      </c>
      <c r="V32">
        <v>0</v>
      </c>
      <c r="X32" s="2">
        <v>46237.371805555558</v>
      </c>
      <c r="Y32" s="2">
        <v>46237.371805555558</v>
      </c>
      <c r="Z32" t="s">
        <v>1680</v>
      </c>
      <c r="AD32" t="s">
        <v>1680</v>
      </c>
      <c r="AH32">
        <v>0</v>
      </c>
      <c r="AI32" t="str">
        <f>"530854390"</f>
        <v>530854390</v>
      </c>
    </row>
    <row r="33" spans="1:35" x14ac:dyDescent="0.35">
      <c r="A33" t="str">
        <f>"2501717991"</f>
        <v>2501717991</v>
      </c>
      <c r="B33" t="s">
        <v>1681</v>
      </c>
      <c r="C33" s="2">
        <v>46236.651979166665</v>
      </c>
      <c r="D33" t="s">
        <v>1536</v>
      </c>
      <c r="E33">
        <v>1</v>
      </c>
      <c r="F33">
        <v>576</v>
      </c>
      <c r="G33" t="s">
        <v>1680</v>
      </c>
      <c r="J33" t="s">
        <v>1934</v>
      </c>
      <c r="K33" t="str">
        <f>"521152"</f>
        <v>521152</v>
      </c>
      <c r="L33" s="1">
        <v>46236</v>
      </c>
      <c r="M33" t="s">
        <v>1933</v>
      </c>
      <c r="N33" t="s">
        <v>1933</v>
      </c>
      <c r="Q33" t="str">
        <f>"100032"</f>
        <v>100032</v>
      </c>
      <c r="R33" t="s">
        <v>1681</v>
      </c>
      <c r="S33" t="s">
        <v>1680</v>
      </c>
      <c r="U33">
        <v>0</v>
      </c>
      <c r="V33">
        <v>0</v>
      </c>
      <c r="X33" s="2">
        <v>46237.371805555558</v>
      </c>
      <c r="Y33" s="2">
        <v>46237.371805555558</v>
      </c>
      <c r="Z33" t="s">
        <v>1680</v>
      </c>
      <c r="AD33" t="s">
        <v>1680</v>
      </c>
      <c r="AH33">
        <v>0</v>
      </c>
      <c r="AI33" t="str">
        <f>"530854390"</f>
        <v>530854390</v>
      </c>
    </row>
    <row r="34" spans="1:35" x14ac:dyDescent="0.35">
      <c r="A34" t="str">
        <f>"2501717990"</f>
        <v>2501717990</v>
      </c>
      <c r="B34" t="s">
        <v>1681</v>
      </c>
      <c r="C34" s="2">
        <v>46236.651979166665</v>
      </c>
      <c r="D34" t="s">
        <v>1536</v>
      </c>
      <c r="E34">
        <v>3</v>
      </c>
      <c r="F34">
        <v>568</v>
      </c>
      <c r="G34" t="s">
        <v>1680</v>
      </c>
      <c r="J34" t="s">
        <v>1934</v>
      </c>
      <c r="K34" t="str">
        <f>"521152"</f>
        <v>521152</v>
      </c>
      <c r="L34" s="1">
        <v>46236</v>
      </c>
      <c r="M34" t="s">
        <v>1933</v>
      </c>
      <c r="N34" t="s">
        <v>1933</v>
      </c>
      <c r="Q34" t="str">
        <f>"100032"</f>
        <v>100032</v>
      </c>
      <c r="R34" t="s">
        <v>1681</v>
      </c>
      <c r="S34" t="s">
        <v>1680</v>
      </c>
      <c r="U34">
        <v>0</v>
      </c>
      <c r="V34">
        <v>0</v>
      </c>
      <c r="X34" s="2">
        <v>46237.371805555558</v>
      </c>
      <c r="Y34" s="2">
        <v>46237.371805555558</v>
      </c>
      <c r="Z34" t="s">
        <v>1680</v>
      </c>
      <c r="AD34" t="s">
        <v>1680</v>
      </c>
      <c r="AH34">
        <v>0</v>
      </c>
      <c r="AI34" t="str">
        <f>"530854390"</f>
        <v>530854390</v>
      </c>
    </row>
    <row r="35" spans="1:35" x14ac:dyDescent="0.35">
      <c r="A35" t="str">
        <f>"2501717982"</f>
        <v>2501717982</v>
      </c>
      <c r="B35" t="s">
        <v>1693</v>
      </c>
      <c r="C35" s="2">
        <v>46233.73060185185</v>
      </c>
      <c r="D35" t="s">
        <v>1536</v>
      </c>
      <c r="E35">
        <v>1</v>
      </c>
      <c r="F35">
        <v>24</v>
      </c>
      <c r="G35" t="s">
        <v>1692</v>
      </c>
      <c r="J35" t="s">
        <v>1934</v>
      </c>
      <c r="K35" t="str">
        <f>"520609"</f>
        <v>520609</v>
      </c>
      <c r="L35" s="1">
        <v>46233</v>
      </c>
      <c r="M35" t="s">
        <v>1933</v>
      </c>
      <c r="N35" t="s">
        <v>1933</v>
      </c>
      <c r="Q35" t="str">
        <f>"4000176944"</f>
        <v>4000176944</v>
      </c>
      <c r="R35" t="s">
        <v>1693</v>
      </c>
      <c r="S35" t="s">
        <v>1692</v>
      </c>
      <c r="U35">
        <v>0</v>
      </c>
      <c r="V35">
        <v>0</v>
      </c>
      <c r="X35" s="2">
        <v>46235.345486111109</v>
      </c>
      <c r="Y35" s="2">
        <v>46235.345486111109</v>
      </c>
      <c r="Z35" t="s">
        <v>1692</v>
      </c>
      <c r="AD35" t="s">
        <v>1692</v>
      </c>
      <c r="AH35">
        <v>0</v>
      </c>
      <c r="AI35" t="s">
        <v>2006</v>
      </c>
    </row>
    <row r="36" spans="1:35" x14ac:dyDescent="0.35">
      <c r="A36" t="str">
        <f>"2501717912"</f>
        <v>2501717912</v>
      </c>
      <c r="B36" t="s">
        <v>1560</v>
      </c>
      <c r="C36" s="2">
        <v>46233.73060185185</v>
      </c>
      <c r="D36" t="s">
        <v>1536</v>
      </c>
      <c r="E36">
        <v>2</v>
      </c>
      <c r="F36">
        <v>32</v>
      </c>
      <c r="G36" t="s">
        <v>1559</v>
      </c>
      <c r="J36" t="s">
        <v>1934</v>
      </c>
      <c r="K36" t="str">
        <f>"521088"</f>
        <v>521088</v>
      </c>
      <c r="L36" s="1">
        <v>46233</v>
      </c>
      <c r="M36" t="s">
        <v>1933</v>
      </c>
      <c r="N36" t="s">
        <v>1933</v>
      </c>
      <c r="Q36" t="s">
        <v>2007</v>
      </c>
      <c r="R36" t="s">
        <v>1560</v>
      </c>
      <c r="S36" t="s">
        <v>1559</v>
      </c>
      <c r="U36">
        <v>0</v>
      </c>
      <c r="V36">
        <v>0</v>
      </c>
      <c r="X36" s="2">
        <v>46235.347002314818</v>
      </c>
      <c r="Y36" s="2">
        <v>46235.347002314818</v>
      </c>
      <c r="Z36" t="s">
        <v>1559</v>
      </c>
      <c r="AD36" t="s">
        <v>1559</v>
      </c>
      <c r="AH36">
        <v>0</v>
      </c>
    </row>
    <row r="37" spans="1:35" x14ac:dyDescent="0.35">
      <c r="A37" t="str">
        <f>"2501717961"</f>
        <v>2501717961</v>
      </c>
      <c r="B37" t="s">
        <v>1715</v>
      </c>
      <c r="C37" s="2">
        <v>46232.62903935185</v>
      </c>
      <c r="D37" t="s">
        <v>1536</v>
      </c>
      <c r="E37">
        <v>1</v>
      </c>
      <c r="F37">
        <v>10</v>
      </c>
      <c r="G37" t="s">
        <v>1714</v>
      </c>
      <c r="J37" t="s">
        <v>1934</v>
      </c>
      <c r="K37" t="str">
        <f>"520617"</f>
        <v>520617</v>
      </c>
      <c r="L37" s="1">
        <v>46232</v>
      </c>
      <c r="M37" t="s">
        <v>1933</v>
      </c>
      <c r="N37" t="s">
        <v>1933</v>
      </c>
      <c r="Q37" t="s">
        <v>2008</v>
      </c>
      <c r="R37" t="s">
        <v>1715</v>
      </c>
      <c r="S37" t="s">
        <v>1714</v>
      </c>
      <c r="U37">
        <v>0</v>
      </c>
      <c r="V37">
        <v>0</v>
      </c>
      <c r="X37" s="2">
        <v>46233.353148148148</v>
      </c>
      <c r="Y37" s="2">
        <v>46233.353148148148</v>
      </c>
      <c r="Z37" t="s">
        <v>1714</v>
      </c>
      <c r="AD37" t="s">
        <v>1714</v>
      </c>
      <c r="AH37">
        <v>0</v>
      </c>
      <c r="AI37" t="str">
        <f>"541332602"</f>
        <v>541332602</v>
      </c>
    </row>
    <row r="38" spans="1:35" x14ac:dyDescent="0.35">
      <c r="A38" t="str">
        <f>"2501717959"</f>
        <v>2501717959</v>
      </c>
      <c r="B38" t="s">
        <v>1701</v>
      </c>
      <c r="C38" s="2">
        <v>46232.62903935185</v>
      </c>
      <c r="D38" t="s">
        <v>1536</v>
      </c>
      <c r="E38">
        <v>12</v>
      </c>
      <c r="F38">
        <v>52</v>
      </c>
      <c r="G38" t="s">
        <v>1559</v>
      </c>
      <c r="J38" t="s">
        <v>1934</v>
      </c>
      <c r="K38" t="str">
        <f>"520899"</f>
        <v>520899</v>
      </c>
      <c r="L38" s="1">
        <v>46232</v>
      </c>
      <c r="M38" t="s">
        <v>1933</v>
      </c>
      <c r="N38" t="s">
        <v>1933</v>
      </c>
      <c r="Q38" t="s">
        <v>2009</v>
      </c>
      <c r="R38" t="s">
        <v>1701</v>
      </c>
      <c r="S38" t="s">
        <v>1559</v>
      </c>
      <c r="U38">
        <v>0</v>
      </c>
      <c r="V38">
        <v>0</v>
      </c>
      <c r="X38" s="2">
        <v>46233.354270833333</v>
      </c>
      <c r="Y38" s="2">
        <v>46233.354270833333</v>
      </c>
      <c r="Z38" t="s">
        <v>1559</v>
      </c>
      <c r="AD38" t="s">
        <v>1559</v>
      </c>
      <c r="AH38">
        <v>0</v>
      </c>
      <c r="AI38" t="str">
        <f>"541215076"</f>
        <v>541215076</v>
      </c>
    </row>
    <row r="39" spans="1:35" x14ac:dyDescent="0.35">
      <c r="A39" t="str">
        <f>"2501717953"</f>
        <v>2501717953</v>
      </c>
      <c r="B39" t="s">
        <v>1710</v>
      </c>
      <c r="C39" s="2">
        <v>46232.629027777781</v>
      </c>
      <c r="D39" t="s">
        <v>1536</v>
      </c>
      <c r="E39">
        <v>1</v>
      </c>
      <c r="F39">
        <v>20</v>
      </c>
      <c r="G39" t="s">
        <v>1586</v>
      </c>
      <c r="J39" t="s">
        <v>1934</v>
      </c>
      <c r="K39" t="str">
        <f>"521097"</f>
        <v>521097</v>
      </c>
      <c r="L39" s="1">
        <v>46232</v>
      </c>
      <c r="M39" t="s">
        <v>1933</v>
      </c>
      <c r="N39" t="s">
        <v>1933</v>
      </c>
      <c r="Q39" t="str">
        <f>"5592"</f>
        <v>5592</v>
      </c>
      <c r="R39" t="s">
        <v>1710</v>
      </c>
      <c r="S39" t="s">
        <v>1586</v>
      </c>
      <c r="U39">
        <v>0</v>
      </c>
      <c r="V39">
        <v>0</v>
      </c>
      <c r="X39" s="2">
        <v>46233.355000000003</v>
      </c>
      <c r="Y39" s="2">
        <v>46233.355000000003</v>
      </c>
      <c r="Z39" t="s">
        <v>1586</v>
      </c>
      <c r="AD39" t="s">
        <v>1586</v>
      </c>
      <c r="AH39">
        <v>0</v>
      </c>
      <c r="AI39" t="str">
        <f>"534599288"</f>
        <v>534599288</v>
      </c>
    </row>
    <row r="40" spans="1:35" x14ac:dyDescent="0.35">
      <c r="A40" t="str">
        <f>"2501717936"</f>
        <v>2501717936</v>
      </c>
      <c r="B40" t="s">
        <v>1719</v>
      </c>
      <c r="C40" s="2">
        <v>46231.719074074077</v>
      </c>
      <c r="D40" t="s">
        <v>1536</v>
      </c>
      <c r="E40">
        <v>1</v>
      </c>
      <c r="F40">
        <v>5</v>
      </c>
      <c r="G40" t="s">
        <v>1718</v>
      </c>
      <c r="J40" t="s">
        <v>1934</v>
      </c>
      <c r="K40" t="str">
        <f>"520605"</f>
        <v>520605</v>
      </c>
      <c r="L40" s="1">
        <v>46231</v>
      </c>
      <c r="M40" t="s">
        <v>1933</v>
      </c>
      <c r="N40" t="s">
        <v>1933</v>
      </c>
      <c r="Q40" t="s">
        <v>2010</v>
      </c>
      <c r="R40" t="s">
        <v>1719</v>
      </c>
      <c r="S40" t="s">
        <v>1718</v>
      </c>
      <c r="U40">
        <v>0</v>
      </c>
      <c r="V40">
        <v>0</v>
      </c>
      <c r="X40" s="2">
        <v>46232.347777777781</v>
      </c>
      <c r="Y40" s="2">
        <v>46232.347777777781</v>
      </c>
      <c r="Z40" t="s">
        <v>1718</v>
      </c>
      <c r="AD40" t="s">
        <v>1718</v>
      </c>
      <c r="AH40">
        <v>0</v>
      </c>
      <c r="AI40" t="s">
        <v>2011</v>
      </c>
    </row>
    <row r="41" spans="1:35" x14ac:dyDescent="0.35">
      <c r="A41" t="str">
        <f>"2501717933"</f>
        <v>2501717933</v>
      </c>
      <c r="B41" t="s">
        <v>1722</v>
      </c>
      <c r="C41" s="2">
        <v>46231.719074074077</v>
      </c>
      <c r="D41" t="s">
        <v>1536</v>
      </c>
      <c r="E41">
        <v>2</v>
      </c>
      <c r="F41">
        <v>75</v>
      </c>
      <c r="G41" t="s">
        <v>1586</v>
      </c>
      <c r="J41" t="s">
        <v>1934</v>
      </c>
      <c r="K41" t="str">
        <f>"521022"</f>
        <v>521022</v>
      </c>
      <c r="L41" s="1">
        <v>46231</v>
      </c>
      <c r="M41" t="s">
        <v>1933</v>
      </c>
      <c r="N41" t="s">
        <v>1933</v>
      </c>
      <c r="Q41" t="s">
        <v>2012</v>
      </c>
      <c r="R41" t="s">
        <v>1722</v>
      </c>
      <c r="S41" t="s">
        <v>1586</v>
      </c>
      <c r="U41">
        <v>0</v>
      </c>
      <c r="V41">
        <v>0</v>
      </c>
      <c r="X41" s="2">
        <v>46232.348321759258</v>
      </c>
      <c r="Y41" s="2">
        <v>46232.348321759258</v>
      </c>
      <c r="Z41" t="s">
        <v>1586</v>
      </c>
      <c r="AD41" t="s">
        <v>1586</v>
      </c>
      <c r="AH41">
        <v>0</v>
      </c>
      <c r="AI41" t="s">
        <v>2013</v>
      </c>
    </row>
    <row r="42" spans="1:35" x14ac:dyDescent="0.35">
      <c r="A42" t="str">
        <f>"2501717931"</f>
        <v>2501717931</v>
      </c>
      <c r="B42" t="s">
        <v>1728</v>
      </c>
      <c r="C42" s="2">
        <v>46231.719074074077</v>
      </c>
      <c r="D42" t="s">
        <v>1536</v>
      </c>
      <c r="E42">
        <v>3</v>
      </c>
      <c r="F42">
        <v>36</v>
      </c>
      <c r="G42" t="s">
        <v>1542</v>
      </c>
      <c r="J42" t="s">
        <v>1934</v>
      </c>
      <c r="K42" t="str">
        <f>"521036"</f>
        <v>521036</v>
      </c>
      <c r="L42" s="1">
        <v>46231</v>
      </c>
      <c r="M42" t="s">
        <v>1933</v>
      </c>
      <c r="N42" t="s">
        <v>1933</v>
      </c>
      <c r="Q42" t="str">
        <f>"25726"</f>
        <v>25726</v>
      </c>
      <c r="R42" t="s">
        <v>1728</v>
      </c>
      <c r="S42" t="s">
        <v>1542</v>
      </c>
      <c r="U42">
        <v>0</v>
      </c>
      <c r="V42">
        <v>0</v>
      </c>
      <c r="X42" s="2">
        <v>46232.34983796296</v>
      </c>
      <c r="Y42" s="2">
        <v>46232.34983796296</v>
      </c>
      <c r="Z42" t="s">
        <v>1542</v>
      </c>
      <c r="AD42" t="s">
        <v>1542</v>
      </c>
      <c r="AH42">
        <v>0</v>
      </c>
      <c r="AI42" t="str">
        <f>"598103065"</f>
        <v>598103065</v>
      </c>
    </row>
    <row r="43" spans="1:35" x14ac:dyDescent="0.35">
      <c r="A43" t="str">
        <f>"2501717930"</f>
        <v>2501717930</v>
      </c>
      <c r="B43" t="s">
        <v>1732</v>
      </c>
      <c r="C43" s="2">
        <v>46231.7190625</v>
      </c>
      <c r="D43" t="s">
        <v>1536</v>
      </c>
      <c r="E43">
        <v>4</v>
      </c>
      <c r="F43">
        <v>17</v>
      </c>
      <c r="G43" t="s">
        <v>1714</v>
      </c>
      <c r="J43" t="s">
        <v>1934</v>
      </c>
      <c r="K43" t="str">
        <f>"520747"</f>
        <v>520747</v>
      </c>
      <c r="L43" s="1">
        <v>46231</v>
      </c>
      <c r="M43" t="s">
        <v>1933</v>
      </c>
      <c r="N43" t="s">
        <v>1933</v>
      </c>
      <c r="Q43" t="str">
        <f>"128"</f>
        <v>128</v>
      </c>
      <c r="R43" t="s">
        <v>1732</v>
      </c>
      <c r="S43" t="s">
        <v>1714</v>
      </c>
      <c r="U43">
        <v>0</v>
      </c>
      <c r="V43">
        <v>0</v>
      </c>
      <c r="X43" s="2">
        <v>46232.350381944445</v>
      </c>
      <c r="Y43" s="2">
        <v>46232.350381944445</v>
      </c>
      <c r="Z43" t="s">
        <v>1714</v>
      </c>
      <c r="AD43" t="s">
        <v>1714</v>
      </c>
      <c r="AH43">
        <v>0</v>
      </c>
      <c r="AI43" t="s">
        <v>2014</v>
      </c>
    </row>
    <row r="44" spans="1:35" x14ac:dyDescent="0.35">
      <c r="A44" t="str">
        <f>"2501717929"</f>
        <v>2501717929</v>
      </c>
      <c r="B44" t="s">
        <v>1732</v>
      </c>
      <c r="C44" s="2">
        <v>46231.7190625</v>
      </c>
      <c r="D44" t="s">
        <v>1536</v>
      </c>
      <c r="E44">
        <v>4</v>
      </c>
      <c r="F44">
        <v>17</v>
      </c>
      <c r="G44" t="s">
        <v>1738</v>
      </c>
      <c r="J44" t="s">
        <v>1934</v>
      </c>
      <c r="K44" t="str">
        <f>"520747"</f>
        <v>520747</v>
      </c>
      <c r="L44" s="1">
        <v>46231</v>
      </c>
      <c r="M44" t="s">
        <v>1933</v>
      </c>
      <c r="N44" t="s">
        <v>1933</v>
      </c>
      <c r="Q44" t="str">
        <f>"129"</f>
        <v>129</v>
      </c>
      <c r="R44" t="s">
        <v>1732</v>
      </c>
      <c r="S44" t="s">
        <v>1738</v>
      </c>
      <c r="U44">
        <v>0</v>
      </c>
      <c r="V44">
        <v>0</v>
      </c>
      <c r="X44" s="2">
        <v>46232.350381944445</v>
      </c>
      <c r="Y44" s="2">
        <v>46232.350381944445</v>
      </c>
      <c r="Z44" t="s">
        <v>1738</v>
      </c>
      <c r="AD44" t="s">
        <v>1738</v>
      </c>
      <c r="AH44">
        <v>0</v>
      </c>
      <c r="AI44" t="s">
        <v>2015</v>
      </c>
    </row>
    <row r="45" spans="1:35" x14ac:dyDescent="0.35">
      <c r="A45" t="str">
        <f>"2501717911"</f>
        <v>2501717911</v>
      </c>
      <c r="B45" t="s">
        <v>1745</v>
      </c>
      <c r="C45" s="2">
        <v>46230.714490740742</v>
      </c>
      <c r="D45" t="s">
        <v>1536</v>
      </c>
      <c r="E45">
        <v>1</v>
      </c>
      <c r="F45">
        <v>2</v>
      </c>
      <c r="G45" t="s">
        <v>1744</v>
      </c>
      <c r="J45" t="s">
        <v>1934</v>
      </c>
      <c r="K45" t="str">
        <f>"521083"</f>
        <v>521083</v>
      </c>
      <c r="L45" s="1">
        <v>46230</v>
      </c>
      <c r="M45" t="s">
        <v>1933</v>
      </c>
      <c r="N45" t="s">
        <v>1933</v>
      </c>
      <c r="Q45" t="str">
        <f>"8400000772"</f>
        <v>8400000772</v>
      </c>
      <c r="R45" t="s">
        <v>1745</v>
      </c>
      <c r="S45" t="s">
        <v>1744</v>
      </c>
      <c r="U45">
        <v>0</v>
      </c>
      <c r="V45">
        <v>0</v>
      </c>
      <c r="X45" s="2">
        <v>46231.369571759256</v>
      </c>
      <c r="Y45" s="2">
        <v>46231.369571759256</v>
      </c>
      <c r="Z45" t="s">
        <v>1744</v>
      </c>
      <c r="AD45" t="s">
        <v>1744</v>
      </c>
      <c r="AH45">
        <v>0</v>
      </c>
      <c r="AI45" t="str">
        <f>"503887819"</f>
        <v>503887819</v>
      </c>
    </row>
    <row r="46" spans="1:35" x14ac:dyDescent="0.35">
      <c r="A46" t="str">
        <f>"2501717910"</f>
        <v>2501717910</v>
      </c>
      <c r="B46" t="s">
        <v>1556</v>
      </c>
      <c r="C46" s="2">
        <v>46230.714490740742</v>
      </c>
      <c r="D46" t="s">
        <v>1536</v>
      </c>
      <c r="E46">
        <v>1</v>
      </c>
      <c r="F46">
        <v>10</v>
      </c>
      <c r="G46" t="s">
        <v>1747</v>
      </c>
      <c r="J46" t="s">
        <v>1934</v>
      </c>
      <c r="K46" t="str">
        <f>"521161"</f>
        <v>521161</v>
      </c>
      <c r="L46" s="1">
        <v>46230</v>
      </c>
      <c r="M46" t="s">
        <v>1933</v>
      </c>
      <c r="N46" t="s">
        <v>1933</v>
      </c>
      <c r="Q46" t="s">
        <v>2016</v>
      </c>
      <c r="R46" t="s">
        <v>1556</v>
      </c>
      <c r="S46" t="s">
        <v>1747</v>
      </c>
      <c r="U46">
        <v>0</v>
      </c>
      <c r="V46">
        <v>0</v>
      </c>
      <c r="X46" s="2">
        <v>46231.371354166666</v>
      </c>
      <c r="Y46" s="2">
        <v>46231.371354166666</v>
      </c>
      <c r="Z46" t="s">
        <v>1747</v>
      </c>
      <c r="AD46" t="s">
        <v>1747</v>
      </c>
      <c r="AH46">
        <v>0</v>
      </c>
      <c r="AI46" t="str">
        <f>"581058059"</f>
        <v>581058059</v>
      </c>
    </row>
    <row r="47" spans="1:35" x14ac:dyDescent="0.35">
      <c r="A47" t="str">
        <f>"2501717909"</f>
        <v>2501717909</v>
      </c>
      <c r="B47" t="s">
        <v>1556</v>
      </c>
      <c r="C47" s="2">
        <v>46230.714490740742</v>
      </c>
      <c r="D47" t="s">
        <v>1536</v>
      </c>
      <c r="E47">
        <v>2</v>
      </c>
      <c r="F47">
        <v>35</v>
      </c>
      <c r="G47" t="s">
        <v>1749</v>
      </c>
      <c r="J47" t="s">
        <v>1934</v>
      </c>
      <c r="K47" t="str">
        <f>"521161"</f>
        <v>521161</v>
      </c>
      <c r="L47" s="1">
        <v>46230</v>
      </c>
      <c r="M47" t="s">
        <v>1933</v>
      </c>
      <c r="N47" t="s">
        <v>1933</v>
      </c>
      <c r="Q47" t="s">
        <v>2017</v>
      </c>
      <c r="R47" t="s">
        <v>1556</v>
      </c>
      <c r="S47" t="s">
        <v>1749</v>
      </c>
      <c r="U47">
        <v>0</v>
      </c>
      <c r="V47">
        <v>0</v>
      </c>
      <c r="X47" s="2">
        <v>46231.371354166666</v>
      </c>
      <c r="Y47" s="2">
        <v>46231.371354166666</v>
      </c>
      <c r="Z47" t="s">
        <v>1749</v>
      </c>
      <c r="AD47" t="s">
        <v>1749</v>
      </c>
      <c r="AH47">
        <v>0</v>
      </c>
      <c r="AI47" t="s">
        <v>2018</v>
      </c>
    </row>
    <row r="48" spans="1:35" x14ac:dyDescent="0.35">
      <c r="A48" t="str">
        <f>"2501717908"</f>
        <v>2501717908</v>
      </c>
      <c r="B48" t="s">
        <v>1556</v>
      </c>
      <c r="C48" s="2">
        <v>46230.714490740742</v>
      </c>
      <c r="D48" t="s">
        <v>1536</v>
      </c>
      <c r="E48">
        <v>1</v>
      </c>
      <c r="F48">
        <v>16</v>
      </c>
      <c r="G48" t="s">
        <v>1753</v>
      </c>
      <c r="J48" t="s">
        <v>1934</v>
      </c>
      <c r="K48" t="str">
        <f>"521161"</f>
        <v>521161</v>
      </c>
      <c r="L48" s="1">
        <v>46230</v>
      </c>
      <c r="M48" t="s">
        <v>1933</v>
      </c>
      <c r="N48" t="s">
        <v>1933</v>
      </c>
      <c r="Q48" t="s">
        <v>2019</v>
      </c>
      <c r="R48" t="s">
        <v>1556</v>
      </c>
      <c r="S48" t="s">
        <v>1753</v>
      </c>
      <c r="U48">
        <v>0</v>
      </c>
      <c r="V48">
        <v>0</v>
      </c>
      <c r="X48" s="2">
        <v>46231.371354166666</v>
      </c>
      <c r="Y48" s="2">
        <v>46231.371354166666</v>
      </c>
      <c r="Z48" t="s">
        <v>1753</v>
      </c>
      <c r="AD48" t="s">
        <v>1753</v>
      </c>
      <c r="AH48">
        <v>0</v>
      </c>
      <c r="AI48" t="s">
        <v>2020</v>
      </c>
    </row>
    <row r="49" spans="1:35" x14ac:dyDescent="0.35">
      <c r="A49" t="str">
        <f>"2501717907"</f>
        <v>2501717907</v>
      </c>
      <c r="B49" t="s">
        <v>1719</v>
      </c>
      <c r="C49" s="2">
        <v>46230.714490740742</v>
      </c>
      <c r="D49" t="s">
        <v>1536</v>
      </c>
      <c r="E49">
        <v>1</v>
      </c>
      <c r="F49">
        <v>4</v>
      </c>
      <c r="G49" t="s">
        <v>1756</v>
      </c>
      <c r="J49" t="s">
        <v>1934</v>
      </c>
      <c r="K49" t="str">
        <f t="shared" ref="K49:K54" si="0">"520605"</f>
        <v>520605</v>
      </c>
      <c r="L49" s="1">
        <v>46230</v>
      </c>
      <c r="M49" t="s">
        <v>1933</v>
      </c>
      <c r="N49" t="s">
        <v>1933</v>
      </c>
      <c r="Q49" t="s">
        <v>2021</v>
      </c>
      <c r="R49" t="s">
        <v>1719</v>
      </c>
      <c r="S49" t="s">
        <v>1756</v>
      </c>
      <c r="U49">
        <v>0</v>
      </c>
      <c r="V49">
        <v>0</v>
      </c>
      <c r="X49" s="2">
        <v>46231.368981481479</v>
      </c>
      <c r="Y49" s="2">
        <v>46231.368981481479</v>
      </c>
      <c r="Z49" t="s">
        <v>1756</v>
      </c>
      <c r="AD49" t="s">
        <v>1756</v>
      </c>
      <c r="AH49">
        <v>0</v>
      </c>
      <c r="AI49" t="s">
        <v>2022</v>
      </c>
    </row>
    <row r="50" spans="1:35" x14ac:dyDescent="0.35">
      <c r="A50" t="str">
        <f>"2501717906"</f>
        <v>2501717906</v>
      </c>
      <c r="B50" t="s">
        <v>1719</v>
      </c>
      <c r="C50" s="2">
        <v>46230.714490740742</v>
      </c>
      <c r="D50" t="s">
        <v>1536</v>
      </c>
      <c r="E50">
        <v>1</v>
      </c>
      <c r="F50">
        <v>2</v>
      </c>
      <c r="G50" t="s">
        <v>1759</v>
      </c>
      <c r="J50" t="s">
        <v>1934</v>
      </c>
      <c r="K50" t="str">
        <f t="shared" si="0"/>
        <v>520605</v>
      </c>
      <c r="L50" s="1">
        <v>46230</v>
      </c>
      <c r="M50" t="s">
        <v>1933</v>
      </c>
      <c r="N50" t="s">
        <v>1933</v>
      </c>
      <c r="Q50" t="s">
        <v>2023</v>
      </c>
      <c r="R50" t="s">
        <v>1719</v>
      </c>
      <c r="S50" t="s">
        <v>1759</v>
      </c>
      <c r="U50">
        <v>0</v>
      </c>
      <c r="V50">
        <v>0</v>
      </c>
      <c r="X50" s="2">
        <v>46231.368981481479</v>
      </c>
      <c r="Y50" s="2">
        <v>46231.368981481479</v>
      </c>
      <c r="Z50" t="s">
        <v>1759</v>
      </c>
      <c r="AD50" t="s">
        <v>1759</v>
      </c>
      <c r="AH50">
        <v>0</v>
      </c>
      <c r="AI50" t="s">
        <v>2024</v>
      </c>
    </row>
    <row r="51" spans="1:35" x14ac:dyDescent="0.35">
      <c r="A51" t="str">
        <f>"2501717905"</f>
        <v>2501717905</v>
      </c>
      <c r="B51" t="s">
        <v>1719</v>
      </c>
      <c r="C51" s="2">
        <v>46230.714479166665</v>
      </c>
      <c r="D51" t="s">
        <v>1536</v>
      </c>
      <c r="E51">
        <v>1</v>
      </c>
      <c r="F51">
        <v>10</v>
      </c>
      <c r="G51" t="s">
        <v>1761</v>
      </c>
      <c r="J51" t="s">
        <v>1934</v>
      </c>
      <c r="K51" t="str">
        <f t="shared" si="0"/>
        <v>520605</v>
      </c>
      <c r="L51" s="1">
        <v>46230</v>
      </c>
      <c r="M51" t="s">
        <v>1933</v>
      </c>
      <c r="N51" t="s">
        <v>1933</v>
      </c>
      <c r="Q51" t="s">
        <v>2025</v>
      </c>
      <c r="R51" t="s">
        <v>1719</v>
      </c>
      <c r="S51" t="s">
        <v>1761</v>
      </c>
      <c r="U51">
        <v>0</v>
      </c>
      <c r="V51">
        <v>0</v>
      </c>
      <c r="X51" s="2">
        <v>46231.368981481479</v>
      </c>
      <c r="Y51" s="2">
        <v>46231.368981481479</v>
      </c>
      <c r="Z51" t="s">
        <v>1761</v>
      </c>
      <c r="AD51" t="s">
        <v>1761</v>
      </c>
      <c r="AH51">
        <v>0</v>
      </c>
      <c r="AI51" t="s">
        <v>2026</v>
      </c>
    </row>
    <row r="52" spans="1:35" x14ac:dyDescent="0.35">
      <c r="A52" t="str">
        <f>"2501717904"</f>
        <v>2501717904</v>
      </c>
      <c r="B52" t="s">
        <v>1719</v>
      </c>
      <c r="C52" s="2">
        <v>46230.714479166665</v>
      </c>
      <c r="D52" t="s">
        <v>1536</v>
      </c>
      <c r="E52">
        <v>2</v>
      </c>
      <c r="F52">
        <v>7</v>
      </c>
      <c r="G52" t="s">
        <v>1718</v>
      </c>
      <c r="J52" t="s">
        <v>1934</v>
      </c>
      <c r="K52" t="str">
        <f t="shared" si="0"/>
        <v>520605</v>
      </c>
      <c r="L52" s="1">
        <v>46230</v>
      </c>
      <c r="M52" t="s">
        <v>1933</v>
      </c>
      <c r="N52" t="s">
        <v>1933</v>
      </c>
      <c r="Q52" t="s">
        <v>2027</v>
      </c>
      <c r="R52" t="s">
        <v>1719</v>
      </c>
      <c r="S52" t="s">
        <v>1718</v>
      </c>
      <c r="U52">
        <v>0</v>
      </c>
      <c r="V52">
        <v>0</v>
      </c>
      <c r="X52" s="2">
        <v>46231.368981481479</v>
      </c>
      <c r="Y52" s="2">
        <v>46231.368981481479</v>
      </c>
      <c r="Z52" t="s">
        <v>1718</v>
      </c>
      <c r="AD52" t="s">
        <v>1718</v>
      </c>
      <c r="AH52">
        <v>0</v>
      </c>
      <c r="AI52" t="s">
        <v>2011</v>
      </c>
    </row>
    <row r="53" spans="1:35" x14ac:dyDescent="0.35">
      <c r="A53" t="str">
        <f>"2501717903"</f>
        <v>2501717903</v>
      </c>
      <c r="B53" t="s">
        <v>1719</v>
      </c>
      <c r="C53" s="2">
        <v>46230.714479166665</v>
      </c>
      <c r="D53" t="s">
        <v>1536</v>
      </c>
      <c r="E53">
        <v>1</v>
      </c>
      <c r="F53">
        <v>5</v>
      </c>
      <c r="G53" t="s">
        <v>1768</v>
      </c>
      <c r="J53" t="s">
        <v>1934</v>
      </c>
      <c r="K53" t="str">
        <f t="shared" si="0"/>
        <v>520605</v>
      </c>
      <c r="L53" s="1">
        <v>46230</v>
      </c>
      <c r="M53" t="s">
        <v>1933</v>
      </c>
      <c r="N53" t="s">
        <v>1933</v>
      </c>
      <c r="Q53" t="s">
        <v>2028</v>
      </c>
      <c r="R53" t="s">
        <v>1719</v>
      </c>
      <c r="S53" t="s">
        <v>1768</v>
      </c>
      <c r="U53">
        <v>0</v>
      </c>
      <c r="V53">
        <v>0</v>
      </c>
      <c r="X53" s="2">
        <v>46231.368981481479</v>
      </c>
      <c r="Y53" s="2">
        <v>46231.368981481479</v>
      </c>
      <c r="Z53" t="s">
        <v>1768</v>
      </c>
      <c r="AD53" t="s">
        <v>1768</v>
      </c>
      <c r="AH53">
        <v>0</v>
      </c>
      <c r="AI53" t="s">
        <v>2029</v>
      </c>
    </row>
    <row r="54" spans="1:35" x14ac:dyDescent="0.35">
      <c r="A54" t="str">
        <f>"2501717902"</f>
        <v>2501717902</v>
      </c>
      <c r="B54" t="s">
        <v>1719</v>
      </c>
      <c r="C54" s="2">
        <v>46230.714479166665</v>
      </c>
      <c r="D54" t="s">
        <v>1536</v>
      </c>
      <c r="E54">
        <v>1</v>
      </c>
      <c r="F54">
        <v>6</v>
      </c>
      <c r="G54" t="s">
        <v>1771</v>
      </c>
      <c r="J54" t="s">
        <v>1934</v>
      </c>
      <c r="K54" t="str">
        <f t="shared" si="0"/>
        <v>520605</v>
      </c>
      <c r="L54" s="1">
        <v>46230</v>
      </c>
      <c r="M54" t="s">
        <v>1933</v>
      </c>
      <c r="N54" t="s">
        <v>1933</v>
      </c>
      <c r="Q54" t="s">
        <v>2030</v>
      </c>
      <c r="R54" t="s">
        <v>1719</v>
      </c>
      <c r="S54" t="s">
        <v>1771</v>
      </c>
      <c r="U54">
        <v>0</v>
      </c>
      <c r="V54">
        <v>0</v>
      </c>
      <c r="X54" s="2">
        <v>46231.368981481479</v>
      </c>
      <c r="Y54" s="2">
        <v>46231.368981481479</v>
      </c>
      <c r="Z54" t="s">
        <v>1771</v>
      </c>
      <c r="AD54" t="s">
        <v>1771</v>
      </c>
      <c r="AH54">
        <v>0</v>
      </c>
      <c r="AI54" t="s">
        <v>2031</v>
      </c>
    </row>
    <row r="55" spans="1:35" x14ac:dyDescent="0.35">
      <c r="A55" t="str">
        <f>"2501717901"</f>
        <v>2501717901</v>
      </c>
      <c r="B55" t="s">
        <v>1583</v>
      </c>
      <c r="C55" s="2">
        <v>46230.714479166665</v>
      </c>
      <c r="D55" t="s">
        <v>1536</v>
      </c>
      <c r="E55">
        <v>2</v>
      </c>
      <c r="F55">
        <v>13</v>
      </c>
      <c r="G55" t="s">
        <v>1774</v>
      </c>
      <c r="J55" t="s">
        <v>1934</v>
      </c>
      <c r="K55" t="str">
        <f>"521234"</f>
        <v>521234</v>
      </c>
      <c r="L55" s="1">
        <v>46230</v>
      </c>
      <c r="M55" t="s">
        <v>1933</v>
      </c>
      <c r="N55" t="s">
        <v>1933</v>
      </c>
      <c r="Q55" t="s">
        <v>2032</v>
      </c>
      <c r="R55" t="s">
        <v>1583</v>
      </c>
      <c r="S55" t="s">
        <v>1774</v>
      </c>
      <c r="U55">
        <v>0</v>
      </c>
      <c r="V55">
        <v>0</v>
      </c>
      <c r="X55" s="2">
        <v>46231.372210648151</v>
      </c>
      <c r="Y55" s="2">
        <v>46231.372210648151</v>
      </c>
      <c r="Z55" t="s">
        <v>1774</v>
      </c>
      <c r="AD55" t="s">
        <v>1774</v>
      </c>
      <c r="AH55">
        <v>0</v>
      </c>
      <c r="AI55" t="str">
        <f>"501249971"</f>
        <v>501249971</v>
      </c>
    </row>
    <row r="56" spans="1:35" x14ac:dyDescent="0.35">
      <c r="A56" t="str">
        <f>"2501717899"</f>
        <v>2501717899</v>
      </c>
      <c r="B56" t="s">
        <v>1719</v>
      </c>
      <c r="C56" s="2">
        <v>46230.714479166665</v>
      </c>
      <c r="D56" t="s">
        <v>1536</v>
      </c>
      <c r="E56">
        <v>1</v>
      </c>
      <c r="F56">
        <v>5</v>
      </c>
      <c r="G56" t="s">
        <v>1718</v>
      </c>
      <c r="J56" t="s">
        <v>1934</v>
      </c>
      <c r="K56" t="str">
        <f>"520605"</f>
        <v>520605</v>
      </c>
      <c r="L56" s="1">
        <v>46230</v>
      </c>
      <c r="M56" t="s">
        <v>1933</v>
      </c>
      <c r="N56" t="s">
        <v>1933</v>
      </c>
      <c r="Q56" t="s">
        <v>2033</v>
      </c>
      <c r="R56" t="s">
        <v>1719</v>
      </c>
      <c r="S56" t="s">
        <v>1718</v>
      </c>
      <c r="U56">
        <v>0</v>
      </c>
      <c r="V56">
        <v>0</v>
      </c>
      <c r="X56" s="2">
        <v>46231.368981481479</v>
      </c>
      <c r="Y56" s="2">
        <v>46231.368981481479</v>
      </c>
      <c r="Z56" t="s">
        <v>1718</v>
      </c>
      <c r="AD56" t="s">
        <v>1718</v>
      </c>
      <c r="AH56">
        <v>0</v>
      </c>
      <c r="AI56" t="s">
        <v>2011</v>
      </c>
    </row>
    <row r="57" spans="1:35" x14ac:dyDescent="0.35">
      <c r="A57" t="str">
        <f>"2501717875"</f>
        <v>2501717875</v>
      </c>
      <c r="B57" t="s">
        <v>1556</v>
      </c>
      <c r="C57" s="2">
        <v>46229.717187499999</v>
      </c>
      <c r="D57" t="s">
        <v>1536</v>
      </c>
      <c r="E57">
        <v>2</v>
      </c>
      <c r="F57">
        <v>57</v>
      </c>
      <c r="G57" t="s">
        <v>1779</v>
      </c>
      <c r="J57" t="s">
        <v>1934</v>
      </c>
      <c r="K57" t="str">
        <f>"521161"</f>
        <v>521161</v>
      </c>
      <c r="L57" s="1">
        <v>46229</v>
      </c>
      <c r="M57" t="s">
        <v>1933</v>
      </c>
      <c r="N57" t="s">
        <v>1933</v>
      </c>
      <c r="Q57" t="s">
        <v>2034</v>
      </c>
      <c r="R57" t="s">
        <v>1556</v>
      </c>
      <c r="S57" t="s">
        <v>1779</v>
      </c>
      <c r="U57">
        <v>0</v>
      </c>
      <c r="V57">
        <v>0</v>
      </c>
      <c r="X57" s="2">
        <v>46230.391388888886</v>
      </c>
      <c r="Y57" s="2">
        <v>46230.391388888886</v>
      </c>
      <c r="Z57" t="s">
        <v>1779</v>
      </c>
      <c r="AD57" t="s">
        <v>1779</v>
      </c>
      <c r="AH57">
        <v>0</v>
      </c>
      <c r="AI57" t="str">
        <f>"596314983"</f>
        <v>596314983</v>
      </c>
    </row>
    <row r="58" spans="1:35" x14ac:dyDescent="0.35">
      <c r="A58" t="str">
        <f>"2501717874"</f>
        <v>2501717874</v>
      </c>
      <c r="B58" t="s">
        <v>1693</v>
      </c>
      <c r="C58" s="2">
        <v>46229.717187499999</v>
      </c>
      <c r="D58" t="s">
        <v>1536</v>
      </c>
      <c r="E58">
        <v>5</v>
      </c>
      <c r="F58">
        <v>65</v>
      </c>
      <c r="G58" t="s">
        <v>1783</v>
      </c>
      <c r="J58" t="s">
        <v>1934</v>
      </c>
      <c r="K58" t="str">
        <f>"520609"</f>
        <v>520609</v>
      </c>
      <c r="L58" s="1">
        <v>46229</v>
      </c>
      <c r="M58" t="s">
        <v>1933</v>
      </c>
      <c r="N58" t="s">
        <v>1933</v>
      </c>
      <c r="Q58" t="str">
        <f>"4000176574"</f>
        <v>4000176574</v>
      </c>
      <c r="R58" t="s">
        <v>1693</v>
      </c>
      <c r="S58" t="s">
        <v>1783</v>
      </c>
      <c r="U58">
        <v>0</v>
      </c>
      <c r="V58">
        <v>0</v>
      </c>
      <c r="X58" s="2">
        <v>46230.392326388886</v>
      </c>
      <c r="Y58" s="2">
        <v>46230.392337962963</v>
      </c>
      <c r="Z58" t="s">
        <v>1783</v>
      </c>
      <c r="AD58" t="s">
        <v>1783</v>
      </c>
      <c r="AH58">
        <v>0</v>
      </c>
      <c r="AI58" t="str">
        <f>"580644501"</f>
        <v>580644501</v>
      </c>
    </row>
    <row r="59" spans="1:35" x14ac:dyDescent="0.35">
      <c r="A59" t="str">
        <f>"2501717825"</f>
        <v>2501717825</v>
      </c>
      <c r="B59" t="s">
        <v>1560</v>
      </c>
      <c r="C59" s="2">
        <v>46229.505162037036</v>
      </c>
      <c r="D59" t="s">
        <v>1536</v>
      </c>
      <c r="E59">
        <v>1</v>
      </c>
      <c r="F59">
        <v>224</v>
      </c>
      <c r="G59" t="s">
        <v>1559</v>
      </c>
      <c r="J59" t="s">
        <v>1934</v>
      </c>
      <c r="K59" t="str">
        <f>"521088"</f>
        <v>521088</v>
      </c>
      <c r="L59" s="1">
        <v>46229</v>
      </c>
      <c r="M59" t="s">
        <v>1933</v>
      </c>
      <c r="N59" t="s">
        <v>1933</v>
      </c>
      <c r="Q59" t="s">
        <v>2035</v>
      </c>
      <c r="R59" t="s">
        <v>1560</v>
      </c>
      <c r="S59" t="s">
        <v>1559</v>
      </c>
      <c r="U59">
        <v>0</v>
      </c>
      <c r="V59">
        <v>0</v>
      </c>
      <c r="X59" s="2">
        <v>46230.392847222225</v>
      </c>
      <c r="Y59" s="2">
        <v>46230.392847222225</v>
      </c>
      <c r="Z59" t="s">
        <v>1559</v>
      </c>
      <c r="AD59" t="s">
        <v>1559</v>
      </c>
      <c r="AH59">
        <v>0</v>
      </c>
    </row>
    <row r="60" spans="1:35" x14ac:dyDescent="0.35">
      <c r="A60" t="str">
        <f>"2501717848"</f>
        <v>2501717848</v>
      </c>
      <c r="B60" t="s">
        <v>1798</v>
      </c>
      <c r="C60" s="2">
        <v>46226.734143518515</v>
      </c>
      <c r="D60" t="s">
        <v>1536</v>
      </c>
      <c r="E60">
        <v>1</v>
      </c>
      <c r="F60">
        <v>100</v>
      </c>
      <c r="G60" t="s">
        <v>1797</v>
      </c>
      <c r="J60" t="s">
        <v>1934</v>
      </c>
      <c r="K60" t="str">
        <f>"520996"</f>
        <v>520996</v>
      </c>
      <c r="L60" s="1">
        <v>46226</v>
      </c>
      <c r="M60" t="s">
        <v>1933</v>
      </c>
      <c r="N60" t="s">
        <v>2036</v>
      </c>
      <c r="Q60" t="s">
        <v>2037</v>
      </c>
      <c r="R60" t="s">
        <v>1798</v>
      </c>
      <c r="S60" t="s">
        <v>1797</v>
      </c>
      <c r="U60">
        <v>0</v>
      </c>
      <c r="V60">
        <v>0</v>
      </c>
      <c r="X60" s="2">
        <v>46228.420671296299</v>
      </c>
      <c r="Y60" s="2">
        <v>46228.420671296299</v>
      </c>
      <c r="Z60" t="s">
        <v>1797</v>
      </c>
      <c r="AD60" t="s">
        <v>1797</v>
      </c>
      <c r="AH60">
        <v>0</v>
      </c>
      <c r="AI60" t="str">
        <f>"533256639"</f>
        <v>533256639</v>
      </c>
    </row>
    <row r="61" spans="1:35" x14ac:dyDescent="0.35">
      <c r="A61" t="str">
        <f>"2501717843"</f>
        <v>2501717843</v>
      </c>
      <c r="B61" t="s">
        <v>1540</v>
      </c>
      <c r="C61" s="2">
        <v>46226.734131944446</v>
      </c>
      <c r="D61" t="s">
        <v>1536</v>
      </c>
      <c r="E61">
        <v>1</v>
      </c>
      <c r="F61">
        <v>2</v>
      </c>
      <c r="G61" t="s">
        <v>1795</v>
      </c>
      <c r="J61" t="s">
        <v>1934</v>
      </c>
      <c r="K61" t="str">
        <f>"520721"</f>
        <v>520721</v>
      </c>
      <c r="L61" s="1">
        <v>46226</v>
      </c>
      <c r="M61" t="s">
        <v>1933</v>
      </c>
      <c r="N61" t="s">
        <v>2036</v>
      </c>
      <c r="Q61" t="s">
        <v>2038</v>
      </c>
      <c r="R61" t="s">
        <v>1540</v>
      </c>
      <c r="S61" t="s">
        <v>1795</v>
      </c>
      <c r="U61">
        <v>0</v>
      </c>
      <c r="V61">
        <v>0</v>
      </c>
      <c r="X61" s="2">
        <v>46228.419965277775</v>
      </c>
      <c r="Y61" s="2">
        <v>46228.419965277775</v>
      </c>
      <c r="Z61" t="s">
        <v>1795</v>
      </c>
      <c r="AD61" t="s">
        <v>1795</v>
      </c>
      <c r="AH61">
        <v>0</v>
      </c>
      <c r="AI61" t="str">
        <f>"558217719"</f>
        <v>558217719</v>
      </c>
    </row>
    <row r="62" spans="1:35" x14ac:dyDescent="0.35">
      <c r="A62" t="str">
        <f>"2501717840"</f>
        <v>2501717840</v>
      </c>
      <c r="B62" t="s">
        <v>1540</v>
      </c>
      <c r="C62" s="2">
        <v>46226.734131944446</v>
      </c>
      <c r="D62" t="s">
        <v>1536</v>
      </c>
      <c r="E62">
        <v>1</v>
      </c>
      <c r="F62">
        <v>4</v>
      </c>
      <c r="G62" t="s">
        <v>1793</v>
      </c>
      <c r="J62" t="s">
        <v>1934</v>
      </c>
      <c r="K62" t="str">
        <f>"520721"</f>
        <v>520721</v>
      </c>
      <c r="L62" s="1">
        <v>46226</v>
      </c>
      <c r="M62" t="s">
        <v>1933</v>
      </c>
      <c r="N62" t="s">
        <v>2036</v>
      </c>
      <c r="Q62" t="str">
        <f>"824"</f>
        <v>824</v>
      </c>
      <c r="R62" t="s">
        <v>1540</v>
      </c>
      <c r="S62" t="s">
        <v>1793</v>
      </c>
      <c r="U62">
        <v>0</v>
      </c>
      <c r="V62">
        <v>0</v>
      </c>
      <c r="X62" s="2">
        <v>46228.420208333337</v>
      </c>
      <c r="Y62" s="2">
        <v>46228.420208333337</v>
      </c>
      <c r="Z62" t="s">
        <v>1793</v>
      </c>
      <c r="AD62" t="s">
        <v>1793</v>
      </c>
      <c r="AH62">
        <v>0</v>
      </c>
      <c r="AI62" t="s">
        <v>2039</v>
      </c>
    </row>
    <row r="63" spans="1:35" x14ac:dyDescent="0.35">
      <c r="A63" t="str">
        <f>"2501717839"</f>
        <v>2501717839</v>
      </c>
      <c r="B63" t="s">
        <v>1540</v>
      </c>
      <c r="C63" s="2">
        <v>46226.734131944446</v>
      </c>
      <c r="D63" t="s">
        <v>1536</v>
      </c>
      <c r="E63">
        <v>2</v>
      </c>
      <c r="F63">
        <v>6</v>
      </c>
      <c r="G63" t="s">
        <v>1791</v>
      </c>
      <c r="J63" t="s">
        <v>1934</v>
      </c>
      <c r="K63" t="str">
        <f>"520721"</f>
        <v>520721</v>
      </c>
      <c r="L63" s="1">
        <v>46226</v>
      </c>
      <c r="M63" t="s">
        <v>1933</v>
      </c>
      <c r="N63" t="s">
        <v>2036</v>
      </c>
      <c r="Q63" s="1">
        <v>46224</v>
      </c>
      <c r="R63" t="s">
        <v>1540</v>
      </c>
      <c r="S63" t="s">
        <v>1791</v>
      </c>
      <c r="U63">
        <v>0</v>
      </c>
      <c r="V63">
        <v>0</v>
      </c>
      <c r="X63" s="2">
        <v>46228.419965277775</v>
      </c>
      <c r="Y63" s="2">
        <v>46228.419965277775</v>
      </c>
      <c r="Z63" t="s">
        <v>1791</v>
      </c>
      <c r="AD63" t="s">
        <v>1791</v>
      </c>
      <c r="AH63">
        <v>0</v>
      </c>
      <c r="AI63" t="s">
        <v>2040</v>
      </c>
    </row>
    <row r="64" spans="1:35" x14ac:dyDescent="0.35">
      <c r="A64" t="str">
        <f>"2501717826"</f>
        <v>2501717826</v>
      </c>
      <c r="B64" t="s">
        <v>1715</v>
      </c>
      <c r="C64" s="2">
        <v>46225.733668981484</v>
      </c>
      <c r="D64" t="s">
        <v>1536</v>
      </c>
      <c r="E64">
        <v>1</v>
      </c>
      <c r="F64">
        <v>8</v>
      </c>
      <c r="G64" t="s">
        <v>1559</v>
      </c>
      <c r="J64" t="s">
        <v>1934</v>
      </c>
      <c r="K64" t="str">
        <f>"520617"</f>
        <v>520617</v>
      </c>
      <c r="L64" s="1">
        <v>46225</v>
      </c>
      <c r="M64" t="s">
        <v>1933</v>
      </c>
      <c r="N64" t="s">
        <v>1933</v>
      </c>
      <c r="Q64" t="s">
        <v>2041</v>
      </c>
      <c r="R64" t="s">
        <v>1715</v>
      </c>
      <c r="S64" t="s">
        <v>1559</v>
      </c>
      <c r="U64">
        <v>0</v>
      </c>
      <c r="V64">
        <v>0</v>
      </c>
      <c r="X64" s="2">
        <v>46226.411446759259</v>
      </c>
      <c r="Y64" s="2">
        <v>46226.411446759259</v>
      </c>
      <c r="Z64" t="s">
        <v>1559</v>
      </c>
      <c r="AD64" t="s">
        <v>1559</v>
      </c>
      <c r="AH64">
        <v>0</v>
      </c>
      <c r="AI64" t="str">
        <f>"544103455"</f>
        <v>544103455</v>
      </c>
    </row>
    <row r="65" spans="1:35" x14ac:dyDescent="0.35">
      <c r="A65" t="str">
        <f>"2501717817"</f>
        <v>2501717817</v>
      </c>
      <c r="B65" t="s">
        <v>1802</v>
      </c>
      <c r="C65" s="2">
        <v>46224.757534722223</v>
      </c>
      <c r="D65" t="s">
        <v>1536</v>
      </c>
      <c r="E65">
        <v>4</v>
      </c>
      <c r="F65">
        <v>62</v>
      </c>
      <c r="G65" t="s">
        <v>1801</v>
      </c>
      <c r="J65" t="s">
        <v>1934</v>
      </c>
      <c r="K65" t="str">
        <f>"521091"</f>
        <v>521091</v>
      </c>
      <c r="L65" s="1">
        <v>46224</v>
      </c>
      <c r="M65" t="s">
        <v>1933</v>
      </c>
      <c r="N65" t="s">
        <v>1933</v>
      </c>
      <c r="Q65" t="s">
        <v>2042</v>
      </c>
      <c r="R65" t="s">
        <v>1802</v>
      </c>
      <c r="S65" t="s">
        <v>1801</v>
      </c>
      <c r="U65">
        <v>0</v>
      </c>
      <c r="V65">
        <v>0</v>
      </c>
      <c r="X65" s="2">
        <v>46225.579606481479</v>
      </c>
      <c r="Y65" s="2">
        <v>46225.579606481479</v>
      </c>
      <c r="Z65" t="s">
        <v>1801</v>
      </c>
      <c r="AD65" t="s">
        <v>1801</v>
      </c>
      <c r="AH65">
        <v>0</v>
      </c>
      <c r="AI65" t="str">
        <f>"580875304"</f>
        <v>580875304</v>
      </c>
    </row>
    <row r="66" spans="1:35" x14ac:dyDescent="0.35">
      <c r="A66" t="str">
        <f>"2501717795"</f>
        <v>2501717795</v>
      </c>
      <c r="B66" t="s">
        <v>1745</v>
      </c>
      <c r="C66" s="2">
        <v>46222.716736111113</v>
      </c>
      <c r="D66" t="s">
        <v>1536</v>
      </c>
      <c r="E66">
        <v>1</v>
      </c>
      <c r="F66">
        <v>30</v>
      </c>
      <c r="G66" t="s">
        <v>1820</v>
      </c>
      <c r="J66" t="s">
        <v>1934</v>
      </c>
      <c r="K66" t="str">
        <f>"521083"</f>
        <v>521083</v>
      </c>
      <c r="L66" s="1">
        <v>46222</v>
      </c>
      <c r="M66" t="s">
        <v>1933</v>
      </c>
      <c r="N66" t="s">
        <v>1933</v>
      </c>
      <c r="Q66" t="str">
        <f>"8400000753"</f>
        <v>8400000753</v>
      </c>
      <c r="R66" t="s">
        <v>1745</v>
      </c>
      <c r="S66" t="s">
        <v>1820</v>
      </c>
      <c r="U66">
        <v>0</v>
      </c>
      <c r="V66">
        <v>0</v>
      </c>
      <c r="X66" s="2">
        <v>46223.427048611113</v>
      </c>
      <c r="Y66" s="2">
        <v>46223.427048611113</v>
      </c>
      <c r="Z66" t="s">
        <v>1820</v>
      </c>
      <c r="AD66" t="s">
        <v>1820</v>
      </c>
      <c r="AH66">
        <v>0</v>
      </c>
      <c r="AI66" t="str">
        <f>"573219739"</f>
        <v>573219739</v>
      </c>
    </row>
    <row r="67" spans="1:35" x14ac:dyDescent="0.35">
      <c r="A67" t="str">
        <f>"2501717792"</f>
        <v>2501717792</v>
      </c>
      <c r="B67" t="s">
        <v>1681</v>
      </c>
      <c r="C67" s="2">
        <v>46222.716736111113</v>
      </c>
      <c r="D67" t="s">
        <v>1536</v>
      </c>
      <c r="E67">
        <v>1</v>
      </c>
      <c r="F67">
        <v>90</v>
      </c>
      <c r="G67" t="s">
        <v>1807</v>
      </c>
      <c r="J67" t="s">
        <v>1934</v>
      </c>
      <c r="K67" t="str">
        <f>"521152"</f>
        <v>521152</v>
      </c>
      <c r="L67" s="1">
        <v>46222</v>
      </c>
      <c r="M67" t="s">
        <v>1933</v>
      </c>
      <c r="N67" t="s">
        <v>1933</v>
      </c>
      <c r="Q67" t="s">
        <v>2043</v>
      </c>
      <c r="R67" t="s">
        <v>1681</v>
      </c>
      <c r="S67" t="s">
        <v>1807</v>
      </c>
      <c r="U67">
        <v>0</v>
      </c>
      <c r="V67">
        <v>0</v>
      </c>
      <c r="X67" s="2">
        <v>46224.410185185188</v>
      </c>
      <c r="Y67" s="2">
        <v>46224.410185185188</v>
      </c>
      <c r="Z67" t="s">
        <v>1807</v>
      </c>
      <c r="AD67" t="s">
        <v>1807</v>
      </c>
      <c r="AH67">
        <v>0</v>
      </c>
      <c r="AI67" t="str">
        <f>"541891681"</f>
        <v>541891681</v>
      </c>
    </row>
    <row r="68" spans="1:35" x14ac:dyDescent="0.35">
      <c r="A68" t="str">
        <f>"2501717787"</f>
        <v>2501717787</v>
      </c>
      <c r="B68" t="s">
        <v>1719</v>
      </c>
      <c r="C68" s="2">
        <v>46222.716736111113</v>
      </c>
      <c r="D68" t="s">
        <v>1536</v>
      </c>
      <c r="E68">
        <v>2</v>
      </c>
      <c r="F68">
        <v>208</v>
      </c>
      <c r="G68" t="s">
        <v>1811</v>
      </c>
      <c r="J68" t="s">
        <v>1934</v>
      </c>
      <c r="K68" t="str">
        <f>"520605"</f>
        <v>520605</v>
      </c>
      <c r="L68" s="1">
        <v>46222</v>
      </c>
      <c r="M68" t="s">
        <v>1933</v>
      </c>
      <c r="N68" t="s">
        <v>1933</v>
      </c>
      <c r="Q68" t="s">
        <v>2044</v>
      </c>
      <c r="R68" t="s">
        <v>1719</v>
      </c>
      <c r="S68" t="s">
        <v>1811</v>
      </c>
      <c r="U68">
        <v>0</v>
      </c>
      <c r="V68">
        <v>0</v>
      </c>
      <c r="X68" s="2">
        <v>46224.409814814811</v>
      </c>
      <c r="Y68" s="2">
        <v>46224.409814814811</v>
      </c>
      <c r="Z68" t="s">
        <v>1811</v>
      </c>
      <c r="AD68" t="s">
        <v>1811</v>
      </c>
      <c r="AH68">
        <v>0</v>
      </c>
      <c r="AI68" t="str">
        <f>"545227739"</f>
        <v>545227739</v>
      </c>
    </row>
    <row r="69" spans="1:35" x14ac:dyDescent="0.35">
      <c r="A69" t="str">
        <f>"2501717785"</f>
        <v>2501717785</v>
      </c>
      <c r="B69" t="s">
        <v>1719</v>
      </c>
      <c r="C69" s="2">
        <v>46222.716736111113</v>
      </c>
      <c r="D69" t="s">
        <v>1536</v>
      </c>
      <c r="E69">
        <v>2</v>
      </c>
      <c r="F69">
        <v>12</v>
      </c>
      <c r="G69" t="s">
        <v>1822</v>
      </c>
      <c r="J69" t="s">
        <v>1934</v>
      </c>
      <c r="K69" t="str">
        <f>"520605"</f>
        <v>520605</v>
      </c>
      <c r="L69" s="1">
        <v>46222</v>
      </c>
      <c r="M69" t="s">
        <v>1933</v>
      </c>
      <c r="N69" t="s">
        <v>1933</v>
      </c>
      <c r="Q69" t="s">
        <v>2045</v>
      </c>
      <c r="R69" t="s">
        <v>1719</v>
      </c>
      <c r="S69" t="s">
        <v>1822</v>
      </c>
      <c r="U69">
        <v>0</v>
      </c>
      <c r="V69">
        <v>0</v>
      </c>
      <c r="X69" s="2">
        <v>46223.429351851853</v>
      </c>
      <c r="Y69" s="2">
        <v>46223.429351851853</v>
      </c>
      <c r="Z69" t="s">
        <v>1822</v>
      </c>
      <c r="AD69" t="s">
        <v>1822</v>
      </c>
      <c r="AH69">
        <v>0</v>
      </c>
      <c r="AI69" t="str">
        <f>"560888841"</f>
        <v>560888841</v>
      </c>
    </row>
    <row r="70" spans="1:35" x14ac:dyDescent="0.35">
      <c r="A70" t="str">
        <f>"2501717775"</f>
        <v>2501717775</v>
      </c>
      <c r="B70" t="s">
        <v>1560</v>
      </c>
      <c r="C70" s="2">
        <v>46222.507210648146</v>
      </c>
      <c r="D70" t="s">
        <v>1536</v>
      </c>
      <c r="E70">
        <v>1</v>
      </c>
      <c r="F70">
        <v>81</v>
      </c>
      <c r="G70" t="s">
        <v>1805</v>
      </c>
      <c r="J70" t="s">
        <v>1934</v>
      </c>
      <c r="K70" t="str">
        <f>"521088"</f>
        <v>521088</v>
      </c>
      <c r="L70" s="1">
        <v>46222</v>
      </c>
      <c r="M70" t="s">
        <v>1933</v>
      </c>
      <c r="N70" t="s">
        <v>1933</v>
      </c>
      <c r="Q70" t="s">
        <v>2046</v>
      </c>
      <c r="R70" t="s">
        <v>1560</v>
      </c>
      <c r="S70" t="s">
        <v>1805</v>
      </c>
      <c r="U70">
        <v>0</v>
      </c>
      <c r="V70">
        <v>0</v>
      </c>
      <c r="X70" s="2">
        <v>46224.409259259257</v>
      </c>
      <c r="Y70" s="2">
        <v>46224.409259259257</v>
      </c>
      <c r="Z70" t="s">
        <v>1805</v>
      </c>
      <c r="AD70" t="s">
        <v>1805</v>
      </c>
      <c r="AH70">
        <v>0</v>
      </c>
    </row>
    <row r="71" spans="1:35" x14ac:dyDescent="0.35">
      <c r="A71" t="str">
        <f>"2501717774"</f>
        <v>2501717774</v>
      </c>
      <c r="B71" t="s">
        <v>1560</v>
      </c>
      <c r="C71" s="2">
        <v>46222.507210648146</v>
      </c>
      <c r="D71" t="s">
        <v>1536</v>
      </c>
      <c r="E71">
        <v>1</v>
      </c>
      <c r="F71">
        <v>30</v>
      </c>
      <c r="G71" t="s">
        <v>1559</v>
      </c>
      <c r="J71" t="s">
        <v>1934</v>
      </c>
      <c r="K71" t="str">
        <f>"521088"</f>
        <v>521088</v>
      </c>
      <c r="L71" s="1">
        <v>46222</v>
      </c>
      <c r="M71" t="s">
        <v>1933</v>
      </c>
      <c r="N71" t="s">
        <v>1933</v>
      </c>
      <c r="Q71" t="s">
        <v>2047</v>
      </c>
      <c r="R71" t="s">
        <v>1560</v>
      </c>
      <c r="S71" t="s">
        <v>1559</v>
      </c>
      <c r="U71">
        <v>0</v>
      </c>
      <c r="V71">
        <v>0</v>
      </c>
      <c r="X71" s="2">
        <v>46224.409259259257</v>
      </c>
      <c r="Y71" s="2">
        <v>46224.409259259257</v>
      </c>
      <c r="Z71" t="s">
        <v>1559</v>
      </c>
      <c r="AD71" t="s">
        <v>1559</v>
      </c>
      <c r="AH71">
        <v>0</v>
      </c>
    </row>
    <row r="72" spans="1:35" x14ac:dyDescent="0.35">
      <c r="A72" t="str">
        <f>"2501717773"</f>
        <v>2501717773</v>
      </c>
      <c r="B72" t="s">
        <v>1560</v>
      </c>
      <c r="C72" s="2">
        <v>46222.507210648146</v>
      </c>
      <c r="D72" t="s">
        <v>1536</v>
      </c>
      <c r="E72">
        <v>1</v>
      </c>
      <c r="F72">
        <v>30</v>
      </c>
      <c r="G72" t="s">
        <v>1559</v>
      </c>
      <c r="J72" t="s">
        <v>1934</v>
      </c>
      <c r="K72" t="str">
        <f>"521088"</f>
        <v>521088</v>
      </c>
      <c r="L72" s="1">
        <v>46222</v>
      </c>
      <c r="M72" t="s">
        <v>1933</v>
      </c>
      <c r="N72" t="s">
        <v>1933</v>
      </c>
      <c r="Q72" t="s">
        <v>2047</v>
      </c>
      <c r="R72" t="s">
        <v>1560</v>
      </c>
      <c r="S72" t="s">
        <v>1559</v>
      </c>
      <c r="U72">
        <v>0</v>
      </c>
      <c r="V72">
        <v>0</v>
      </c>
      <c r="X72" s="2">
        <v>46224.409259259257</v>
      </c>
      <c r="Y72" s="2">
        <v>46224.409259259257</v>
      </c>
      <c r="Z72" t="s">
        <v>1559</v>
      </c>
      <c r="AD72" t="s">
        <v>1559</v>
      </c>
      <c r="AH72">
        <v>0</v>
      </c>
    </row>
    <row r="73" spans="1:35" x14ac:dyDescent="0.35">
      <c r="A73" t="str">
        <f>"2501717760"</f>
        <v>2501717760</v>
      </c>
      <c r="B73" t="s">
        <v>1560</v>
      </c>
      <c r="C73" s="2">
        <v>46222.507199074076</v>
      </c>
      <c r="D73" t="s">
        <v>1536</v>
      </c>
      <c r="E73">
        <v>1</v>
      </c>
      <c r="F73">
        <v>22</v>
      </c>
      <c r="G73" t="s">
        <v>1805</v>
      </c>
      <c r="J73" t="s">
        <v>1934</v>
      </c>
      <c r="K73" t="str">
        <f>"521088"</f>
        <v>521088</v>
      </c>
      <c r="L73" s="1">
        <v>46222</v>
      </c>
      <c r="M73" t="s">
        <v>1933</v>
      </c>
      <c r="N73" t="s">
        <v>1933</v>
      </c>
      <c r="Q73" t="s">
        <v>2046</v>
      </c>
      <c r="R73" t="s">
        <v>1560</v>
      </c>
      <c r="S73" t="s">
        <v>1805</v>
      </c>
      <c r="U73">
        <v>0</v>
      </c>
      <c r="V73">
        <v>0</v>
      </c>
      <c r="X73" s="2">
        <v>46223.430324074077</v>
      </c>
      <c r="Y73" s="2">
        <v>46223.430324074077</v>
      </c>
      <c r="Z73" t="s">
        <v>1805</v>
      </c>
      <c r="AD73" t="s">
        <v>1805</v>
      </c>
      <c r="AH73">
        <v>0</v>
      </c>
    </row>
    <row r="74" spans="1:35" x14ac:dyDescent="0.35">
      <c r="A74" t="str">
        <f>"2505702842"</f>
        <v>2505702842</v>
      </c>
      <c r="B74" t="s">
        <v>1832</v>
      </c>
      <c r="C74" s="2">
        <v>46219.719027777777</v>
      </c>
      <c r="D74" t="s">
        <v>1536</v>
      </c>
      <c r="E74">
        <v>1</v>
      </c>
      <c r="F74">
        <v>38</v>
      </c>
      <c r="G74" t="s">
        <v>1559</v>
      </c>
      <c r="J74" t="s">
        <v>1934</v>
      </c>
      <c r="K74" t="str">
        <f>"520807"</f>
        <v>520807</v>
      </c>
      <c r="L74" s="1">
        <v>46219</v>
      </c>
      <c r="M74" t="s">
        <v>1933</v>
      </c>
      <c r="N74" t="s">
        <v>1933</v>
      </c>
      <c r="Q74" t="s">
        <v>2048</v>
      </c>
      <c r="R74" t="s">
        <v>1832</v>
      </c>
      <c r="S74" t="s">
        <v>1559</v>
      </c>
      <c r="U74">
        <v>0</v>
      </c>
      <c r="V74">
        <v>0</v>
      </c>
      <c r="X74" s="2">
        <v>46221.419756944444</v>
      </c>
      <c r="Y74" s="2">
        <v>46221.419756944444</v>
      </c>
      <c r="Z74" t="s">
        <v>1559</v>
      </c>
      <c r="AD74" t="s">
        <v>1559</v>
      </c>
      <c r="AH74">
        <v>0</v>
      </c>
      <c r="AI74" t="str">
        <f>"559474621"</f>
        <v>559474621</v>
      </c>
    </row>
    <row r="75" spans="1:35" x14ac:dyDescent="0.35">
      <c r="A75" t="str">
        <f>"2501717772"</f>
        <v>2501717772</v>
      </c>
      <c r="B75" t="s">
        <v>1540</v>
      </c>
      <c r="C75" s="2">
        <v>46219.719027777777</v>
      </c>
      <c r="D75" t="s">
        <v>1536</v>
      </c>
      <c r="E75">
        <v>1</v>
      </c>
      <c r="F75">
        <v>50</v>
      </c>
      <c r="G75" t="s">
        <v>1645</v>
      </c>
      <c r="J75" t="s">
        <v>1934</v>
      </c>
      <c r="K75" t="str">
        <f>"520721"</f>
        <v>520721</v>
      </c>
      <c r="L75" s="1">
        <v>46219</v>
      </c>
      <c r="M75" t="s">
        <v>1933</v>
      </c>
      <c r="N75" t="s">
        <v>1933</v>
      </c>
      <c r="Q75" t="str">
        <f>"10289"</f>
        <v>10289</v>
      </c>
      <c r="R75" t="s">
        <v>1540</v>
      </c>
      <c r="S75" t="s">
        <v>1645</v>
      </c>
      <c r="U75">
        <v>0</v>
      </c>
      <c r="V75">
        <v>0</v>
      </c>
      <c r="X75" s="2">
        <v>46221.414502314816</v>
      </c>
      <c r="Y75" s="2">
        <v>46221.414502314816</v>
      </c>
      <c r="Z75" t="s">
        <v>1645</v>
      </c>
      <c r="AD75" t="s">
        <v>1645</v>
      </c>
      <c r="AH75">
        <v>0</v>
      </c>
      <c r="AI75" t="s">
        <v>2049</v>
      </c>
    </row>
    <row r="76" spans="1:35" x14ac:dyDescent="0.35">
      <c r="A76" t="str">
        <f>"2501717771"</f>
        <v>2501717771</v>
      </c>
      <c r="B76" t="s">
        <v>1836</v>
      </c>
      <c r="C76" s="2">
        <v>46219.719027777777</v>
      </c>
      <c r="D76" t="s">
        <v>1536</v>
      </c>
      <c r="E76">
        <v>1</v>
      </c>
      <c r="F76">
        <v>8</v>
      </c>
      <c r="G76" t="s">
        <v>1835</v>
      </c>
      <c r="J76" t="s">
        <v>1934</v>
      </c>
      <c r="K76" t="str">
        <f>"520988"</f>
        <v>520988</v>
      </c>
      <c r="L76" s="1">
        <v>46219</v>
      </c>
      <c r="M76" t="s">
        <v>1933</v>
      </c>
      <c r="N76" t="s">
        <v>1933</v>
      </c>
      <c r="Q76" t="s">
        <v>2050</v>
      </c>
      <c r="R76" t="s">
        <v>1836</v>
      </c>
      <c r="S76" t="s">
        <v>1835</v>
      </c>
      <c r="U76">
        <v>0</v>
      </c>
      <c r="V76">
        <v>0</v>
      </c>
      <c r="X76" s="2">
        <v>46221.418043981481</v>
      </c>
      <c r="Y76" s="2">
        <v>46221.418043981481</v>
      </c>
      <c r="Z76" t="s">
        <v>1835</v>
      </c>
      <c r="AD76" t="s">
        <v>1835</v>
      </c>
      <c r="AH76">
        <v>0</v>
      </c>
      <c r="AI76" t="str">
        <f>"504237611"</f>
        <v>504237611</v>
      </c>
    </row>
    <row r="77" spans="1:35" x14ac:dyDescent="0.35">
      <c r="A77" t="str">
        <f>"2501717770"</f>
        <v>2501717770</v>
      </c>
      <c r="B77" t="s">
        <v>1836</v>
      </c>
      <c r="C77" s="2">
        <v>46219.719027777777</v>
      </c>
      <c r="D77" t="s">
        <v>1536</v>
      </c>
      <c r="E77">
        <v>1</v>
      </c>
      <c r="F77">
        <v>8</v>
      </c>
      <c r="G77" t="s">
        <v>1838</v>
      </c>
      <c r="J77" t="s">
        <v>1934</v>
      </c>
      <c r="K77" t="str">
        <f>"520988"</f>
        <v>520988</v>
      </c>
      <c r="L77" s="1">
        <v>46219</v>
      </c>
      <c r="M77" t="s">
        <v>1933</v>
      </c>
      <c r="N77" t="s">
        <v>1933</v>
      </c>
      <c r="Q77" t="s">
        <v>2051</v>
      </c>
      <c r="R77" t="s">
        <v>1836</v>
      </c>
      <c r="S77" t="s">
        <v>1838</v>
      </c>
      <c r="U77">
        <v>0</v>
      </c>
      <c r="V77">
        <v>0</v>
      </c>
      <c r="X77" s="2">
        <v>46221.418043981481</v>
      </c>
      <c r="Y77" s="2">
        <v>46221.418043981481</v>
      </c>
      <c r="Z77" t="s">
        <v>1838</v>
      </c>
      <c r="AD77" t="s">
        <v>1838</v>
      </c>
      <c r="AH77">
        <v>0</v>
      </c>
      <c r="AI77" t="str">
        <f>"561716592"</f>
        <v>561716592</v>
      </c>
    </row>
    <row r="78" spans="1:35" x14ac:dyDescent="0.35">
      <c r="A78" t="str">
        <f>"2501717769"</f>
        <v>2501717769</v>
      </c>
      <c r="B78" t="s">
        <v>1836</v>
      </c>
      <c r="C78" s="2">
        <v>46219.7190162037</v>
      </c>
      <c r="D78" t="s">
        <v>1536</v>
      </c>
      <c r="E78">
        <v>1</v>
      </c>
      <c r="F78">
        <v>8</v>
      </c>
      <c r="G78" t="s">
        <v>1840</v>
      </c>
      <c r="J78" t="s">
        <v>1934</v>
      </c>
      <c r="K78" t="str">
        <f>"520988"</f>
        <v>520988</v>
      </c>
      <c r="L78" s="1">
        <v>46219</v>
      </c>
      <c r="M78" t="s">
        <v>1933</v>
      </c>
      <c r="N78" t="s">
        <v>1933</v>
      </c>
      <c r="Q78" t="s">
        <v>2052</v>
      </c>
      <c r="R78" t="s">
        <v>1836</v>
      </c>
      <c r="S78" t="s">
        <v>1840</v>
      </c>
      <c r="U78">
        <v>0</v>
      </c>
      <c r="V78">
        <v>0</v>
      </c>
      <c r="X78" s="2">
        <v>46221.418043981481</v>
      </c>
      <c r="Y78" s="2">
        <v>46221.418043981481</v>
      </c>
      <c r="Z78" t="s">
        <v>1840</v>
      </c>
      <c r="AD78" t="s">
        <v>1840</v>
      </c>
      <c r="AH78">
        <v>0</v>
      </c>
      <c r="AI78" t="str">
        <f>"536674979"</f>
        <v>536674979</v>
      </c>
    </row>
    <row r="79" spans="1:35" x14ac:dyDescent="0.35">
      <c r="A79" t="str">
        <f>"2501717758"</f>
        <v>2501717758</v>
      </c>
      <c r="B79" t="s">
        <v>1540</v>
      </c>
      <c r="C79" s="2">
        <v>46219.7190162037</v>
      </c>
      <c r="D79" t="s">
        <v>1536</v>
      </c>
      <c r="E79">
        <v>3</v>
      </c>
      <c r="F79">
        <v>60</v>
      </c>
      <c r="G79" t="s">
        <v>1816</v>
      </c>
      <c r="J79" t="s">
        <v>1934</v>
      </c>
      <c r="K79" t="str">
        <f>"520721"</f>
        <v>520721</v>
      </c>
      <c r="L79" s="1">
        <v>46219</v>
      </c>
      <c r="M79" t="s">
        <v>1933</v>
      </c>
      <c r="N79" t="s">
        <v>1933</v>
      </c>
      <c r="Q79" t="str">
        <f>"10282"</f>
        <v>10282</v>
      </c>
      <c r="R79" t="s">
        <v>1540</v>
      </c>
      <c r="S79" t="s">
        <v>1816</v>
      </c>
      <c r="U79">
        <v>0</v>
      </c>
      <c r="V79">
        <v>0</v>
      </c>
      <c r="X79" s="2">
        <v>46224.40834490741</v>
      </c>
      <c r="Y79" s="2">
        <v>46224.40834490741</v>
      </c>
      <c r="Z79" t="s">
        <v>1816</v>
      </c>
      <c r="AD79" t="s">
        <v>1816</v>
      </c>
      <c r="AH79">
        <v>0</v>
      </c>
      <c r="AI79" t="str">
        <f>"535231125"</f>
        <v>535231125</v>
      </c>
    </row>
    <row r="80" spans="1:35" x14ac:dyDescent="0.35">
      <c r="A80" t="str">
        <f>"2501717757"</f>
        <v>2501717757</v>
      </c>
      <c r="B80" t="s">
        <v>1540</v>
      </c>
      <c r="C80" s="2">
        <v>46219.7190162037</v>
      </c>
      <c r="D80" t="s">
        <v>1536</v>
      </c>
      <c r="E80">
        <v>2</v>
      </c>
      <c r="F80">
        <v>200</v>
      </c>
      <c r="G80" t="s">
        <v>1645</v>
      </c>
      <c r="J80" t="s">
        <v>1934</v>
      </c>
      <c r="K80" t="str">
        <f>"520721"</f>
        <v>520721</v>
      </c>
      <c r="L80" s="1">
        <v>46219</v>
      </c>
      <c r="M80" t="s">
        <v>1933</v>
      </c>
      <c r="N80" t="s">
        <v>1933</v>
      </c>
      <c r="Q80" t="str">
        <f>"10289"</f>
        <v>10289</v>
      </c>
      <c r="R80" t="s">
        <v>1540</v>
      </c>
      <c r="S80" t="s">
        <v>1645</v>
      </c>
      <c r="U80">
        <v>0</v>
      </c>
      <c r="V80">
        <v>0</v>
      </c>
      <c r="X80" s="2">
        <v>46224.511678240742</v>
      </c>
      <c r="Y80" s="2">
        <v>46224.511678240742</v>
      </c>
      <c r="Z80" t="s">
        <v>1645</v>
      </c>
      <c r="AD80" t="s">
        <v>1645</v>
      </c>
      <c r="AH80">
        <v>0</v>
      </c>
      <c r="AI80" t="s">
        <v>2049</v>
      </c>
    </row>
    <row r="81" spans="1:35" x14ac:dyDescent="0.35">
      <c r="A81" t="str">
        <f>"2501717719"</f>
        <v>2501717719</v>
      </c>
      <c r="B81" t="s">
        <v>1681</v>
      </c>
      <c r="C81" s="2">
        <v>46219.450196759259</v>
      </c>
      <c r="D81" t="s">
        <v>1536</v>
      </c>
      <c r="E81">
        <v>2</v>
      </c>
      <c r="F81">
        <v>480</v>
      </c>
      <c r="G81" t="s">
        <v>1559</v>
      </c>
      <c r="J81" t="s">
        <v>1934</v>
      </c>
      <c r="K81" t="str">
        <f>"521152"</f>
        <v>521152</v>
      </c>
      <c r="L81" s="1">
        <v>46219</v>
      </c>
      <c r="M81" t="s">
        <v>1933</v>
      </c>
      <c r="N81" t="s">
        <v>1933</v>
      </c>
      <c r="Q81" t="s">
        <v>2053</v>
      </c>
      <c r="R81" t="s">
        <v>1681</v>
      </c>
      <c r="S81" t="s">
        <v>1559</v>
      </c>
      <c r="U81">
        <v>0</v>
      </c>
      <c r="V81">
        <v>0</v>
      </c>
      <c r="X81" s="2">
        <v>46221.419456018521</v>
      </c>
      <c r="Y81" s="2">
        <v>46221.419456018521</v>
      </c>
      <c r="Z81" t="s">
        <v>1559</v>
      </c>
      <c r="AD81" t="s">
        <v>1559</v>
      </c>
      <c r="AH81">
        <v>0</v>
      </c>
      <c r="AI81" t="str">
        <f>"536559017"</f>
        <v>536559017</v>
      </c>
    </row>
    <row r="82" spans="1:35" x14ac:dyDescent="0.35">
      <c r="A82" t="str">
        <f>"2501717718"</f>
        <v>2501717718</v>
      </c>
      <c r="B82" t="s">
        <v>1681</v>
      </c>
      <c r="C82" s="2">
        <v>46219.450196759259</v>
      </c>
      <c r="D82" t="s">
        <v>1536</v>
      </c>
      <c r="E82">
        <v>2</v>
      </c>
      <c r="F82">
        <v>430</v>
      </c>
      <c r="G82" t="s">
        <v>1559</v>
      </c>
      <c r="J82" t="s">
        <v>1934</v>
      </c>
      <c r="K82" t="str">
        <f>"521152"</f>
        <v>521152</v>
      </c>
      <c r="L82" s="1">
        <v>46219</v>
      </c>
      <c r="M82" t="s">
        <v>1933</v>
      </c>
      <c r="N82" t="s">
        <v>1933</v>
      </c>
      <c r="Q82" t="s">
        <v>2053</v>
      </c>
      <c r="R82" t="s">
        <v>1681</v>
      </c>
      <c r="S82" t="s">
        <v>1559</v>
      </c>
      <c r="U82">
        <v>0</v>
      </c>
      <c r="V82">
        <v>0</v>
      </c>
      <c r="X82" s="2">
        <v>46221.419456018521</v>
      </c>
      <c r="Y82" s="2">
        <v>46221.419456018521</v>
      </c>
      <c r="Z82" t="s">
        <v>1559</v>
      </c>
      <c r="AD82" t="s">
        <v>1559</v>
      </c>
      <c r="AH82">
        <v>0</v>
      </c>
      <c r="AI82" t="str">
        <f>"536559017"</f>
        <v>536559017</v>
      </c>
    </row>
    <row r="83" spans="1:35" x14ac:dyDescent="0.35">
      <c r="A83" t="str">
        <f>"2501717750"</f>
        <v>2501717750</v>
      </c>
      <c r="B83" t="s">
        <v>1852</v>
      </c>
      <c r="C83" s="2">
        <v>46218.762025462966</v>
      </c>
      <c r="D83" t="s">
        <v>1536</v>
      </c>
      <c r="E83">
        <v>1</v>
      </c>
      <c r="F83">
        <v>1</v>
      </c>
      <c r="G83" t="s">
        <v>1807</v>
      </c>
      <c r="J83" t="s">
        <v>1934</v>
      </c>
      <c r="K83" t="str">
        <f>"521115"</f>
        <v>521115</v>
      </c>
      <c r="L83" s="1">
        <v>46218</v>
      </c>
      <c r="M83" t="s">
        <v>1933</v>
      </c>
      <c r="N83" t="s">
        <v>2054</v>
      </c>
      <c r="Q83" t="s">
        <v>2055</v>
      </c>
      <c r="R83" t="s">
        <v>1852</v>
      </c>
      <c r="S83" t="s">
        <v>1807</v>
      </c>
      <c r="U83">
        <v>0</v>
      </c>
      <c r="V83">
        <v>0</v>
      </c>
      <c r="X83" s="2">
        <v>46219.433136574073</v>
      </c>
      <c r="Y83" s="2">
        <v>46219.433136574073</v>
      </c>
      <c r="Z83" t="s">
        <v>1807</v>
      </c>
      <c r="AD83" t="s">
        <v>1807</v>
      </c>
      <c r="AH83">
        <v>0</v>
      </c>
      <c r="AI83" t="str">
        <f>"566213804"</f>
        <v>566213804</v>
      </c>
    </row>
    <row r="84" spans="1:35" x14ac:dyDescent="0.35">
      <c r="A84" t="str">
        <f>"2501717749"</f>
        <v>2501717749</v>
      </c>
      <c r="B84" t="s">
        <v>1852</v>
      </c>
      <c r="C84" s="2">
        <v>46218.762025462966</v>
      </c>
      <c r="D84" t="s">
        <v>1536</v>
      </c>
      <c r="E84">
        <v>1</v>
      </c>
      <c r="F84">
        <v>2</v>
      </c>
      <c r="G84" t="s">
        <v>1854</v>
      </c>
      <c r="J84" t="s">
        <v>1934</v>
      </c>
      <c r="K84" t="str">
        <f>"521115"</f>
        <v>521115</v>
      </c>
      <c r="L84" s="1">
        <v>46218</v>
      </c>
      <c r="M84" t="s">
        <v>1933</v>
      </c>
      <c r="N84" t="s">
        <v>2054</v>
      </c>
      <c r="Q84" t="s">
        <v>2055</v>
      </c>
      <c r="R84" t="s">
        <v>1852</v>
      </c>
      <c r="S84" t="s">
        <v>1854</v>
      </c>
      <c r="U84">
        <v>0</v>
      </c>
      <c r="V84">
        <v>0</v>
      </c>
      <c r="X84" s="2">
        <v>46219.433136574073</v>
      </c>
      <c r="Y84" s="2">
        <v>46219.433136574073</v>
      </c>
      <c r="Z84" t="s">
        <v>1854</v>
      </c>
      <c r="AD84" t="s">
        <v>1854</v>
      </c>
      <c r="AH84">
        <v>0</v>
      </c>
      <c r="AI84" t="str">
        <f>"538749759"</f>
        <v>538749759</v>
      </c>
    </row>
    <row r="85" spans="1:35" x14ac:dyDescent="0.35">
      <c r="A85" t="str">
        <f>"2501717732"</f>
        <v>2501717732</v>
      </c>
      <c r="B85" t="s">
        <v>1856</v>
      </c>
      <c r="C85" s="2">
        <v>46218.726203703707</v>
      </c>
      <c r="D85" t="s">
        <v>1536</v>
      </c>
      <c r="E85">
        <v>1</v>
      </c>
      <c r="F85">
        <v>32</v>
      </c>
      <c r="G85" t="s">
        <v>1677</v>
      </c>
      <c r="J85" t="s">
        <v>1934</v>
      </c>
      <c r="K85" t="str">
        <f>"520824"</f>
        <v>520824</v>
      </c>
      <c r="L85" s="1">
        <v>46218</v>
      </c>
      <c r="M85" t="s">
        <v>1933</v>
      </c>
      <c r="N85" t="s">
        <v>1933</v>
      </c>
      <c r="Q85" t="str">
        <f>"2337"</f>
        <v>2337</v>
      </c>
      <c r="R85" t="s">
        <v>1856</v>
      </c>
      <c r="S85" t="s">
        <v>1677</v>
      </c>
      <c r="U85">
        <v>0</v>
      </c>
      <c r="V85">
        <v>0</v>
      </c>
      <c r="X85" s="2">
        <v>46219.432743055557</v>
      </c>
      <c r="Y85" s="2">
        <v>46219.432743055557</v>
      </c>
      <c r="Z85" t="s">
        <v>1677</v>
      </c>
      <c r="AD85" t="s">
        <v>1677</v>
      </c>
      <c r="AH85">
        <v>0</v>
      </c>
      <c r="AI85" t="str">
        <f>"538148901"</f>
        <v>538148901</v>
      </c>
    </row>
    <row r="86" spans="1:35" x14ac:dyDescent="0.35">
      <c r="A86" t="str">
        <f>"2501717729"</f>
        <v>2501717729</v>
      </c>
      <c r="B86" t="s">
        <v>1681</v>
      </c>
      <c r="C86" s="2">
        <v>46217.726145833331</v>
      </c>
      <c r="D86" t="s">
        <v>1536</v>
      </c>
      <c r="E86">
        <v>2</v>
      </c>
      <c r="F86">
        <v>50</v>
      </c>
      <c r="G86" t="s">
        <v>1807</v>
      </c>
      <c r="J86" t="s">
        <v>1934</v>
      </c>
      <c r="K86" t="str">
        <f>"521152"</f>
        <v>521152</v>
      </c>
      <c r="L86" s="1">
        <v>46217</v>
      </c>
      <c r="M86" t="s">
        <v>1933</v>
      </c>
      <c r="N86" t="s">
        <v>1933</v>
      </c>
      <c r="Q86" t="s">
        <v>2043</v>
      </c>
      <c r="R86" t="s">
        <v>1681</v>
      </c>
      <c r="S86" t="s">
        <v>1807</v>
      </c>
      <c r="U86">
        <v>0</v>
      </c>
      <c r="V86">
        <v>0</v>
      </c>
      <c r="X86" s="2">
        <v>46218.393263888887</v>
      </c>
      <c r="Y86" s="2">
        <v>46218.393275462964</v>
      </c>
      <c r="Z86" t="s">
        <v>1807</v>
      </c>
      <c r="AD86" t="s">
        <v>1807</v>
      </c>
      <c r="AH86">
        <v>0</v>
      </c>
      <c r="AI86" t="str">
        <f>"541891681"</f>
        <v>541891681</v>
      </c>
    </row>
    <row r="87" spans="1:35" x14ac:dyDescent="0.35">
      <c r="A87" t="str">
        <f>"2501717722"</f>
        <v>2501717722</v>
      </c>
      <c r="B87" t="s">
        <v>1634</v>
      </c>
      <c r="C87" s="2">
        <v>46217.726145833331</v>
      </c>
      <c r="D87" t="s">
        <v>1536</v>
      </c>
      <c r="E87">
        <v>1</v>
      </c>
      <c r="F87">
        <v>74</v>
      </c>
      <c r="G87" t="s">
        <v>1859</v>
      </c>
      <c r="J87" t="s">
        <v>1934</v>
      </c>
      <c r="K87" t="str">
        <f>"521195"</f>
        <v>521195</v>
      </c>
      <c r="L87" s="1">
        <v>46217</v>
      </c>
      <c r="M87" t="s">
        <v>1933</v>
      </c>
      <c r="N87" t="s">
        <v>1933</v>
      </c>
      <c r="Q87" t="str">
        <f>"100001"</f>
        <v>100001</v>
      </c>
      <c r="R87" t="s">
        <v>1634</v>
      </c>
      <c r="S87" t="s">
        <v>1859</v>
      </c>
      <c r="U87">
        <v>0</v>
      </c>
      <c r="V87">
        <v>0</v>
      </c>
      <c r="X87" s="2">
        <v>46218.393773148149</v>
      </c>
      <c r="Y87" s="2">
        <v>46218.393773148149</v>
      </c>
      <c r="Z87" t="s">
        <v>1859</v>
      </c>
      <c r="AD87" t="s">
        <v>1859</v>
      </c>
      <c r="AH87">
        <v>0</v>
      </c>
      <c r="AI87" t="str">
        <f>"508021550"</f>
        <v>508021550</v>
      </c>
    </row>
    <row r="88" spans="1:35" x14ac:dyDescent="0.35">
      <c r="A88" t="str">
        <f>"2501717717"</f>
        <v>2501717717</v>
      </c>
      <c r="B88" t="s">
        <v>1556</v>
      </c>
      <c r="C88" s="2">
        <v>46217.726145833331</v>
      </c>
      <c r="D88" t="s">
        <v>1536</v>
      </c>
      <c r="E88">
        <v>1</v>
      </c>
      <c r="F88">
        <v>15</v>
      </c>
      <c r="G88" t="s">
        <v>1861</v>
      </c>
      <c r="J88" t="s">
        <v>1934</v>
      </c>
      <c r="K88" t="str">
        <f>"521161"</f>
        <v>521161</v>
      </c>
      <c r="L88" s="1">
        <v>46217</v>
      </c>
      <c r="M88" t="s">
        <v>1933</v>
      </c>
      <c r="N88" t="s">
        <v>1933</v>
      </c>
      <c r="Q88" t="s">
        <v>2056</v>
      </c>
      <c r="R88" t="s">
        <v>1556</v>
      </c>
      <c r="S88" t="s">
        <v>1861</v>
      </c>
      <c r="U88">
        <v>0</v>
      </c>
      <c r="V88">
        <v>0</v>
      </c>
      <c r="X88" s="2">
        <v>46218.394293981481</v>
      </c>
      <c r="Y88" s="2">
        <v>46218.394293981481</v>
      </c>
      <c r="Z88" t="s">
        <v>1861</v>
      </c>
      <c r="AD88" t="s">
        <v>1861</v>
      </c>
      <c r="AH88">
        <v>0</v>
      </c>
      <c r="AI88" t="str">
        <f>"533690171"</f>
        <v>533690171</v>
      </c>
    </row>
    <row r="89" spans="1:35" x14ac:dyDescent="0.35">
      <c r="A89" t="str">
        <f>"2501717699"</f>
        <v>2501717699</v>
      </c>
      <c r="B89" t="s">
        <v>1864</v>
      </c>
      <c r="C89" s="2">
        <v>46215.627916666665</v>
      </c>
      <c r="D89" t="s">
        <v>1536</v>
      </c>
      <c r="E89">
        <v>11</v>
      </c>
      <c r="F89">
        <v>168</v>
      </c>
      <c r="G89" t="s">
        <v>1863</v>
      </c>
      <c r="J89" t="s">
        <v>1934</v>
      </c>
      <c r="K89" t="str">
        <f>"521182"</f>
        <v>521182</v>
      </c>
      <c r="L89" s="1">
        <v>46215</v>
      </c>
      <c r="M89" t="s">
        <v>1933</v>
      </c>
      <c r="N89" t="s">
        <v>1933</v>
      </c>
      <c r="Q89" t="str">
        <f>"20260709000000"</f>
        <v>20260709000000</v>
      </c>
      <c r="R89" t="s">
        <v>1864</v>
      </c>
      <c r="S89" t="s">
        <v>1863</v>
      </c>
      <c r="U89">
        <v>0</v>
      </c>
      <c r="V89">
        <v>0</v>
      </c>
      <c r="X89" s="2">
        <v>46216.392233796294</v>
      </c>
      <c r="Y89" s="2">
        <v>46216.392233796294</v>
      </c>
      <c r="Z89" t="s">
        <v>1863</v>
      </c>
      <c r="AD89" t="s">
        <v>1863</v>
      </c>
      <c r="AH89">
        <v>0</v>
      </c>
      <c r="AI89" t="str">
        <f>"535100330"</f>
        <v>535100330</v>
      </c>
    </row>
    <row r="90" spans="1:35" x14ac:dyDescent="0.35">
      <c r="A90" t="str">
        <f>"2501717695"</f>
        <v>2501717695</v>
      </c>
      <c r="B90" t="s">
        <v>1556</v>
      </c>
      <c r="C90" s="2">
        <v>46215.627916666665</v>
      </c>
      <c r="D90" t="s">
        <v>1536</v>
      </c>
      <c r="E90">
        <v>1</v>
      </c>
      <c r="F90">
        <v>52</v>
      </c>
      <c r="G90" t="s">
        <v>1871</v>
      </c>
      <c r="J90" t="s">
        <v>1934</v>
      </c>
      <c r="K90" t="str">
        <f>"521161"</f>
        <v>521161</v>
      </c>
      <c r="L90" s="1">
        <v>46215</v>
      </c>
      <c r="M90" t="s">
        <v>1933</v>
      </c>
      <c r="N90" t="s">
        <v>1933</v>
      </c>
      <c r="Q90" t="s">
        <v>2057</v>
      </c>
      <c r="R90" t="s">
        <v>1556</v>
      </c>
      <c r="S90" t="s">
        <v>1871</v>
      </c>
      <c r="U90">
        <v>0</v>
      </c>
      <c r="V90">
        <v>0</v>
      </c>
      <c r="X90" s="2">
        <v>46216.392708333333</v>
      </c>
      <c r="Y90" s="2">
        <v>46216.392708333333</v>
      </c>
      <c r="Z90" t="s">
        <v>1871</v>
      </c>
      <c r="AD90" t="s">
        <v>1871</v>
      </c>
      <c r="AH90">
        <v>0</v>
      </c>
      <c r="AI90" t="str">
        <f>"542492337"</f>
        <v>542492337</v>
      </c>
    </row>
    <row r="91" spans="1:35" x14ac:dyDescent="0.35">
      <c r="A91" t="str">
        <f>"2501717690"</f>
        <v>2501717690</v>
      </c>
      <c r="B91" t="s">
        <v>1556</v>
      </c>
      <c r="C91" s="2">
        <v>46215.627916666665</v>
      </c>
      <c r="D91" t="s">
        <v>1536</v>
      </c>
      <c r="E91">
        <v>1</v>
      </c>
      <c r="F91">
        <v>26</v>
      </c>
      <c r="G91" t="s">
        <v>1873</v>
      </c>
      <c r="J91" t="s">
        <v>1934</v>
      </c>
      <c r="K91" t="str">
        <f>"521161"</f>
        <v>521161</v>
      </c>
      <c r="L91" s="1">
        <v>46215</v>
      </c>
      <c r="M91" t="s">
        <v>1933</v>
      </c>
      <c r="N91" t="s">
        <v>1933</v>
      </c>
      <c r="Q91" t="s">
        <v>2058</v>
      </c>
      <c r="R91" t="s">
        <v>1556</v>
      </c>
      <c r="S91" t="s">
        <v>1873</v>
      </c>
      <c r="U91">
        <v>0</v>
      </c>
      <c r="V91">
        <v>0</v>
      </c>
      <c r="X91" s="2">
        <v>46216.392708333333</v>
      </c>
      <c r="Y91" s="2">
        <v>46216.392708333333</v>
      </c>
      <c r="Z91" t="s">
        <v>1873</v>
      </c>
      <c r="AD91" t="s">
        <v>1873</v>
      </c>
      <c r="AH91">
        <v>0</v>
      </c>
      <c r="AI91" t="str">
        <f>"551442496"</f>
        <v>551442496</v>
      </c>
    </row>
    <row r="92" spans="1:35" x14ac:dyDescent="0.35">
      <c r="A92" t="str">
        <f>"2501717662"</f>
        <v>2501717662</v>
      </c>
      <c r="B92" t="s">
        <v>1875</v>
      </c>
      <c r="C92" s="2">
        <v>46211.683449074073</v>
      </c>
      <c r="D92" t="s">
        <v>1536</v>
      </c>
      <c r="E92">
        <v>1</v>
      </c>
      <c r="F92">
        <v>35</v>
      </c>
      <c r="G92" t="s">
        <v>1559</v>
      </c>
      <c r="J92" t="s">
        <v>1934</v>
      </c>
      <c r="K92" t="str">
        <f>"521187"</f>
        <v>521187</v>
      </c>
      <c r="L92" s="1">
        <v>46211</v>
      </c>
      <c r="M92" t="s">
        <v>1933</v>
      </c>
      <c r="N92" t="s">
        <v>1933</v>
      </c>
      <c r="Q92" t="str">
        <f>"4600067289"</f>
        <v>4600067289</v>
      </c>
      <c r="R92" t="s">
        <v>1875</v>
      </c>
      <c r="S92" t="s">
        <v>1559</v>
      </c>
      <c r="U92">
        <v>0</v>
      </c>
      <c r="V92">
        <v>0</v>
      </c>
      <c r="X92" s="2">
        <v>46212.414675925924</v>
      </c>
      <c r="Y92" s="2">
        <v>46212.414675925924</v>
      </c>
      <c r="Z92" t="s">
        <v>1559</v>
      </c>
      <c r="AD92" t="s">
        <v>1559</v>
      </c>
      <c r="AH92">
        <v>0</v>
      </c>
      <c r="AI92" t="str">
        <f>"538526532"</f>
        <v>538526532</v>
      </c>
    </row>
    <row r="93" spans="1:35" x14ac:dyDescent="0.35">
      <c r="A93" t="str">
        <f>"2501717636"</f>
        <v>2501717636</v>
      </c>
      <c r="B93" t="s">
        <v>1556</v>
      </c>
      <c r="C93" s="2">
        <v>46210.728425925925</v>
      </c>
      <c r="D93" t="s">
        <v>1536</v>
      </c>
      <c r="E93">
        <v>1</v>
      </c>
      <c r="F93">
        <v>52</v>
      </c>
      <c r="G93" t="s">
        <v>1877</v>
      </c>
      <c r="J93" t="s">
        <v>1934</v>
      </c>
      <c r="K93" t="str">
        <f>"521161"</f>
        <v>521161</v>
      </c>
      <c r="L93" s="1">
        <v>46210</v>
      </c>
      <c r="M93" t="s">
        <v>1933</v>
      </c>
      <c r="N93" t="s">
        <v>1933</v>
      </c>
      <c r="Q93" t="s">
        <v>2059</v>
      </c>
      <c r="R93" t="s">
        <v>1556</v>
      </c>
      <c r="S93" t="s">
        <v>1877</v>
      </c>
      <c r="U93">
        <v>0</v>
      </c>
      <c r="V93">
        <v>0</v>
      </c>
      <c r="X93" s="2">
        <v>46211.408368055556</v>
      </c>
      <c r="Y93" s="2">
        <v>46211.408368055556</v>
      </c>
      <c r="Z93" t="s">
        <v>1877</v>
      </c>
      <c r="AD93" t="s">
        <v>1877</v>
      </c>
      <c r="AH93">
        <v>0</v>
      </c>
      <c r="AI93" t="str">
        <f>"561164312"</f>
        <v>561164312</v>
      </c>
    </row>
    <row r="94" spans="1:35" x14ac:dyDescent="0.35">
      <c r="A94" t="str">
        <f>"2501717635"</f>
        <v>2501717635</v>
      </c>
      <c r="B94" t="s">
        <v>1745</v>
      </c>
      <c r="C94" s="2">
        <v>46210.728425925925</v>
      </c>
      <c r="D94" t="s">
        <v>1536</v>
      </c>
      <c r="E94">
        <v>1</v>
      </c>
      <c r="F94">
        <v>5</v>
      </c>
      <c r="G94" t="s">
        <v>1879</v>
      </c>
      <c r="J94" t="s">
        <v>1934</v>
      </c>
      <c r="K94" t="str">
        <f>"521083"</f>
        <v>521083</v>
      </c>
      <c r="L94" s="1">
        <v>46210</v>
      </c>
      <c r="M94" t="s">
        <v>1933</v>
      </c>
      <c r="N94" t="s">
        <v>1933</v>
      </c>
      <c r="Q94" t="str">
        <f>"8400000744"</f>
        <v>8400000744</v>
      </c>
      <c r="R94" t="s">
        <v>1745</v>
      </c>
      <c r="S94" t="s">
        <v>1879</v>
      </c>
      <c r="U94">
        <v>0</v>
      </c>
      <c r="V94">
        <v>0</v>
      </c>
      <c r="X94" s="2">
        <v>46211.408935185187</v>
      </c>
      <c r="Y94" s="2">
        <v>46211.408935185187</v>
      </c>
      <c r="Z94" t="s">
        <v>1879</v>
      </c>
      <c r="AD94" t="s">
        <v>1879</v>
      </c>
      <c r="AH94">
        <v>0</v>
      </c>
      <c r="AI94" t="str">
        <f>"534874856"</f>
        <v>534874856</v>
      </c>
    </row>
    <row r="95" spans="1:35" x14ac:dyDescent="0.35">
      <c r="A95" t="str">
        <f>"2501717633"</f>
        <v>2501717633</v>
      </c>
      <c r="B95" t="s">
        <v>1883</v>
      </c>
      <c r="C95" s="2">
        <v>46210.4141087963</v>
      </c>
      <c r="D95" t="s">
        <v>1536</v>
      </c>
      <c r="E95">
        <v>1</v>
      </c>
      <c r="F95">
        <v>10</v>
      </c>
      <c r="G95" t="s">
        <v>1677</v>
      </c>
      <c r="J95" t="s">
        <v>1934</v>
      </c>
      <c r="K95" t="str">
        <f>"521181"</f>
        <v>521181</v>
      </c>
      <c r="L95" s="1">
        <v>46210</v>
      </c>
      <c r="M95" t="s">
        <v>1933</v>
      </c>
      <c r="N95" t="s">
        <v>1933</v>
      </c>
      <c r="Q95" t="s">
        <v>2060</v>
      </c>
      <c r="R95" t="s">
        <v>1883</v>
      </c>
      <c r="S95" t="s">
        <v>1677</v>
      </c>
      <c r="U95">
        <v>0</v>
      </c>
      <c r="V95">
        <v>0</v>
      </c>
      <c r="X95" s="2">
        <v>46210.444131944445</v>
      </c>
      <c r="Y95" s="2">
        <v>46210.444131944445</v>
      </c>
      <c r="Z95" t="s">
        <v>1677</v>
      </c>
      <c r="AD95" t="s">
        <v>1677</v>
      </c>
      <c r="AH95">
        <v>0</v>
      </c>
      <c r="AI95" t="s">
        <v>2061</v>
      </c>
    </row>
    <row r="96" spans="1:35" x14ac:dyDescent="0.35">
      <c r="A96" t="str">
        <f>"2501717626"</f>
        <v>2501717626</v>
      </c>
      <c r="B96" t="s">
        <v>1540</v>
      </c>
      <c r="C96" s="2">
        <v>46209.753506944442</v>
      </c>
      <c r="D96" t="s">
        <v>1536</v>
      </c>
      <c r="E96">
        <v>1</v>
      </c>
      <c r="F96">
        <v>4</v>
      </c>
      <c r="G96" t="s">
        <v>1885</v>
      </c>
      <c r="J96" t="s">
        <v>1934</v>
      </c>
      <c r="K96" t="str">
        <f>"520721"</f>
        <v>520721</v>
      </c>
      <c r="L96" s="1">
        <v>46209</v>
      </c>
      <c r="M96" t="s">
        <v>1933</v>
      </c>
      <c r="N96" t="s">
        <v>1933</v>
      </c>
      <c r="Q96" t="str">
        <f>"658"</f>
        <v>658</v>
      </c>
      <c r="R96" t="s">
        <v>1540</v>
      </c>
      <c r="S96" t="s">
        <v>1885</v>
      </c>
      <c r="U96">
        <v>0</v>
      </c>
      <c r="V96">
        <v>0</v>
      </c>
      <c r="X96" s="2">
        <v>46210.406354166669</v>
      </c>
      <c r="Y96" s="2">
        <v>46210.406354166669</v>
      </c>
      <c r="Z96" t="s">
        <v>1885</v>
      </c>
      <c r="AD96" t="s">
        <v>1885</v>
      </c>
      <c r="AH96">
        <v>0</v>
      </c>
      <c r="AI96" t="str">
        <f>"506475909"</f>
        <v>506475909</v>
      </c>
    </row>
    <row r="97" spans="1:35" x14ac:dyDescent="0.35">
      <c r="A97" t="str">
        <f>"2501717625"</f>
        <v>2501717625</v>
      </c>
      <c r="B97" t="s">
        <v>1887</v>
      </c>
      <c r="C97" s="2">
        <v>46209.753495370373</v>
      </c>
      <c r="D97" t="s">
        <v>1536</v>
      </c>
      <c r="E97">
        <v>4</v>
      </c>
      <c r="F97">
        <v>274</v>
      </c>
      <c r="G97" t="s">
        <v>1559</v>
      </c>
      <c r="J97" t="s">
        <v>1934</v>
      </c>
      <c r="K97" t="str">
        <f>"521197"</f>
        <v>521197</v>
      </c>
      <c r="L97" s="1">
        <v>46209</v>
      </c>
      <c r="M97" t="s">
        <v>1933</v>
      </c>
      <c r="N97" t="s">
        <v>1933</v>
      </c>
      <c r="Q97" t="str">
        <f>"10001"</f>
        <v>10001</v>
      </c>
      <c r="R97" t="s">
        <v>1887</v>
      </c>
      <c r="S97" t="s">
        <v>1559</v>
      </c>
      <c r="U97">
        <v>0</v>
      </c>
      <c r="V97">
        <v>0</v>
      </c>
      <c r="X97" s="2">
        <v>46210.407164351855</v>
      </c>
      <c r="Y97" s="2">
        <v>46210.407164351855</v>
      </c>
      <c r="Z97" t="s">
        <v>1559</v>
      </c>
      <c r="AD97" t="s">
        <v>1559</v>
      </c>
      <c r="AH97">
        <v>0</v>
      </c>
      <c r="AI97" t="str">
        <f>"537012602"</f>
        <v>537012602</v>
      </c>
    </row>
    <row r="98" spans="1:35" x14ac:dyDescent="0.35">
      <c r="A98" t="str">
        <f>"2501717624"</f>
        <v>2501717624</v>
      </c>
      <c r="B98" t="s">
        <v>1887</v>
      </c>
      <c r="C98" s="2">
        <v>46209.753495370373</v>
      </c>
      <c r="D98" t="s">
        <v>1536</v>
      </c>
      <c r="E98">
        <v>4</v>
      </c>
      <c r="F98">
        <v>120</v>
      </c>
      <c r="G98" t="s">
        <v>1559</v>
      </c>
      <c r="J98" t="s">
        <v>1934</v>
      </c>
      <c r="K98" t="str">
        <f>"521197"</f>
        <v>521197</v>
      </c>
      <c r="L98" s="1">
        <v>46209</v>
      </c>
      <c r="M98" t="s">
        <v>1933</v>
      </c>
      <c r="N98" t="s">
        <v>1933</v>
      </c>
      <c r="Q98" t="str">
        <f>"10001"</f>
        <v>10001</v>
      </c>
      <c r="R98" t="s">
        <v>1887</v>
      </c>
      <c r="S98" t="s">
        <v>1559</v>
      </c>
      <c r="U98">
        <v>0</v>
      </c>
      <c r="V98">
        <v>0</v>
      </c>
      <c r="X98" s="2">
        <v>46210.407164351855</v>
      </c>
      <c r="Y98" s="2">
        <v>46210.407164351855</v>
      </c>
      <c r="Z98" t="s">
        <v>1559</v>
      </c>
      <c r="AD98" t="s">
        <v>1559</v>
      </c>
      <c r="AH98">
        <v>0</v>
      </c>
      <c r="AI98" t="str">
        <f>"537012602"</f>
        <v>537012602</v>
      </c>
    </row>
    <row r="99" spans="1:35" x14ac:dyDescent="0.35">
      <c r="A99" t="str">
        <f>"2501717622"</f>
        <v>2501717622</v>
      </c>
      <c r="B99" t="s">
        <v>1745</v>
      </c>
      <c r="C99" s="2">
        <v>46209.753495370373</v>
      </c>
      <c r="D99" t="s">
        <v>1536</v>
      </c>
      <c r="E99">
        <v>1</v>
      </c>
      <c r="F99">
        <v>2</v>
      </c>
      <c r="G99" t="s">
        <v>1893</v>
      </c>
      <c r="J99" t="s">
        <v>1934</v>
      </c>
      <c r="K99" t="str">
        <f>"521083"</f>
        <v>521083</v>
      </c>
      <c r="L99" s="1">
        <v>46209</v>
      </c>
      <c r="M99" t="s">
        <v>1933</v>
      </c>
      <c r="N99" t="s">
        <v>1933</v>
      </c>
      <c r="Q99" t="str">
        <f>"8400000736"</f>
        <v>8400000736</v>
      </c>
      <c r="R99" t="s">
        <v>1745</v>
      </c>
      <c r="S99" t="s">
        <v>1893</v>
      </c>
      <c r="U99">
        <v>0</v>
      </c>
      <c r="V99">
        <v>0</v>
      </c>
      <c r="X99" s="2">
        <v>46210.406678240739</v>
      </c>
      <c r="Y99" s="2">
        <v>46210.406678240739</v>
      </c>
      <c r="Z99" t="s">
        <v>1893</v>
      </c>
      <c r="AD99" t="s">
        <v>1893</v>
      </c>
      <c r="AH99">
        <v>0</v>
      </c>
      <c r="AI99" t="str">
        <f>"564418418"</f>
        <v>564418418</v>
      </c>
    </row>
    <row r="100" spans="1:35" x14ac:dyDescent="0.35">
      <c r="A100" t="str">
        <f>"2501717612"</f>
        <v>2501717612</v>
      </c>
      <c r="B100" t="s">
        <v>1540</v>
      </c>
      <c r="C100" s="2">
        <v>46209.753483796296</v>
      </c>
      <c r="D100" t="s">
        <v>1536</v>
      </c>
      <c r="E100">
        <v>1</v>
      </c>
      <c r="F100">
        <v>104</v>
      </c>
      <c r="G100" t="s">
        <v>1559</v>
      </c>
      <c r="J100" t="s">
        <v>1934</v>
      </c>
      <c r="K100" t="str">
        <f>"520721"</f>
        <v>520721</v>
      </c>
      <c r="L100" s="1">
        <v>46209</v>
      </c>
      <c r="M100" t="s">
        <v>1933</v>
      </c>
      <c r="N100" t="s">
        <v>1933</v>
      </c>
      <c r="Q100" t="str">
        <f>"10165"</f>
        <v>10165</v>
      </c>
      <c r="R100" t="s">
        <v>1540</v>
      </c>
      <c r="S100" t="s">
        <v>1559</v>
      </c>
      <c r="U100">
        <v>0</v>
      </c>
      <c r="V100">
        <v>0</v>
      </c>
      <c r="X100" s="2">
        <v>46210.406354166669</v>
      </c>
      <c r="Y100" s="2">
        <v>46210.406354166669</v>
      </c>
      <c r="Z100" t="s">
        <v>1559</v>
      </c>
      <c r="AD100" t="s">
        <v>1559</v>
      </c>
      <c r="AH100">
        <v>0</v>
      </c>
      <c r="AI100" t="s">
        <v>2062</v>
      </c>
    </row>
    <row r="101" spans="1:35" x14ac:dyDescent="0.35">
      <c r="A101" t="str">
        <f>"2501717603"</f>
        <v>2501717603</v>
      </c>
      <c r="B101" t="s">
        <v>1896</v>
      </c>
      <c r="C101" s="2">
        <v>46209.420740740738</v>
      </c>
      <c r="D101" t="s">
        <v>1536</v>
      </c>
      <c r="E101">
        <v>2</v>
      </c>
      <c r="F101">
        <v>25</v>
      </c>
      <c r="G101" t="s">
        <v>1835</v>
      </c>
      <c r="J101" t="s">
        <v>1934</v>
      </c>
      <c r="K101" t="str">
        <f>"521231"</f>
        <v>521231</v>
      </c>
      <c r="L101" s="1">
        <v>46209</v>
      </c>
      <c r="M101" t="s">
        <v>1933</v>
      </c>
      <c r="N101" t="s">
        <v>1933</v>
      </c>
      <c r="Q101" t="str">
        <f>"20260612000000"</f>
        <v>20260612000000</v>
      </c>
      <c r="R101" t="s">
        <v>1896</v>
      </c>
      <c r="S101" t="s">
        <v>1835</v>
      </c>
      <c r="U101">
        <v>0</v>
      </c>
      <c r="V101">
        <v>0</v>
      </c>
      <c r="X101" s="2">
        <v>46209.506874999999</v>
      </c>
      <c r="Y101" s="2">
        <v>46209.506874999999</v>
      </c>
      <c r="Z101" t="s">
        <v>1835</v>
      </c>
      <c r="AD101" t="s">
        <v>1835</v>
      </c>
      <c r="AH101">
        <v>0</v>
      </c>
      <c r="AI101" t="str">
        <f>"598892774"</f>
        <v>598892774</v>
      </c>
    </row>
    <row r="102" spans="1:35" x14ac:dyDescent="0.35">
      <c r="A102" t="str">
        <f>"2501717601"</f>
        <v>2501717601</v>
      </c>
      <c r="B102" t="s">
        <v>1652</v>
      </c>
      <c r="C102" s="2">
        <v>46209.410740740743</v>
      </c>
      <c r="D102" t="s">
        <v>1536</v>
      </c>
      <c r="E102">
        <v>1</v>
      </c>
      <c r="F102">
        <v>20</v>
      </c>
      <c r="G102" t="s">
        <v>1899</v>
      </c>
      <c r="J102" t="s">
        <v>1934</v>
      </c>
      <c r="K102" t="str">
        <f>"521159"</f>
        <v>521159</v>
      </c>
      <c r="L102" s="1">
        <v>46209</v>
      </c>
      <c r="M102" t="s">
        <v>1933</v>
      </c>
      <c r="N102" t="s">
        <v>1933</v>
      </c>
      <c r="Q102" t="s">
        <v>2063</v>
      </c>
      <c r="R102" t="s">
        <v>1652</v>
      </c>
      <c r="S102" t="s">
        <v>1899</v>
      </c>
      <c r="U102">
        <v>0</v>
      </c>
      <c r="V102">
        <v>0</v>
      </c>
      <c r="X102" s="2">
        <v>46209.507256944446</v>
      </c>
      <c r="Y102" s="2">
        <v>46209.507256944446</v>
      </c>
      <c r="Z102" t="s">
        <v>1899</v>
      </c>
      <c r="AD102" t="s">
        <v>1899</v>
      </c>
      <c r="AH102">
        <v>0</v>
      </c>
      <c r="AI102" t="str">
        <f>"532100619"</f>
        <v>532100619</v>
      </c>
    </row>
    <row r="103" spans="1:35" x14ac:dyDescent="0.35">
      <c r="A103" t="str">
        <f>"2501717594"</f>
        <v>2501717594</v>
      </c>
      <c r="B103" t="s">
        <v>1883</v>
      </c>
      <c r="C103" s="2">
        <v>46209.410740740743</v>
      </c>
      <c r="D103" t="s">
        <v>1536</v>
      </c>
      <c r="E103">
        <v>1</v>
      </c>
      <c r="F103">
        <v>50</v>
      </c>
      <c r="G103" t="s">
        <v>1677</v>
      </c>
      <c r="J103" t="s">
        <v>1934</v>
      </c>
      <c r="K103" t="str">
        <f>"521181"</f>
        <v>521181</v>
      </c>
      <c r="L103" s="1">
        <v>46209</v>
      </c>
      <c r="M103" t="s">
        <v>1933</v>
      </c>
      <c r="N103" t="s">
        <v>1933</v>
      </c>
      <c r="Q103" t="s">
        <v>2064</v>
      </c>
      <c r="R103" t="s">
        <v>1883</v>
      </c>
      <c r="S103" t="s">
        <v>1677</v>
      </c>
      <c r="U103">
        <v>0</v>
      </c>
      <c r="V103">
        <v>0</v>
      </c>
      <c r="X103" s="2">
        <v>46209.507627314815</v>
      </c>
      <c r="Y103" s="2">
        <v>46209.507627314815</v>
      </c>
      <c r="Z103" t="s">
        <v>1677</v>
      </c>
      <c r="AD103" t="s">
        <v>1677</v>
      </c>
      <c r="AH103">
        <v>0</v>
      </c>
      <c r="AI103" t="s">
        <v>2061</v>
      </c>
    </row>
    <row r="104" spans="1:35" x14ac:dyDescent="0.35">
      <c r="A104" t="str">
        <f>"2501717592"</f>
        <v>2501717592</v>
      </c>
      <c r="B104" t="s">
        <v>1681</v>
      </c>
      <c r="C104" s="2">
        <v>46209.410740740743</v>
      </c>
      <c r="D104" t="s">
        <v>1536</v>
      </c>
      <c r="E104">
        <v>1</v>
      </c>
      <c r="F104">
        <v>40</v>
      </c>
      <c r="G104" t="s">
        <v>1559</v>
      </c>
      <c r="J104" t="s">
        <v>1934</v>
      </c>
      <c r="K104" t="str">
        <f>"521152"</f>
        <v>521152</v>
      </c>
      <c r="L104" s="1">
        <v>46209</v>
      </c>
      <c r="M104" t="s">
        <v>1933</v>
      </c>
      <c r="N104" t="s">
        <v>1933</v>
      </c>
      <c r="Q104" t="s">
        <v>2065</v>
      </c>
      <c r="R104" t="s">
        <v>1681</v>
      </c>
      <c r="S104" t="s">
        <v>1559</v>
      </c>
      <c r="U104">
        <v>0</v>
      </c>
      <c r="V104">
        <v>0</v>
      </c>
      <c r="X104" s="2">
        <v>46209.508043981485</v>
      </c>
      <c r="Y104" s="2">
        <v>46209.508043981485</v>
      </c>
      <c r="Z104" t="s">
        <v>1559</v>
      </c>
      <c r="AD104" t="s">
        <v>1559</v>
      </c>
      <c r="AH104">
        <v>0</v>
      </c>
      <c r="AI104" t="str">
        <f>"536559017"</f>
        <v>536559017</v>
      </c>
    </row>
    <row r="105" spans="1:35" x14ac:dyDescent="0.35">
      <c r="A105" t="str">
        <f>"2501717581"</f>
        <v>2501717581</v>
      </c>
      <c r="B105" t="s">
        <v>1903</v>
      </c>
      <c r="C105" s="2">
        <v>46205.708958333336</v>
      </c>
      <c r="D105" t="s">
        <v>1536</v>
      </c>
      <c r="E105">
        <v>1</v>
      </c>
      <c r="F105">
        <v>30</v>
      </c>
      <c r="G105" t="s">
        <v>1902</v>
      </c>
      <c r="J105" t="s">
        <v>1934</v>
      </c>
      <c r="K105" t="str">
        <f>"521067"</f>
        <v>521067</v>
      </c>
      <c r="L105" s="1">
        <v>46205</v>
      </c>
      <c r="M105" t="s">
        <v>1933</v>
      </c>
      <c r="N105" t="s">
        <v>1933</v>
      </c>
      <c r="Q105" t="s">
        <v>2066</v>
      </c>
      <c r="R105" t="s">
        <v>1903</v>
      </c>
      <c r="S105" t="s">
        <v>1902</v>
      </c>
      <c r="U105">
        <v>0</v>
      </c>
      <c r="V105">
        <v>0</v>
      </c>
      <c r="X105" s="2">
        <v>46207.414606481485</v>
      </c>
      <c r="Y105" s="2">
        <v>46207.414606481485</v>
      </c>
      <c r="Z105" t="s">
        <v>1902</v>
      </c>
      <c r="AD105" t="s">
        <v>1902</v>
      </c>
      <c r="AH105">
        <v>0</v>
      </c>
      <c r="AI105" t="s">
        <v>2067</v>
      </c>
    </row>
    <row r="106" spans="1:35" x14ac:dyDescent="0.35">
      <c r="A106" t="str">
        <f>"2501717580"</f>
        <v>2501717580</v>
      </c>
      <c r="B106" t="s">
        <v>1745</v>
      </c>
      <c r="C106" s="2">
        <v>46205.708958333336</v>
      </c>
      <c r="D106" t="s">
        <v>1536</v>
      </c>
      <c r="E106">
        <v>1</v>
      </c>
      <c r="F106">
        <v>10</v>
      </c>
      <c r="G106" t="s">
        <v>1905</v>
      </c>
      <c r="J106" t="s">
        <v>1934</v>
      </c>
      <c r="K106" t="str">
        <f>"521083"</f>
        <v>521083</v>
      </c>
      <c r="L106" s="1">
        <v>46205</v>
      </c>
      <c r="M106" t="s">
        <v>1933</v>
      </c>
      <c r="N106" t="s">
        <v>1933</v>
      </c>
      <c r="Q106" t="str">
        <f>"8400000734"</f>
        <v>8400000734</v>
      </c>
      <c r="R106" t="s">
        <v>1745</v>
      </c>
      <c r="S106" t="s">
        <v>1905</v>
      </c>
      <c r="U106">
        <v>0</v>
      </c>
      <c r="V106">
        <v>0</v>
      </c>
      <c r="X106" s="2">
        <v>46207.415150462963</v>
      </c>
      <c r="Y106" s="2">
        <v>46207.415150462963</v>
      </c>
      <c r="Z106" t="s">
        <v>1905</v>
      </c>
      <c r="AD106" t="s">
        <v>1905</v>
      </c>
      <c r="AH106">
        <v>0</v>
      </c>
      <c r="AI106" t="str">
        <f>"592883553"</f>
        <v>592883553</v>
      </c>
    </row>
    <row r="107" spans="1:35" x14ac:dyDescent="0.35">
      <c r="A107" t="str">
        <f>"2501717579"</f>
        <v>2501717579</v>
      </c>
      <c r="B107" t="s">
        <v>1728</v>
      </c>
      <c r="C107" s="2">
        <v>46205.70894675926</v>
      </c>
      <c r="D107" t="s">
        <v>1536</v>
      </c>
      <c r="E107">
        <v>2</v>
      </c>
      <c r="F107">
        <v>2</v>
      </c>
      <c r="G107" t="s">
        <v>1542</v>
      </c>
      <c r="J107" t="s">
        <v>1934</v>
      </c>
      <c r="K107" t="str">
        <f>"521036"</f>
        <v>521036</v>
      </c>
      <c r="L107" s="1">
        <v>46205</v>
      </c>
      <c r="M107" t="s">
        <v>1933</v>
      </c>
      <c r="N107" t="s">
        <v>1933</v>
      </c>
      <c r="Q107" t="str">
        <f>"27626"</f>
        <v>27626</v>
      </c>
      <c r="R107" t="s">
        <v>1728</v>
      </c>
      <c r="S107" t="s">
        <v>1542</v>
      </c>
      <c r="U107">
        <v>0</v>
      </c>
      <c r="V107">
        <v>0</v>
      </c>
      <c r="X107" s="2">
        <v>46207.415659722225</v>
      </c>
      <c r="Y107" s="2">
        <v>46207.415659722225</v>
      </c>
      <c r="Z107" t="s">
        <v>1542</v>
      </c>
      <c r="AD107" t="s">
        <v>1542</v>
      </c>
      <c r="AH107">
        <v>0</v>
      </c>
      <c r="AI107" t="str">
        <f>"598103065"</f>
        <v>598103065</v>
      </c>
    </row>
    <row r="108" spans="1:35" x14ac:dyDescent="0.35">
      <c r="A108" t="str">
        <f>"2501717578"</f>
        <v>2501717578</v>
      </c>
      <c r="B108" t="s">
        <v>1681</v>
      </c>
      <c r="C108" s="2">
        <v>46205.70894675926</v>
      </c>
      <c r="D108" t="s">
        <v>1536</v>
      </c>
      <c r="E108">
        <v>2</v>
      </c>
      <c r="F108">
        <v>175</v>
      </c>
      <c r="G108" t="s">
        <v>1559</v>
      </c>
      <c r="J108" t="s">
        <v>1934</v>
      </c>
      <c r="K108" t="str">
        <f>"521152"</f>
        <v>521152</v>
      </c>
      <c r="L108" s="1">
        <v>46205</v>
      </c>
      <c r="M108" t="s">
        <v>1933</v>
      </c>
      <c r="N108" t="s">
        <v>1933</v>
      </c>
      <c r="Q108" t="s">
        <v>2068</v>
      </c>
      <c r="R108" t="s">
        <v>1681</v>
      </c>
      <c r="S108" t="s">
        <v>1559</v>
      </c>
      <c r="U108">
        <v>0</v>
      </c>
      <c r="V108">
        <v>0</v>
      </c>
      <c r="X108" s="2">
        <v>46207.416238425925</v>
      </c>
      <c r="Y108" s="2">
        <v>46207.416238425925</v>
      </c>
      <c r="Z108" t="s">
        <v>1559</v>
      </c>
      <c r="AD108" t="s">
        <v>1559</v>
      </c>
      <c r="AH108">
        <v>0</v>
      </c>
      <c r="AI108" t="str">
        <f>"536559017"</f>
        <v>536559017</v>
      </c>
    </row>
    <row r="109" spans="1:35" x14ac:dyDescent="0.35">
      <c r="A109" t="str">
        <f>"2501717576"</f>
        <v>2501717576</v>
      </c>
      <c r="B109" t="s">
        <v>1556</v>
      </c>
      <c r="C109" s="2">
        <v>46205.70894675926</v>
      </c>
      <c r="D109" t="s">
        <v>1536</v>
      </c>
      <c r="E109">
        <v>2</v>
      </c>
      <c r="F109">
        <v>35</v>
      </c>
      <c r="G109" t="s">
        <v>1909</v>
      </c>
      <c r="J109" t="s">
        <v>1934</v>
      </c>
      <c r="K109" t="str">
        <f>"521161"</f>
        <v>521161</v>
      </c>
      <c r="L109" s="1">
        <v>46205</v>
      </c>
      <c r="M109" t="s">
        <v>1933</v>
      </c>
      <c r="N109" t="s">
        <v>1933</v>
      </c>
      <c r="Q109" t="s">
        <v>2069</v>
      </c>
      <c r="R109" t="s">
        <v>1556</v>
      </c>
      <c r="S109" t="s">
        <v>1909</v>
      </c>
      <c r="U109">
        <v>0</v>
      </c>
      <c r="V109">
        <v>0</v>
      </c>
      <c r="X109" s="2">
        <v>46207.416886574072</v>
      </c>
      <c r="Y109" s="2">
        <v>46207.416886574072</v>
      </c>
      <c r="Z109" t="s">
        <v>1909</v>
      </c>
      <c r="AD109" t="s">
        <v>1909</v>
      </c>
      <c r="AH109">
        <v>0</v>
      </c>
      <c r="AI109" t="str">
        <f>"534289627"</f>
        <v>534289627</v>
      </c>
    </row>
    <row r="110" spans="1:35" x14ac:dyDescent="0.35">
      <c r="A110" t="str">
        <f>"2501717575"</f>
        <v>2501717575</v>
      </c>
      <c r="B110" t="s">
        <v>1556</v>
      </c>
      <c r="C110" s="2">
        <v>46205.70894675926</v>
      </c>
      <c r="D110" t="s">
        <v>1536</v>
      </c>
      <c r="E110">
        <v>2</v>
      </c>
      <c r="F110">
        <v>30</v>
      </c>
      <c r="G110" t="s">
        <v>1911</v>
      </c>
      <c r="J110" t="s">
        <v>1934</v>
      </c>
      <c r="K110" t="str">
        <f>"521161"</f>
        <v>521161</v>
      </c>
      <c r="L110" s="1">
        <v>46205</v>
      </c>
      <c r="M110" t="s">
        <v>1933</v>
      </c>
      <c r="N110" t="s">
        <v>1933</v>
      </c>
      <c r="Q110" t="s">
        <v>2070</v>
      </c>
      <c r="R110" t="s">
        <v>1556</v>
      </c>
      <c r="S110" t="s">
        <v>1911</v>
      </c>
      <c r="U110">
        <v>0</v>
      </c>
      <c r="V110">
        <v>0</v>
      </c>
      <c r="X110" s="2">
        <v>46207.416886574072</v>
      </c>
      <c r="Y110" s="2">
        <v>46207.416886574072</v>
      </c>
      <c r="Z110" t="s">
        <v>1911</v>
      </c>
      <c r="AD110" t="s">
        <v>1911</v>
      </c>
      <c r="AH110">
        <v>0</v>
      </c>
      <c r="AI110" t="str">
        <f>"502916297"</f>
        <v>502916297</v>
      </c>
    </row>
    <row r="111" spans="1:35" x14ac:dyDescent="0.35">
      <c r="A111" t="str">
        <f>"2501717573"</f>
        <v>2501717573</v>
      </c>
      <c r="B111" t="s">
        <v>1719</v>
      </c>
      <c r="C111" s="2">
        <v>46205.70894675926</v>
      </c>
      <c r="D111" t="s">
        <v>1536</v>
      </c>
      <c r="E111">
        <v>1</v>
      </c>
      <c r="F111">
        <v>32</v>
      </c>
      <c r="G111" t="s">
        <v>1811</v>
      </c>
      <c r="J111" t="s">
        <v>1934</v>
      </c>
      <c r="K111" t="str">
        <f>"520605"</f>
        <v>520605</v>
      </c>
      <c r="L111" s="1">
        <v>46205</v>
      </c>
      <c r="M111" t="s">
        <v>1933</v>
      </c>
      <c r="N111" t="s">
        <v>1933</v>
      </c>
      <c r="Q111" t="s">
        <v>2071</v>
      </c>
      <c r="R111" t="s">
        <v>1719</v>
      </c>
      <c r="S111" t="s">
        <v>1811</v>
      </c>
      <c r="U111">
        <v>0</v>
      </c>
      <c r="V111">
        <v>0</v>
      </c>
      <c r="X111" s="2">
        <v>46207.417337962965</v>
      </c>
      <c r="Y111" s="2">
        <v>46207.417337962965</v>
      </c>
      <c r="Z111" t="s">
        <v>1811</v>
      </c>
      <c r="AD111" t="s">
        <v>1811</v>
      </c>
      <c r="AH111">
        <v>0</v>
      </c>
      <c r="AI111" t="str">
        <f>"545227739"</f>
        <v>545227739</v>
      </c>
    </row>
    <row r="112" spans="1:35" x14ac:dyDescent="0.35">
      <c r="A112" t="str">
        <f>"2501717562"</f>
        <v>2501717562</v>
      </c>
      <c r="B112" t="s">
        <v>1681</v>
      </c>
      <c r="C112" s="2">
        <v>46204.718032407407</v>
      </c>
      <c r="D112" t="s">
        <v>1536</v>
      </c>
      <c r="E112">
        <v>4</v>
      </c>
      <c r="F112">
        <v>170</v>
      </c>
      <c r="G112" t="s">
        <v>1559</v>
      </c>
      <c r="J112" t="s">
        <v>1934</v>
      </c>
      <c r="K112" t="str">
        <f>"521152"</f>
        <v>521152</v>
      </c>
      <c r="L112" s="1">
        <v>46204</v>
      </c>
      <c r="M112" t="s">
        <v>1933</v>
      </c>
      <c r="N112" t="s">
        <v>1933</v>
      </c>
      <c r="Q112" t="s">
        <v>2065</v>
      </c>
      <c r="R112" t="s">
        <v>1681</v>
      </c>
      <c r="S112" t="s">
        <v>1559</v>
      </c>
      <c r="U112">
        <v>0</v>
      </c>
      <c r="V112">
        <v>0</v>
      </c>
      <c r="X112" s="2">
        <v>46205.398993055554</v>
      </c>
      <c r="Y112" s="2">
        <v>46205.398993055554</v>
      </c>
      <c r="Z112" t="s">
        <v>1559</v>
      </c>
      <c r="AD112" t="s">
        <v>1559</v>
      </c>
      <c r="AH112">
        <v>0</v>
      </c>
      <c r="AI112" t="str">
        <f>"536559017"</f>
        <v>536559017</v>
      </c>
    </row>
    <row r="113" spans="1:35" x14ac:dyDescent="0.35">
      <c r="A113" t="str">
        <f>"2501718147"</f>
        <v>2501718147</v>
      </c>
      <c r="B113" t="s">
        <v>2072</v>
      </c>
      <c r="C113" s="2">
        <v>46252.445034722223</v>
      </c>
      <c r="D113" t="s">
        <v>2073</v>
      </c>
      <c r="E113">
        <v>1</v>
      </c>
      <c r="F113">
        <v>45</v>
      </c>
      <c r="J113" t="s">
        <v>1934</v>
      </c>
      <c r="K113" t="str">
        <f>"520609"</f>
        <v>520609</v>
      </c>
      <c r="L113" s="1">
        <v>46252</v>
      </c>
      <c r="M113" t="s">
        <v>2074</v>
      </c>
      <c r="N113" t="s">
        <v>2074</v>
      </c>
      <c r="P113" s="1">
        <v>46098</v>
      </c>
      <c r="Q113" t="str">
        <f>"4000177931"</f>
        <v>4000177931</v>
      </c>
      <c r="R113" t="s">
        <v>2072</v>
      </c>
      <c r="S113" t="s">
        <v>1677</v>
      </c>
      <c r="U113">
        <v>0</v>
      </c>
      <c r="V113">
        <v>0</v>
      </c>
      <c r="Y113" s="2">
        <v>46252.445428240739</v>
      </c>
      <c r="Z113" t="s">
        <v>1677</v>
      </c>
      <c r="AH113">
        <v>0</v>
      </c>
      <c r="AI113" t="str">
        <f>"568808152"</f>
        <v>568808152</v>
      </c>
    </row>
    <row r="114" spans="1:35" x14ac:dyDescent="0.35">
      <c r="A114" t="str">
        <f>"2505702843"</f>
        <v>2505702843</v>
      </c>
      <c r="B114" t="s">
        <v>2075</v>
      </c>
      <c r="C114" s="2">
        <v>46252.294305555559</v>
      </c>
      <c r="D114" t="s">
        <v>1536</v>
      </c>
      <c r="E114">
        <v>1</v>
      </c>
      <c r="F114">
        <v>4</v>
      </c>
      <c r="J114" t="s">
        <v>1934</v>
      </c>
      <c r="K114" t="str">
        <f>"520647"</f>
        <v>520647</v>
      </c>
      <c r="L114" s="1">
        <v>46252</v>
      </c>
      <c r="M114" t="s">
        <v>2074</v>
      </c>
      <c r="N114" t="s">
        <v>2074</v>
      </c>
      <c r="P114" s="1">
        <v>46098</v>
      </c>
      <c r="Q114" t="s">
        <v>2076</v>
      </c>
      <c r="R114" t="s">
        <v>2075</v>
      </c>
      <c r="S114" t="s">
        <v>2077</v>
      </c>
      <c r="U114">
        <v>0</v>
      </c>
      <c r="V114">
        <v>0</v>
      </c>
      <c r="X114" s="2">
        <v>46252.464930555558</v>
      </c>
      <c r="Y114" s="2">
        <v>46252.464930555558</v>
      </c>
      <c r="Z114" t="s">
        <v>2077</v>
      </c>
      <c r="AH114">
        <v>0</v>
      </c>
      <c r="AI114" t="str">
        <f>"504960275"</f>
        <v>504960275</v>
      </c>
    </row>
    <row r="115" spans="1:35" x14ac:dyDescent="0.35">
      <c r="A115" t="str">
        <f>"2501718145"</f>
        <v>2501718145</v>
      </c>
      <c r="B115" t="s">
        <v>1732</v>
      </c>
      <c r="C115" s="2">
        <v>46252.294305555559</v>
      </c>
      <c r="D115" t="s">
        <v>2078</v>
      </c>
      <c r="E115">
        <v>1</v>
      </c>
      <c r="F115">
        <v>24</v>
      </c>
      <c r="J115" t="s">
        <v>1934</v>
      </c>
      <c r="K115" t="str">
        <f>"520747"</f>
        <v>520747</v>
      </c>
      <c r="L115" s="1">
        <v>46252</v>
      </c>
      <c r="M115" t="s">
        <v>2074</v>
      </c>
      <c r="N115" t="s">
        <v>2079</v>
      </c>
      <c r="P115" s="1">
        <v>46098</v>
      </c>
      <c r="Q115" t="str">
        <f>"138"</f>
        <v>138</v>
      </c>
      <c r="R115" t="s">
        <v>1732</v>
      </c>
      <c r="S115" t="s">
        <v>1586</v>
      </c>
      <c r="U115">
        <v>0</v>
      </c>
      <c r="V115">
        <v>0</v>
      </c>
      <c r="Y115" s="2">
        <v>46252.429513888892</v>
      </c>
      <c r="Z115" t="s">
        <v>1586</v>
      </c>
      <c r="AH115">
        <v>0</v>
      </c>
      <c r="AI115" t="s">
        <v>2080</v>
      </c>
    </row>
    <row r="116" spans="1:35" x14ac:dyDescent="0.35">
      <c r="A116" t="str">
        <f>"2501718139"</f>
        <v>2501718139</v>
      </c>
      <c r="B116" t="s">
        <v>2081</v>
      </c>
      <c r="C116" s="2">
        <v>46252.294305555559</v>
      </c>
      <c r="D116" t="s">
        <v>1536</v>
      </c>
      <c r="E116">
        <v>1</v>
      </c>
      <c r="F116">
        <v>10</v>
      </c>
      <c r="J116" t="s">
        <v>1934</v>
      </c>
      <c r="K116" t="str">
        <f>"521167"</f>
        <v>521167</v>
      </c>
      <c r="L116" s="1">
        <v>46252</v>
      </c>
      <c r="M116" t="s">
        <v>2074</v>
      </c>
      <c r="N116" t="s">
        <v>2074</v>
      </c>
      <c r="P116" s="1">
        <v>46098</v>
      </c>
      <c r="Q116" t="str">
        <f>"46249"</f>
        <v>46249</v>
      </c>
      <c r="R116" t="s">
        <v>2081</v>
      </c>
      <c r="S116" t="s">
        <v>1586</v>
      </c>
      <c r="U116">
        <v>0</v>
      </c>
      <c r="V116">
        <v>0</v>
      </c>
      <c r="X116" s="2">
        <v>46252.463101851848</v>
      </c>
      <c r="Y116" s="2">
        <v>46252.463101851848</v>
      </c>
      <c r="Z116" t="s">
        <v>1586</v>
      </c>
      <c r="AH116">
        <v>0</v>
      </c>
      <c r="AI116" t="str">
        <f>"546410504"</f>
        <v>546410504</v>
      </c>
    </row>
    <row r="117" spans="1:35" x14ac:dyDescent="0.35">
      <c r="A117" t="str">
        <f>"2501718132"</f>
        <v>2501718132</v>
      </c>
      <c r="B117" t="s">
        <v>1883</v>
      </c>
      <c r="C117" s="2">
        <v>46250.658958333333</v>
      </c>
      <c r="D117" t="s">
        <v>1536</v>
      </c>
      <c r="E117">
        <v>4</v>
      </c>
      <c r="F117">
        <v>550</v>
      </c>
      <c r="J117" t="s">
        <v>1934</v>
      </c>
      <c r="K117" t="str">
        <f>"521181"</f>
        <v>521181</v>
      </c>
      <c r="L117" s="1">
        <v>46250</v>
      </c>
      <c r="M117" t="s">
        <v>2074</v>
      </c>
      <c r="N117" t="s">
        <v>2074</v>
      </c>
      <c r="P117" s="1">
        <v>46098</v>
      </c>
      <c r="Q117" t="str">
        <f>"100036"</f>
        <v>100036</v>
      </c>
      <c r="R117" t="s">
        <v>1883</v>
      </c>
      <c r="S117" t="s">
        <v>1677</v>
      </c>
      <c r="U117">
        <v>0</v>
      </c>
      <c r="V117">
        <v>0</v>
      </c>
      <c r="X117" s="2">
        <v>46251.368298611109</v>
      </c>
      <c r="Y117" s="2">
        <v>46251.368298611109</v>
      </c>
      <c r="Z117" t="s">
        <v>1677</v>
      </c>
      <c r="AH117">
        <v>0</v>
      </c>
      <c r="AI117" t="s">
        <v>2061</v>
      </c>
    </row>
    <row r="118" spans="1:35" x14ac:dyDescent="0.35">
      <c r="A118" t="str">
        <f>"2501718130"</f>
        <v>2501718130</v>
      </c>
      <c r="B118" t="s">
        <v>2082</v>
      </c>
      <c r="C118" s="2">
        <v>46250.658958333333</v>
      </c>
      <c r="D118" t="s">
        <v>1536</v>
      </c>
      <c r="E118">
        <v>1</v>
      </c>
      <c r="F118">
        <v>84</v>
      </c>
      <c r="J118" t="s">
        <v>1934</v>
      </c>
      <c r="K118" t="str">
        <f>"521024"</f>
        <v>521024</v>
      </c>
      <c r="L118" s="1">
        <v>46250</v>
      </c>
      <c r="M118" t="s">
        <v>2074</v>
      </c>
      <c r="N118" t="s">
        <v>2074</v>
      </c>
      <c r="P118" s="1">
        <v>46098</v>
      </c>
      <c r="Q118" t="str">
        <f>"730"</f>
        <v>730</v>
      </c>
      <c r="R118" t="s">
        <v>2082</v>
      </c>
      <c r="S118" t="s">
        <v>2083</v>
      </c>
      <c r="U118">
        <v>0</v>
      </c>
      <c r="V118">
        <v>0</v>
      </c>
      <c r="X118" s="2">
        <v>46251.599675925929</v>
      </c>
      <c r="Y118" s="2">
        <v>46251.599675925929</v>
      </c>
      <c r="Z118" t="s">
        <v>2083</v>
      </c>
      <c r="AH118">
        <v>0</v>
      </c>
      <c r="AI118" t="s">
        <v>2084</v>
      </c>
    </row>
    <row r="119" spans="1:35" x14ac:dyDescent="0.35">
      <c r="A119" t="str">
        <f>"2501718129"</f>
        <v>2501718129</v>
      </c>
      <c r="B119" t="s">
        <v>2082</v>
      </c>
      <c r="C119" s="2">
        <v>46250.658958333333</v>
      </c>
      <c r="D119" t="s">
        <v>1536</v>
      </c>
      <c r="E119">
        <v>1</v>
      </c>
      <c r="F119">
        <v>100</v>
      </c>
      <c r="J119" t="s">
        <v>1934</v>
      </c>
      <c r="K119" t="str">
        <f>"521024"</f>
        <v>521024</v>
      </c>
      <c r="L119" s="1">
        <v>46250</v>
      </c>
      <c r="M119" t="s">
        <v>2074</v>
      </c>
      <c r="N119" t="s">
        <v>2074</v>
      </c>
      <c r="P119" s="1">
        <v>46098</v>
      </c>
      <c r="Q119" t="str">
        <f>"730"</f>
        <v>730</v>
      </c>
      <c r="R119" t="s">
        <v>2082</v>
      </c>
      <c r="S119" t="s">
        <v>2083</v>
      </c>
      <c r="U119">
        <v>0</v>
      </c>
      <c r="V119">
        <v>0</v>
      </c>
      <c r="X119" s="2">
        <v>46251.500694444447</v>
      </c>
      <c r="Y119" s="2">
        <v>46251.500694444447</v>
      </c>
      <c r="Z119" t="s">
        <v>2083</v>
      </c>
      <c r="AH119">
        <v>0</v>
      </c>
      <c r="AI119" t="s">
        <v>2084</v>
      </c>
    </row>
    <row r="120" spans="1:35" x14ac:dyDescent="0.35">
      <c r="A120" t="str">
        <f>"2501718134"</f>
        <v>2501718134</v>
      </c>
      <c r="B120" t="s">
        <v>1556</v>
      </c>
      <c r="C120" s="2">
        <v>46250.649872685186</v>
      </c>
      <c r="D120" t="s">
        <v>1536</v>
      </c>
      <c r="E120">
        <v>1</v>
      </c>
      <c r="F120">
        <v>156</v>
      </c>
      <c r="J120" t="s">
        <v>1934</v>
      </c>
      <c r="K120" t="str">
        <f>"521161"</f>
        <v>521161</v>
      </c>
      <c r="L120" s="1">
        <v>46250</v>
      </c>
      <c r="M120" t="s">
        <v>2074</v>
      </c>
      <c r="N120" t="s">
        <v>2074</v>
      </c>
      <c r="P120" s="1">
        <v>46098</v>
      </c>
      <c r="Q120" t="s">
        <v>2085</v>
      </c>
      <c r="R120" t="s">
        <v>1556</v>
      </c>
      <c r="S120" t="s">
        <v>2086</v>
      </c>
      <c r="U120">
        <v>0</v>
      </c>
      <c r="V120">
        <v>0</v>
      </c>
      <c r="X120" s="2">
        <v>46251.600277777776</v>
      </c>
      <c r="Y120" s="2">
        <v>46251.600277777776</v>
      </c>
      <c r="Z120" t="s">
        <v>2086</v>
      </c>
      <c r="AH120">
        <v>0</v>
      </c>
      <c r="AI120" t="str">
        <f>"544671081"</f>
        <v>544671081</v>
      </c>
    </row>
    <row r="121" spans="1:35" x14ac:dyDescent="0.35">
      <c r="A121" t="str">
        <f>"2501718110"</f>
        <v>2501718110</v>
      </c>
      <c r="B121" t="s">
        <v>1540</v>
      </c>
      <c r="C121" s="2">
        <v>46247.656030092592</v>
      </c>
      <c r="D121" t="s">
        <v>1536</v>
      </c>
      <c r="E121">
        <v>1</v>
      </c>
      <c r="F121">
        <v>392</v>
      </c>
      <c r="J121" t="s">
        <v>1934</v>
      </c>
      <c r="K121" t="str">
        <f>"520721"</f>
        <v>520721</v>
      </c>
      <c r="L121" s="1">
        <v>46247</v>
      </c>
      <c r="M121" t="s">
        <v>2074</v>
      </c>
      <c r="N121" t="s">
        <v>2074</v>
      </c>
      <c r="P121" s="1">
        <v>46098</v>
      </c>
      <c r="Q121" t="str">
        <f>"10344"</f>
        <v>10344</v>
      </c>
      <c r="R121" t="s">
        <v>1540</v>
      </c>
      <c r="S121" t="s">
        <v>1550</v>
      </c>
      <c r="U121">
        <v>0</v>
      </c>
      <c r="V121">
        <v>0</v>
      </c>
      <c r="X121" s="2">
        <v>46249.623703703706</v>
      </c>
      <c r="Y121" s="2">
        <v>46249.623703703706</v>
      </c>
      <c r="Z121" t="s">
        <v>1550</v>
      </c>
      <c r="AH121">
        <v>0</v>
      </c>
      <c r="AI121" t="str">
        <f>"569879402"</f>
        <v>569879402</v>
      </c>
    </row>
    <row r="122" spans="1:35" x14ac:dyDescent="0.35">
      <c r="A122" t="str">
        <f>"2501718109"</f>
        <v>2501718109</v>
      </c>
      <c r="B122" t="s">
        <v>1583</v>
      </c>
      <c r="C122" s="2">
        <v>46247.656030092592</v>
      </c>
      <c r="D122" t="s">
        <v>1536</v>
      </c>
      <c r="E122">
        <v>2</v>
      </c>
      <c r="F122">
        <v>6</v>
      </c>
      <c r="J122" t="s">
        <v>1934</v>
      </c>
      <c r="K122" t="str">
        <f>"521234"</f>
        <v>521234</v>
      </c>
      <c r="L122" s="1">
        <v>46247</v>
      </c>
      <c r="M122" t="s">
        <v>2074</v>
      </c>
      <c r="N122" t="s">
        <v>2074</v>
      </c>
      <c r="P122" s="1">
        <v>46098</v>
      </c>
      <c r="Q122" t="s">
        <v>2087</v>
      </c>
      <c r="R122" t="s">
        <v>1583</v>
      </c>
      <c r="S122" t="s">
        <v>1797</v>
      </c>
      <c r="U122">
        <v>0</v>
      </c>
      <c r="V122">
        <v>0</v>
      </c>
      <c r="X122" s="2">
        <v>46249.622708333336</v>
      </c>
      <c r="Y122" s="2">
        <v>46249.622708333336</v>
      </c>
      <c r="Z122" t="s">
        <v>1797</v>
      </c>
      <c r="AH122">
        <v>0</v>
      </c>
      <c r="AI122" t="str">
        <f>"580056783"</f>
        <v>580056783</v>
      </c>
    </row>
    <row r="123" spans="1:35" x14ac:dyDescent="0.35">
      <c r="A123" t="str">
        <f>"2501718099"</f>
        <v>2501718099</v>
      </c>
      <c r="B123" t="s">
        <v>1556</v>
      </c>
      <c r="C123" s="2">
        <v>46247.656030092592</v>
      </c>
      <c r="D123" t="s">
        <v>1536</v>
      </c>
      <c r="E123">
        <v>1</v>
      </c>
      <c r="F123">
        <v>52</v>
      </c>
      <c r="J123" t="s">
        <v>1934</v>
      </c>
      <c r="K123" t="str">
        <f>"521161"</f>
        <v>521161</v>
      </c>
      <c r="L123" s="1">
        <v>46247</v>
      </c>
      <c r="M123" t="s">
        <v>2074</v>
      </c>
      <c r="N123" t="s">
        <v>2074</v>
      </c>
      <c r="P123" s="1">
        <v>46098</v>
      </c>
      <c r="Q123" t="s">
        <v>2088</v>
      </c>
      <c r="R123" t="s">
        <v>1556</v>
      </c>
      <c r="S123" t="s">
        <v>2089</v>
      </c>
      <c r="U123">
        <v>0</v>
      </c>
      <c r="V123">
        <v>0</v>
      </c>
      <c r="X123" s="2">
        <v>46249.61855324074</v>
      </c>
      <c r="Y123" s="2">
        <v>46249.61855324074</v>
      </c>
      <c r="Z123" t="s">
        <v>2089</v>
      </c>
      <c r="AH123">
        <v>0</v>
      </c>
      <c r="AI123" t="str">
        <f>"532983043"</f>
        <v>532983043</v>
      </c>
    </row>
    <row r="124" spans="1:35" x14ac:dyDescent="0.35">
      <c r="A124" t="str">
        <f>"2501718098"</f>
        <v>2501718098</v>
      </c>
      <c r="B124" t="s">
        <v>1568</v>
      </c>
      <c r="C124" s="2">
        <v>46247.656030092592</v>
      </c>
      <c r="D124" t="s">
        <v>1536</v>
      </c>
      <c r="E124">
        <v>1</v>
      </c>
      <c r="F124">
        <v>14</v>
      </c>
      <c r="J124" t="s">
        <v>1934</v>
      </c>
      <c r="K124" t="str">
        <f>"520801"</f>
        <v>520801</v>
      </c>
      <c r="L124" s="1">
        <v>46247</v>
      </c>
      <c r="M124" t="s">
        <v>2074</v>
      </c>
      <c r="N124" t="s">
        <v>2074</v>
      </c>
      <c r="P124" s="1">
        <v>46098</v>
      </c>
      <c r="Q124" t="str">
        <f>"261184"</f>
        <v>261184</v>
      </c>
      <c r="R124" t="s">
        <v>1568</v>
      </c>
      <c r="S124" t="s">
        <v>1677</v>
      </c>
      <c r="U124">
        <v>0</v>
      </c>
      <c r="V124">
        <v>0</v>
      </c>
      <c r="X124" s="2">
        <v>46249.587881944448</v>
      </c>
      <c r="Y124" s="2">
        <v>46249.587881944448</v>
      </c>
      <c r="Z124" t="s">
        <v>1677</v>
      </c>
      <c r="AH124">
        <v>0</v>
      </c>
      <c r="AI124" t="str">
        <f>"554743051"</f>
        <v>554743051</v>
      </c>
    </row>
    <row r="125" spans="1:35" x14ac:dyDescent="0.35">
      <c r="A125" t="str">
        <f>"2501718090"</f>
        <v>2501718090</v>
      </c>
      <c r="B125" t="s">
        <v>1722</v>
      </c>
      <c r="C125" s="2">
        <v>46247.656030092592</v>
      </c>
      <c r="D125" t="s">
        <v>1536</v>
      </c>
      <c r="E125">
        <v>1</v>
      </c>
      <c r="F125">
        <v>50</v>
      </c>
      <c r="J125" t="s">
        <v>1934</v>
      </c>
      <c r="K125" t="str">
        <f>"521022"</f>
        <v>521022</v>
      </c>
      <c r="L125" s="1">
        <v>46247</v>
      </c>
      <c r="M125" t="s">
        <v>2074</v>
      </c>
      <c r="N125" t="s">
        <v>2074</v>
      </c>
      <c r="P125" s="1">
        <v>46098</v>
      </c>
      <c r="Q125" t="s">
        <v>2090</v>
      </c>
      <c r="R125" t="s">
        <v>1722</v>
      </c>
      <c r="S125" t="s">
        <v>1586</v>
      </c>
      <c r="U125">
        <v>0</v>
      </c>
      <c r="V125">
        <v>0</v>
      </c>
      <c r="X125" s="2">
        <v>46249.617569444446</v>
      </c>
      <c r="Y125" s="2">
        <v>46249.617569444446</v>
      </c>
      <c r="Z125" t="s">
        <v>1586</v>
      </c>
      <c r="AH125">
        <v>0</v>
      </c>
      <c r="AI125" t="s">
        <v>2091</v>
      </c>
    </row>
    <row r="126" spans="1:35" x14ac:dyDescent="0.35">
      <c r="A126" t="str">
        <f>"2501718104"</f>
        <v>2501718104</v>
      </c>
      <c r="B126" t="s">
        <v>1798</v>
      </c>
      <c r="C126" s="2">
        <v>46247.635995370372</v>
      </c>
      <c r="D126" t="s">
        <v>1536</v>
      </c>
      <c r="E126">
        <v>1</v>
      </c>
      <c r="F126">
        <v>63</v>
      </c>
      <c r="J126" t="s">
        <v>1934</v>
      </c>
      <c r="K126" t="str">
        <f>"520996"</f>
        <v>520996</v>
      </c>
      <c r="L126" s="1">
        <v>46247</v>
      </c>
      <c r="M126" t="s">
        <v>2074</v>
      </c>
      <c r="N126" t="s">
        <v>2074</v>
      </c>
      <c r="P126" s="1">
        <v>46098</v>
      </c>
      <c r="Q126" t="s">
        <v>2092</v>
      </c>
      <c r="R126" t="s">
        <v>1798</v>
      </c>
      <c r="S126" t="s">
        <v>1797</v>
      </c>
      <c r="U126">
        <v>0</v>
      </c>
      <c r="V126">
        <v>0</v>
      </c>
      <c r="X126" s="2">
        <v>46249.588935185187</v>
      </c>
      <c r="Y126" s="2">
        <v>46249.588935185187</v>
      </c>
      <c r="Z126" t="s">
        <v>1797</v>
      </c>
      <c r="AH126">
        <v>0</v>
      </c>
      <c r="AI126" t="str">
        <f>"533256639"</f>
        <v>533256639</v>
      </c>
    </row>
    <row r="127" spans="1:35" x14ac:dyDescent="0.35">
      <c r="A127" t="str">
        <f>"2501718087"</f>
        <v>2501718087</v>
      </c>
      <c r="B127" t="s">
        <v>1556</v>
      </c>
      <c r="C127" s="2">
        <v>46246.661562499998</v>
      </c>
      <c r="D127" t="s">
        <v>1536</v>
      </c>
      <c r="E127">
        <v>1</v>
      </c>
      <c r="F127">
        <v>20</v>
      </c>
      <c r="J127" t="s">
        <v>1934</v>
      </c>
      <c r="K127" t="str">
        <f>"521161"</f>
        <v>521161</v>
      </c>
      <c r="L127" s="1">
        <v>46246</v>
      </c>
      <c r="M127" t="s">
        <v>2074</v>
      </c>
      <c r="N127" t="s">
        <v>2074</v>
      </c>
      <c r="P127" s="1">
        <v>46098</v>
      </c>
      <c r="Q127" t="s">
        <v>2093</v>
      </c>
      <c r="R127" t="s">
        <v>1556</v>
      </c>
      <c r="S127" t="s">
        <v>2094</v>
      </c>
      <c r="U127">
        <v>0</v>
      </c>
      <c r="V127">
        <v>0</v>
      </c>
      <c r="X127" s="2">
        <v>46247.385358796295</v>
      </c>
      <c r="Y127" s="2">
        <v>46247.385358796295</v>
      </c>
      <c r="Z127" t="s">
        <v>2094</v>
      </c>
      <c r="AH127">
        <v>0</v>
      </c>
      <c r="AI127" t="s">
        <v>2095</v>
      </c>
    </row>
    <row r="128" spans="1:35" x14ac:dyDescent="0.35">
      <c r="A128" t="str">
        <f>"2501718080"</f>
        <v>2501718080</v>
      </c>
      <c r="B128" t="s">
        <v>1852</v>
      </c>
      <c r="C128" s="2">
        <v>46246.297685185185</v>
      </c>
      <c r="D128" t="s">
        <v>1536</v>
      </c>
      <c r="E128">
        <v>1</v>
      </c>
      <c r="F128">
        <v>300</v>
      </c>
      <c r="J128" t="s">
        <v>1934</v>
      </c>
      <c r="K128" t="str">
        <f>"521115"</f>
        <v>521115</v>
      </c>
      <c r="L128" s="1">
        <v>46246</v>
      </c>
      <c r="M128" t="s">
        <v>2074</v>
      </c>
      <c r="N128" t="s">
        <v>2074</v>
      </c>
      <c r="P128" s="1">
        <v>46098</v>
      </c>
      <c r="Q128" t="s">
        <v>2096</v>
      </c>
      <c r="R128" t="s">
        <v>1852</v>
      </c>
      <c r="S128" t="s">
        <v>1677</v>
      </c>
      <c r="U128">
        <v>0</v>
      </c>
      <c r="V128">
        <v>0</v>
      </c>
      <c r="X128" s="2">
        <v>46246.494062500002</v>
      </c>
      <c r="Y128" s="2">
        <v>46246.494062500002</v>
      </c>
      <c r="Z128" t="s">
        <v>1677</v>
      </c>
      <c r="AH128">
        <v>0</v>
      </c>
      <c r="AI128" t="str">
        <f>"565814688"</f>
        <v>565814688</v>
      </c>
    </row>
    <row r="129" spans="1:35" x14ac:dyDescent="0.35">
      <c r="A129" t="str">
        <f>"2501718077"</f>
        <v>2501718077</v>
      </c>
      <c r="B129" t="s">
        <v>1556</v>
      </c>
      <c r="C129" s="2">
        <v>46246.294953703706</v>
      </c>
      <c r="D129" t="s">
        <v>1536</v>
      </c>
      <c r="E129">
        <v>1</v>
      </c>
      <c r="F129">
        <v>30</v>
      </c>
      <c r="J129" t="s">
        <v>1934</v>
      </c>
      <c r="K129" t="str">
        <f>"521161"</f>
        <v>521161</v>
      </c>
      <c r="L129" s="1">
        <v>46246</v>
      </c>
      <c r="M129" t="s">
        <v>2074</v>
      </c>
      <c r="N129" t="s">
        <v>2074</v>
      </c>
      <c r="P129" s="1">
        <v>46098</v>
      </c>
      <c r="Q129" t="s">
        <v>2097</v>
      </c>
      <c r="R129" t="s">
        <v>1556</v>
      </c>
      <c r="S129" t="s">
        <v>2098</v>
      </c>
      <c r="U129">
        <v>0</v>
      </c>
      <c r="V129">
        <v>0</v>
      </c>
      <c r="X129" s="2">
        <v>46246.493402777778</v>
      </c>
      <c r="Y129" s="2">
        <v>46246.493402777778</v>
      </c>
      <c r="Z129" t="s">
        <v>2098</v>
      </c>
      <c r="AH129">
        <v>0</v>
      </c>
      <c r="AI129" t="s">
        <v>2099</v>
      </c>
    </row>
    <row r="130" spans="1:35" x14ac:dyDescent="0.35">
      <c r="A130" t="str">
        <f>"2501718075"</f>
        <v>2501718075</v>
      </c>
      <c r="B130" t="s">
        <v>1583</v>
      </c>
      <c r="C130" s="2">
        <v>46246.294953703706</v>
      </c>
      <c r="D130" t="s">
        <v>1536</v>
      </c>
      <c r="E130">
        <v>1</v>
      </c>
      <c r="F130">
        <v>2</v>
      </c>
      <c r="J130" t="s">
        <v>1934</v>
      </c>
      <c r="K130" t="str">
        <f>"521234"</f>
        <v>521234</v>
      </c>
      <c r="L130" s="1">
        <v>46246</v>
      </c>
      <c r="M130" t="s">
        <v>2074</v>
      </c>
      <c r="N130" t="s">
        <v>2074</v>
      </c>
      <c r="P130" s="1">
        <v>46098</v>
      </c>
      <c r="Q130" t="s">
        <v>2100</v>
      </c>
      <c r="R130" t="s">
        <v>1583</v>
      </c>
      <c r="S130" t="s">
        <v>1677</v>
      </c>
      <c r="U130">
        <v>0</v>
      </c>
      <c r="V130">
        <v>0</v>
      </c>
      <c r="X130" s="2">
        <v>46246.492696759262</v>
      </c>
      <c r="Y130" s="2">
        <v>46246.492696759262</v>
      </c>
      <c r="Z130" t="s">
        <v>1677</v>
      </c>
      <c r="AH130">
        <v>0</v>
      </c>
      <c r="AI130" t="s">
        <v>2101</v>
      </c>
    </row>
    <row r="131" spans="1:35" x14ac:dyDescent="0.35">
      <c r="A131" t="str">
        <f>"2501718063"</f>
        <v>2501718063</v>
      </c>
      <c r="B131" t="s">
        <v>1629</v>
      </c>
      <c r="C131" s="2">
        <v>46245.292199074072</v>
      </c>
      <c r="D131" t="s">
        <v>1536</v>
      </c>
      <c r="E131">
        <v>1</v>
      </c>
      <c r="F131">
        <v>1</v>
      </c>
      <c r="J131" t="s">
        <v>1934</v>
      </c>
      <c r="K131" t="str">
        <f>"521237"</f>
        <v>521237</v>
      </c>
      <c r="L131" s="1">
        <v>46245</v>
      </c>
      <c r="M131" t="s">
        <v>2074</v>
      </c>
      <c r="N131" t="s">
        <v>2074</v>
      </c>
      <c r="P131" s="1">
        <v>46098</v>
      </c>
      <c r="Q131" t="s">
        <v>2102</v>
      </c>
      <c r="R131" t="s">
        <v>1629</v>
      </c>
      <c r="S131" t="s">
        <v>1586</v>
      </c>
      <c r="U131">
        <v>0</v>
      </c>
      <c r="V131">
        <v>0</v>
      </c>
      <c r="X131" s="2">
        <v>46245.439409722225</v>
      </c>
      <c r="Y131" s="2">
        <v>46245.439409722225</v>
      </c>
      <c r="Z131" t="s">
        <v>1586</v>
      </c>
      <c r="AH131">
        <v>0</v>
      </c>
      <c r="AI131" t="str">
        <f>"505418472"</f>
        <v>505418472</v>
      </c>
    </row>
    <row r="132" spans="1:35" x14ac:dyDescent="0.35">
      <c r="A132" t="str">
        <f>"2501718056"</f>
        <v>2501718056</v>
      </c>
      <c r="B132" t="s">
        <v>1583</v>
      </c>
      <c r="C132" s="2">
        <v>46245.292199074072</v>
      </c>
      <c r="D132" t="s">
        <v>1536</v>
      </c>
      <c r="E132">
        <v>1</v>
      </c>
      <c r="F132">
        <v>3</v>
      </c>
      <c r="J132" t="s">
        <v>1934</v>
      </c>
      <c r="K132" t="str">
        <f>"521234"</f>
        <v>521234</v>
      </c>
      <c r="L132" s="1">
        <v>46245</v>
      </c>
      <c r="M132" t="s">
        <v>2074</v>
      </c>
      <c r="N132" t="s">
        <v>2074</v>
      </c>
      <c r="P132" s="1">
        <v>46098</v>
      </c>
      <c r="Q132" t="s">
        <v>2103</v>
      </c>
      <c r="R132" t="s">
        <v>1583</v>
      </c>
      <c r="S132" t="s">
        <v>1797</v>
      </c>
      <c r="U132">
        <v>0</v>
      </c>
      <c r="V132">
        <v>0</v>
      </c>
      <c r="X132" s="2">
        <v>46245.438969907409</v>
      </c>
      <c r="Y132" s="2">
        <v>46245.438969907409</v>
      </c>
      <c r="Z132" t="s">
        <v>1797</v>
      </c>
      <c r="AH132">
        <v>0</v>
      </c>
      <c r="AI132" t="s">
        <v>2104</v>
      </c>
    </row>
    <row r="133" spans="1:35" x14ac:dyDescent="0.35">
      <c r="A133" t="str">
        <f>"2501718066"</f>
        <v>2501718066</v>
      </c>
      <c r="B133" t="s">
        <v>1875</v>
      </c>
      <c r="C133" s="2">
        <v>46244.628217592595</v>
      </c>
      <c r="D133" t="s">
        <v>1536</v>
      </c>
      <c r="E133">
        <v>5</v>
      </c>
      <c r="F133">
        <v>58</v>
      </c>
      <c r="J133" t="s">
        <v>1934</v>
      </c>
      <c r="K133" t="str">
        <f>"521187"</f>
        <v>521187</v>
      </c>
      <c r="L133" s="1">
        <v>46244</v>
      </c>
      <c r="M133" t="s">
        <v>2074</v>
      </c>
      <c r="N133" t="s">
        <v>2074</v>
      </c>
      <c r="P133" s="1">
        <v>46098</v>
      </c>
      <c r="Q133" t="str">
        <f>"4600071614"</f>
        <v>4600071614</v>
      </c>
      <c r="R133" t="s">
        <v>1875</v>
      </c>
      <c r="S133" t="s">
        <v>1677</v>
      </c>
      <c r="U133">
        <v>0</v>
      </c>
      <c r="V133">
        <v>0</v>
      </c>
      <c r="X133" s="2">
        <v>46245.490405092591</v>
      </c>
      <c r="Y133" s="2">
        <v>46245.490405092591</v>
      </c>
      <c r="Z133" t="s">
        <v>1677</v>
      </c>
      <c r="AH133">
        <v>0</v>
      </c>
      <c r="AI133" t="str">
        <f>"570370295"</f>
        <v>570370295</v>
      </c>
    </row>
    <row r="134" spans="1:35" x14ac:dyDescent="0.35">
      <c r="A134" t="str">
        <f>"2501718051"</f>
        <v>2501718051</v>
      </c>
      <c r="B134" t="s">
        <v>2105</v>
      </c>
      <c r="C134" s="2">
        <v>46243.658472222225</v>
      </c>
      <c r="D134" t="s">
        <v>1536</v>
      </c>
      <c r="E134">
        <v>1</v>
      </c>
      <c r="F134">
        <v>24</v>
      </c>
      <c r="J134" t="s">
        <v>1934</v>
      </c>
      <c r="K134" t="str">
        <f>"520202"</f>
        <v>520202</v>
      </c>
      <c r="L134" s="1">
        <v>46243</v>
      </c>
      <c r="M134" t="s">
        <v>2074</v>
      </c>
      <c r="N134" t="s">
        <v>2074</v>
      </c>
      <c r="P134" s="1">
        <v>46098</v>
      </c>
      <c r="Q134" t="s">
        <v>2106</v>
      </c>
      <c r="R134" t="s">
        <v>2105</v>
      </c>
      <c r="S134" t="s">
        <v>1586</v>
      </c>
      <c r="U134">
        <v>0</v>
      </c>
      <c r="V134">
        <v>0</v>
      </c>
      <c r="X134" s="2">
        <v>46244.401863425926</v>
      </c>
      <c r="Y134" s="2">
        <v>46244.401863425926</v>
      </c>
      <c r="Z134" t="s">
        <v>1586</v>
      </c>
      <c r="AH134">
        <v>0</v>
      </c>
      <c r="AI134" t="str">
        <f>"550629565"</f>
        <v>550629565</v>
      </c>
    </row>
    <row r="135" spans="1:35" x14ac:dyDescent="0.35">
      <c r="A135" t="str">
        <f>"2501718048"</f>
        <v>2501718048</v>
      </c>
      <c r="B135" t="s">
        <v>1583</v>
      </c>
      <c r="C135" s="2">
        <v>46242.302256944444</v>
      </c>
      <c r="D135" t="s">
        <v>1536</v>
      </c>
      <c r="E135">
        <v>2</v>
      </c>
      <c r="F135">
        <v>6</v>
      </c>
      <c r="J135" t="s">
        <v>1934</v>
      </c>
      <c r="K135" t="str">
        <f>"521234"</f>
        <v>521234</v>
      </c>
      <c r="L135" s="1">
        <v>46242</v>
      </c>
      <c r="M135" t="s">
        <v>2074</v>
      </c>
      <c r="N135" t="s">
        <v>2074</v>
      </c>
      <c r="P135" s="1">
        <v>46098</v>
      </c>
      <c r="Q135" t="s">
        <v>2107</v>
      </c>
      <c r="R135" t="s">
        <v>1583</v>
      </c>
      <c r="S135" t="s">
        <v>2108</v>
      </c>
      <c r="U135">
        <v>0</v>
      </c>
      <c r="V135">
        <v>0</v>
      </c>
      <c r="X135" s="2">
        <v>46242.338171296295</v>
      </c>
      <c r="Y135" s="2">
        <v>46242.338171296295</v>
      </c>
      <c r="Z135" t="s">
        <v>2108</v>
      </c>
      <c r="AH135">
        <v>0</v>
      </c>
      <c r="AI135" t="str">
        <f>"578505987"</f>
        <v>578505987</v>
      </c>
    </row>
    <row r="136" spans="1:35" x14ac:dyDescent="0.35">
      <c r="A136" t="str">
        <f>"2501718043"</f>
        <v>2501718043</v>
      </c>
      <c r="B136" t="s">
        <v>1583</v>
      </c>
      <c r="C136" s="2">
        <v>46240.609849537039</v>
      </c>
      <c r="D136" t="s">
        <v>1536</v>
      </c>
      <c r="E136">
        <v>1</v>
      </c>
      <c r="F136">
        <v>2</v>
      </c>
      <c r="J136" t="s">
        <v>1934</v>
      </c>
      <c r="K136" t="str">
        <f>"521234"</f>
        <v>521234</v>
      </c>
      <c r="L136" s="1">
        <v>46240</v>
      </c>
      <c r="M136" t="s">
        <v>2074</v>
      </c>
      <c r="N136" t="s">
        <v>2074</v>
      </c>
      <c r="P136" s="1">
        <v>46098</v>
      </c>
      <c r="Q136" t="s">
        <v>2109</v>
      </c>
      <c r="R136" t="s">
        <v>1583</v>
      </c>
      <c r="S136" t="s">
        <v>2108</v>
      </c>
      <c r="U136">
        <v>0</v>
      </c>
      <c r="V136">
        <v>0</v>
      </c>
      <c r="X136" s="2">
        <v>46242.338171296295</v>
      </c>
      <c r="Y136" s="2">
        <v>46242.338171296295</v>
      </c>
      <c r="Z136" t="s">
        <v>2108</v>
      </c>
      <c r="AH136">
        <v>0</v>
      </c>
      <c r="AI136" t="str">
        <f>"578505987"</f>
        <v>578505987</v>
      </c>
    </row>
    <row r="137" spans="1:35" x14ac:dyDescent="0.35">
      <c r="A137" t="str">
        <f>"2501718038"</f>
        <v>2501718038</v>
      </c>
      <c r="B137" t="s">
        <v>2110</v>
      </c>
      <c r="C137" s="2">
        <v>46239.63652777778</v>
      </c>
      <c r="D137" t="s">
        <v>1536</v>
      </c>
      <c r="E137">
        <v>1</v>
      </c>
      <c r="F137">
        <v>30</v>
      </c>
      <c r="J137" t="s">
        <v>1934</v>
      </c>
      <c r="K137" t="str">
        <f>"521147"</f>
        <v>521147</v>
      </c>
      <c r="L137" s="1">
        <v>46239</v>
      </c>
      <c r="M137" t="s">
        <v>2074</v>
      </c>
      <c r="N137" t="s">
        <v>2074</v>
      </c>
      <c r="P137" s="1">
        <v>46098</v>
      </c>
      <c r="Q137" t="str">
        <f>"2"</f>
        <v>2</v>
      </c>
      <c r="R137" t="s">
        <v>2110</v>
      </c>
      <c r="S137" t="s">
        <v>2111</v>
      </c>
      <c r="U137">
        <v>0</v>
      </c>
      <c r="V137">
        <v>0</v>
      </c>
      <c r="X137" s="2">
        <v>46240.365555555552</v>
      </c>
      <c r="Y137" s="2">
        <v>46240.365555555552</v>
      </c>
      <c r="Z137" t="s">
        <v>2111</v>
      </c>
      <c r="AH137">
        <v>0</v>
      </c>
      <c r="AI137" t="str">
        <f>"580555569"</f>
        <v>580555569</v>
      </c>
    </row>
    <row r="138" spans="1:35" x14ac:dyDescent="0.35">
      <c r="A138" t="str">
        <f>"2501718036"</f>
        <v>2501718036</v>
      </c>
      <c r="B138" t="s">
        <v>1556</v>
      </c>
      <c r="C138" s="2">
        <v>46239.628020833334</v>
      </c>
      <c r="D138" t="s">
        <v>1536</v>
      </c>
      <c r="E138">
        <v>1</v>
      </c>
      <c r="F138">
        <v>104</v>
      </c>
      <c r="J138" t="s">
        <v>1934</v>
      </c>
      <c r="K138" t="str">
        <f>"521161"</f>
        <v>521161</v>
      </c>
      <c r="L138" s="1">
        <v>46239</v>
      </c>
      <c r="M138" t="s">
        <v>2074</v>
      </c>
      <c r="N138" t="s">
        <v>2074</v>
      </c>
      <c r="P138" s="1">
        <v>46098</v>
      </c>
      <c r="Q138" t="s">
        <v>2112</v>
      </c>
      <c r="R138" t="s">
        <v>1556</v>
      </c>
      <c r="S138" t="s">
        <v>2113</v>
      </c>
      <c r="U138">
        <v>0</v>
      </c>
      <c r="V138">
        <v>0</v>
      </c>
      <c r="X138" s="2">
        <v>46240.384247685186</v>
      </c>
      <c r="Y138" s="2">
        <v>46240.384247685186</v>
      </c>
      <c r="Z138" t="s">
        <v>2113</v>
      </c>
      <c r="AH138">
        <v>0</v>
      </c>
      <c r="AI138" t="str">
        <f>"542459410"</f>
        <v>542459410</v>
      </c>
    </row>
    <row r="139" spans="1:35" x14ac:dyDescent="0.35">
      <c r="A139" t="str">
        <f>"2501718035"</f>
        <v>2501718035</v>
      </c>
      <c r="B139" t="s">
        <v>1556</v>
      </c>
      <c r="C139" s="2">
        <v>46239.628020833334</v>
      </c>
      <c r="D139" t="s">
        <v>1536</v>
      </c>
      <c r="E139">
        <v>1</v>
      </c>
      <c r="F139">
        <v>52</v>
      </c>
      <c r="J139" t="s">
        <v>1934</v>
      </c>
      <c r="K139" t="str">
        <f>"521161"</f>
        <v>521161</v>
      </c>
      <c r="L139" s="1">
        <v>46239</v>
      </c>
      <c r="M139" t="s">
        <v>2074</v>
      </c>
      <c r="N139" t="s">
        <v>2074</v>
      </c>
      <c r="P139" s="1">
        <v>46098</v>
      </c>
      <c r="Q139" t="s">
        <v>2114</v>
      </c>
      <c r="R139" t="s">
        <v>1556</v>
      </c>
      <c r="S139" t="s">
        <v>2115</v>
      </c>
      <c r="U139">
        <v>0</v>
      </c>
      <c r="V139">
        <v>0</v>
      </c>
      <c r="X139" s="2">
        <v>46240.384247685186</v>
      </c>
      <c r="Y139" s="2">
        <v>46240.384247685186</v>
      </c>
      <c r="Z139" t="s">
        <v>2115</v>
      </c>
      <c r="AH139">
        <v>0</v>
      </c>
      <c r="AI139" t="s">
        <v>2116</v>
      </c>
    </row>
    <row r="140" spans="1:35" x14ac:dyDescent="0.35">
      <c r="A140" t="str">
        <f>"2501718034"</f>
        <v>2501718034</v>
      </c>
      <c r="B140" t="s">
        <v>2110</v>
      </c>
      <c r="C140" s="2">
        <v>46239.628020833334</v>
      </c>
      <c r="D140" t="s">
        <v>1536</v>
      </c>
      <c r="E140">
        <v>1</v>
      </c>
      <c r="F140">
        <v>50</v>
      </c>
      <c r="J140" t="s">
        <v>1934</v>
      </c>
      <c r="K140" t="str">
        <f>"521147"</f>
        <v>521147</v>
      </c>
      <c r="L140" s="1">
        <v>46239</v>
      </c>
      <c r="M140" t="s">
        <v>2074</v>
      </c>
      <c r="N140" t="s">
        <v>2074</v>
      </c>
      <c r="P140" s="1">
        <v>46098</v>
      </c>
      <c r="Q140" t="str">
        <f>"2"</f>
        <v>2</v>
      </c>
      <c r="R140" t="s">
        <v>2110</v>
      </c>
      <c r="S140" t="s">
        <v>2111</v>
      </c>
      <c r="U140">
        <v>0</v>
      </c>
      <c r="V140">
        <v>0</v>
      </c>
      <c r="X140" s="2">
        <v>46240.365555555552</v>
      </c>
      <c r="Y140" s="2">
        <v>46240.365555555552</v>
      </c>
      <c r="Z140" t="s">
        <v>2111</v>
      </c>
      <c r="AH140">
        <v>0</v>
      </c>
      <c r="AI140" t="str">
        <f>"580555569"</f>
        <v>580555569</v>
      </c>
    </row>
    <row r="141" spans="1:35" x14ac:dyDescent="0.35">
      <c r="A141" t="str">
        <f>"2501718030"</f>
        <v>2501718030</v>
      </c>
      <c r="B141" t="s">
        <v>1852</v>
      </c>
      <c r="C141" s="2">
        <v>46239.628020833334</v>
      </c>
      <c r="D141" t="s">
        <v>1536</v>
      </c>
      <c r="E141">
        <v>1</v>
      </c>
      <c r="F141">
        <v>1</v>
      </c>
      <c r="J141" t="s">
        <v>1934</v>
      </c>
      <c r="K141" t="str">
        <f>"521115"</f>
        <v>521115</v>
      </c>
      <c r="L141" s="1">
        <v>46239</v>
      </c>
      <c r="M141" t="s">
        <v>2074</v>
      </c>
      <c r="N141" t="s">
        <v>2074</v>
      </c>
      <c r="P141" s="1">
        <v>46098</v>
      </c>
      <c r="Q141" t="s">
        <v>2117</v>
      </c>
      <c r="R141" t="s">
        <v>1852</v>
      </c>
      <c r="S141" t="s">
        <v>1797</v>
      </c>
      <c r="U141">
        <v>0</v>
      </c>
      <c r="V141">
        <v>0</v>
      </c>
      <c r="X141" s="2">
        <v>46240.339305555557</v>
      </c>
      <c r="Y141" s="2">
        <v>46240.339305555557</v>
      </c>
      <c r="Z141" t="s">
        <v>1797</v>
      </c>
      <c r="AH141">
        <v>0</v>
      </c>
      <c r="AI141" t="str">
        <f>"502363055"</f>
        <v>502363055</v>
      </c>
    </row>
    <row r="142" spans="1:35" x14ac:dyDescent="0.35">
      <c r="A142" t="str">
        <f>"2501718029"</f>
        <v>2501718029</v>
      </c>
      <c r="B142" t="s">
        <v>2105</v>
      </c>
      <c r="C142" s="2">
        <v>46239.628009259257</v>
      </c>
      <c r="D142" t="s">
        <v>1536</v>
      </c>
      <c r="E142">
        <v>1</v>
      </c>
      <c r="F142">
        <v>24</v>
      </c>
      <c r="J142" t="s">
        <v>1934</v>
      </c>
      <c r="K142" t="str">
        <f>"520202"</f>
        <v>520202</v>
      </c>
      <c r="L142" s="1">
        <v>46239</v>
      </c>
      <c r="M142" t="s">
        <v>2074</v>
      </c>
      <c r="N142" t="s">
        <v>2074</v>
      </c>
      <c r="P142" s="1">
        <v>46098</v>
      </c>
      <c r="Q142" t="s">
        <v>2118</v>
      </c>
      <c r="R142" t="s">
        <v>2105</v>
      </c>
      <c r="S142" t="s">
        <v>1586</v>
      </c>
      <c r="U142">
        <v>0</v>
      </c>
      <c r="V142">
        <v>0</v>
      </c>
      <c r="X142" s="2">
        <v>46240.353622685187</v>
      </c>
      <c r="Y142" s="2">
        <v>46240.353622685187</v>
      </c>
      <c r="Z142" t="s">
        <v>1586</v>
      </c>
      <c r="AH142">
        <v>0</v>
      </c>
      <c r="AI142" t="s">
        <v>2119</v>
      </c>
    </row>
    <row r="143" spans="1:35" x14ac:dyDescent="0.35">
      <c r="A143" t="str">
        <f>"2501718021"</f>
        <v>2501718021</v>
      </c>
      <c r="B143" t="s">
        <v>1556</v>
      </c>
      <c r="C143" s="2">
        <v>46238.584756944445</v>
      </c>
      <c r="D143" t="s">
        <v>1536</v>
      </c>
      <c r="E143">
        <v>1</v>
      </c>
      <c r="F143">
        <v>10</v>
      </c>
      <c r="J143" t="s">
        <v>1934</v>
      </c>
      <c r="K143" t="str">
        <f>"521161"</f>
        <v>521161</v>
      </c>
      <c r="L143" s="1">
        <v>46238</v>
      </c>
      <c r="M143" t="s">
        <v>2074</v>
      </c>
      <c r="N143" t="s">
        <v>2074</v>
      </c>
      <c r="P143" s="1">
        <v>46098</v>
      </c>
      <c r="Q143" t="s">
        <v>2120</v>
      </c>
      <c r="R143" t="s">
        <v>1556</v>
      </c>
      <c r="S143" t="s">
        <v>2121</v>
      </c>
      <c r="U143">
        <v>0</v>
      </c>
      <c r="V143">
        <v>0</v>
      </c>
      <c r="X143" s="2">
        <v>46239.307453703703</v>
      </c>
      <c r="Y143" s="2">
        <v>46239.307453703703</v>
      </c>
      <c r="Z143" t="s">
        <v>2121</v>
      </c>
      <c r="AH143">
        <v>0</v>
      </c>
      <c r="AI143" t="str">
        <f>"530719008"</f>
        <v>530719008</v>
      </c>
    </row>
    <row r="144" spans="1:35" x14ac:dyDescent="0.35">
      <c r="A144" t="str">
        <f>"2501718020"</f>
        <v>2501718020</v>
      </c>
      <c r="B144" t="s">
        <v>1556</v>
      </c>
      <c r="C144" s="2">
        <v>46238.584756944445</v>
      </c>
      <c r="D144" t="s">
        <v>1536</v>
      </c>
      <c r="E144">
        <v>1</v>
      </c>
      <c r="F144">
        <v>40</v>
      </c>
      <c r="J144" t="s">
        <v>1934</v>
      </c>
      <c r="K144" t="str">
        <f>"521161"</f>
        <v>521161</v>
      </c>
      <c r="L144" s="1">
        <v>46238</v>
      </c>
      <c r="M144" t="s">
        <v>2074</v>
      </c>
      <c r="N144" t="s">
        <v>2074</v>
      </c>
      <c r="P144" s="1">
        <v>46098</v>
      </c>
      <c r="Q144" t="s">
        <v>2122</v>
      </c>
      <c r="R144" t="s">
        <v>1556</v>
      </c>
      <c r="S144" t="s">
        <v>1911</v>
      </c>
      <c r="U144">
        <v>0</v>
      </c>
      <c r="V144">
        <v>0</v>
      </c>
      <c r="X144" s="2">
        <v>46239.307453703703</v>
      </c>
      <c r="Y144" s="2">
        <v>46239.307453703703</v>
      </c>
      <c r="Z144" t="s">
        <v>1911</v>
      </c>
      <c r="AH144">
        <v>0</v>
      </c>
      <c r="AI144" t="str">
        <f>"502916297"</f>
        <v>502916297</v>
      </c>
    </row>
    <row r="145" spans="1:35" x14ac:dyDescent="0.35">
      <c r="A145" t="str">
        <f>"2501718019"</f>
        <v>2501718019</v>
      </c>
      <c r="B145" t="s">
        <v>1875</v>
      </c>
      <c r="C145" s="2">
        <v>46238.425347222219</v>
      </c>
      <c r="D145" t="s">
        <v>1536</v>
      </c>
      <c r="E145">
        <v>1</v>
      </c>
      <c r="F145">
        <v>4</v>
      </c>
      <c r="J145" t="s">
        <v>1934</v>
      </c>
      <c r="K145" t="str">
        <f>"521187"</f>
        <v>521187</v>
      </c>
      <c r="L145" s="1">
        <v>46238</v>
      </c>
      <c r="M145" t="s">
        <v>2074</v>
      </c>
      <c r="N145" t="s">
        <v>2074</v>
      </c>
      <c r="P145" s="1">
        <v>46098</v>
      </c>
      <c r="Q145" t="str">
        <f>"4600070586"</f>
        <v>4600070586</v>
      </c>
      <c r="R145" t="s">
        <v>1875</v>
      </c>
      <c r="S145" t="s">
        <v>1677</v>
      </c>
      <c r="U145">
        <v>0</v>
      </c>
      <c r="V145">
        <v>0</v>
      </c>
      <c r="X145" s="2">
        <v>46238.444444444445</v>
      </c>
      <c r="Y145" s="2">
        <v>46238.444444444445</v>
      </c>
      <c r="Z145" t="s">
        <v>1677</v>
      </c>
      <c r="AH145">
        <v>0</v>
      </c>
      <c r="AI145" t="str">
        <f>"541334828"</f>
        <v>541334828</v>
      </c>
    </row>
    <row r="146" spans="1:35" x14ac:dyDescent="0.35">
      <c r="A146" t="str">
        <f>"2501718009"</f>
        <v>2501718009</v>
      </c>
      <c r="B146" t="s">
        <v>1715</v>
      </c>
      <c r="C146" s="2">
        <v>46236.638749999998</v>
      </c>
      <c r="D146" t="s">
        <v>1536</v>
      </c>
      <c r="E146">
        <v>1</v>
      </c>
      <c r="F146">
        <v>10</v>
      </c>
      <c r="J146" t="s">
        <v>1934</v>
      </c>
      <c r="K146" t="str">
        <f>"520617"</f>
        <v>520617</v>
      </c>
      <c r="L146" s="1">
        <v>46236</v>
      </c>
      <c r="M146" t="s">
        <v>2074</v>
      </c>
      <c r="N146" t="s">
        <v>2074</v>
      </c>
      <c r="P146" s="1">
        <v>46098</v>
      </c>
      <c r="Q146" t="s">
        <v>2123</v>
      </c>
      <c r="R146" t="s">
        <v>1715</v>
      </c>
      <c r="S146" t="s">
        <v>1797</v>
      </c>
      <c r="U146">
        <v>0</v>
      </c>
      <c r="V146">
        <v>0</v>
      </c>
      <c r="X146" s="2">
        <v>46237.407847222225</v>
      </c>
      <c r="Y146" s="2">
        <v>46237.407847222225</v>
      </c>
      <c r="Z146" t="s">
        <v>1797</v>
      </c>
      <c r="AH146">
        <v>0</v>
      </c>
      <c r="AI146" t="str">
        <f>"594163239"</f>
        <v>594163239</v>
      </c>
    </row>
    <row r="147" spans="1:35" x14ac:dyDescent="0.35">
      <c r="A147" t="str">
        <f>"2501718003"</f>
        <v>2501718003</v>
      </c>
      <c r="B147" t="s">
        <v>1681</v>
      </c>
      <c r="C147" s="2">
        <v>46236.638749999998</v>
      </c>
      <c r="D147" t="s">
        <v>1536</v>
      </c>
      <c r="E147">
        <v>1</v>
      </c>
      <c r="F147">
        <v>50</v>
      </c>
      <c r="J147" t="s">
        <v>1934</v>
      </c>
      <c r="K147" t="str">
        <f>"521152"</f>
        <v>521152</v>
      </c>
      <c r="L147" s="1">
        <v>46236</v>
      </c>
      <c r="M147" t="s">
        <v>2074</v>
      </c>
      <c r="N147" t="s">
        <v>2074</v>
      </c>
      <c r="P147" s="1">
        <v>46098</v>
      </c>
      <c r="Q147" t="str">
        <f>"100032"</f>
        <v>100032</v>
      </c>
      <c r="R147" t="s">
        <v>1681</v>
      </c>
      <c r="S147" t="s">
        <v>1680</v>
      </c>
      <c r="U147">
        <v>0</v>
      </c>
      <c r="V147">
        <v>0</v>
      </c>
      <c r="X147" s="2">
        <v>46237.407384259262</v>
      </c>
      <c r="Y147" s="2">
        <v>46237.407384259262</v>
      </c>
      <c r="Z147" t="s">
        <v>1680</v>
      </c>
      <c r="AH147">
        <v>0</v>
      </c>
      <c r="AI147" t="str">
        <f>"530854390"</f>
        <v>530854390</v>
      </c>
    </row>
    <row r="148" spans="1:35" x14ac:dyDescent="0.35">
      <c r="A148" t="str">
        <f>"2501717987"</f>
        <v>2501717987</v>
      </c>
      <c r="B148" t="s">
        <v>1583</v>
      </c>
      <c r="C148" s="2">
        <v>46236.638749999998</v>
      </c>
      <c r="D148" t="s">
        <v>1536</v>
      </c>
      <c r="E148">
        <v>2</v>
      </c>
      <c r="F148">
        <v>5</v>
      </c>
      <c r="J148" t="s">
        <v>1934</v>
      </c>
      <c r="K148" t="str">
        <f>"521234"</f>
        <v>521234</v>
      </c>
      <c r="L148" s="1">
        <v>46236</v>
      </c>
      <c r="M148" t="s">
        <v>2074</v>
      </c>
      <c r="N148" t="s">
        <v>2074</v>
      </c>
      <c r="P148" s="1">
        <v>46098</v>
      </c>
      <c r="Q148" t="s">
        <v>2124</v>
      </c>
      <c r="R148" t="s">
        <v>1583</v>
      </c>
      <c r="S148" t="s">
        <v>2125</v>
      </c>
      <c r="U148">
        <v>0</v>
      </c>
      <c r="V148">
        <v>0</v>
      </c>
      <c r="X148" s="2">
        <v>46237.37300925926</v>
      </c>
      <c r="Y148" s="2">
        <v>46237.37300925926</v>
      </c>
      <c r="Z148" t="s">
        <v>2125</v>
      </c>
      <c r="AH148">
        <v>0</v>
      </c>
      <c r="AI148" t="s">
        <v>2126</v>
      </c>
    </row>
    <row r="149" spans="1:35" x14ac:dyDescent="0.35">
      <c r="A149" t="str">
        <f>"2501718010"</f>
        <v>2501718010</v>
      </c>
      <c r="B149" t="s">
        <v>1678</v>
      </c>
      <c r="C149" s="2">
        <v>46236.585069444445</v>
      </c>
      <c r="D149" t="s">
        <v>1536</v>
      </c>
      <c r="E149">
        <v>6</v>
      </c>
      <c r="F149">
        <v>258</v>
      </c>
      <c r="J149" t="s">
        <v>1934</v>
      </c>
      <c r="K149" t="str">
        <f>"520192"</f>
        <v>520192</v>
      </c>
      <c r="L149" s="1">
        <v>46236</v>
      </c>
      <c r="M149" t="s">
        <v>2074</v>
      </c>
      <c r="N149" t="s">
        <v>2074</v>
      </c>
      <c r="P149" s="1">
        <v>46098</v>
      </c>
      <c r="Q149" t="str">
        <f>"153"</f>
        <v>153</v>
      </c>
      <c r="R149" t="s">
        <v>1678</v>
      </c>
      <c r="S149" t="s">
        <v>1677</v>
      </c>
      <c r="U149">
        <v>0</v>
      </c>
      <c r="V149">
        <v>0</v>
      </c>
      <c r="X149" s="2">
        <v>46237.397893518515</v>
      </c>
      <c r="Y149" s="2">
        <v>46237.397893518515</v>
      </c>
      <c r="Z149" t="s">
        <v>1677</v>
      </c>
      <c r="AH149">
        <v>0</v>
      </c>
      <c r="AI149" t="str">
        <f>"537844168"</f>
        <v>537844168</v>
      </c>
    </row>
    <row r="150" spans="1:35" x14ac:dyDescent="0.35">
      <c r="A150" t="str">
        <f>"2501717986"</f>
        <v>2501717986</v>
      </c>
      <c r="B150" t="s">
        <v>1693</v>
      </c>
      <c r="C150" s="2">
        <v>46236.585069444445</v>
      </c>
      <c r="D150" t="s">
        <v>1536</v>
      </c>
      <c r="E150">
        <v>3</v>
      </c>
      <c r="F150">
        <v>120</v>
      </c>
      <c r="J150" t="s">
        <v>1934</v>
      </c>
      <c r="K150" t="str">
        <f>"520609"</f>
        <v>520609</v>
      </c>
      <c r="L150" s="1">
        <v>46236</v>
      </c>
      <c r="M150" t="s">
        <v>2074</v>
      </c>
      <c r="N150" t="s">
        <v>2074</v>
      </c>
      <c r="P150" s="1">
        <v>46098</v>
      </c>
      <c r="Q150" t="str">
        <f>"4000177288"</f>
        <v>4000177288</v>
      </c>
      <c r="R150" t="s">
        <v>1693</v>
      </c>
      <c r="S150" t="s">
        <v>2127</v>
      </c>
      <c r="U150">
        <v>0</v>
      </c>
      <c r="V150">
        <v>0</v>
      </c>
      <c r="X150" s="2">
        <v>46237.404317129629</v>
      </c>
      <c r="Y150" s="2">
        <v>46237.404317129629</v>
      </c>
      <c r="Z150" t="s">
        <v>2127</v>
      </c>
      <c r="AH150">
        <v>0</v>
      </c>
      <c r="AI150" t="str">
        <f>"568808152"</f>
        <v>568808152</v>
      </c>
    </row>
    <row r="151" spans="1:35" x14ac:dyDescent="0.35">
      <c r="A151" t="str">
        <f>"2501717894"</f>
        <v>2501717894</v>
      </c>
      <c r="B151" t="s">
        <v>1560</v>
      </c>
      <c r="C151" s="2">
        <v>46236.39675925926</v>
      </c>
      <c r="D151" t="s">
        <v>1536</v>
      </c>
      <c r="E151">
        <v>1</v>
      </c>
      <c r="F151">
        <v>155</v>
      </c>
      <c r="J151" t="s">
        <v>1934</v>
      </c>
      <c r="K151" t="str">
        <f>"521088"</f>
        <v>521088</v>
      </c>
      <c r="L151" s="1">
        <v>46236</v>
      </c>
      <c r="M151" t="s">
        <v>2074</v>
      </c>
      <c r="N151" t="s">
        <v>2074</v>
      </c>
      <c r="P151" s="1">
        <v>46098</v>
      </c>
      <c r="Q151" t="s">
        <v>2128</v>
      </c>
      <c r="R151" t="s">
        <v>1560</v>
      </c>
      <c r="S151" t="s">
        <v>1559</v>
      </c>
      <c r="U151">
        <v>0</v>
      </c>
      <c r="V151">
        <v>0</v>
      </c>
      <c r="X151" s="2">
        <v>46236.445057870369</v>
      </c>
      <c r="Y151" s="2">
        <v>46236.445057870369</v>
      </c>
      <c r="Z151" t="s">
        <v>1559</v>
      </c>
      <c r="AH151">
        <v>0</v>
      </c>
    </row>
    <row r="152" spans="1:35" x14ac:dyDescent="0.35">
      <c r="A152" t="str">
        <f>"2501717962"</f>
        <v>2501717962</v>
      </c>
      <c r="B152" t="s">
        <v>1722</v>
      </c>
      <c r="C152" s="2">
        <v>46232.620462962965</v>
      </c>
      <c r="D152" t="s">
        <v>1536</v>
      </c>
      <c r="E152">
        <v>1</v>
      </c>
      <c r="F152">
        <v>29</v>
      </c>
      <c r="J152" t="s">
        <v>1934</v>
      </c>
      <c r="K152" t="str">
        <f>"521022"</f>
        <v>521022</v>
      </c>
      <c r="L152" s="1">
        <v>46232</v>
      </c>
      <c r="M152" t="s">
        <v>2074</v>
      </c>
      <c r="N152" t="s">
        <v>2074</v>
      </c>
      <c r="P152" s="1">
        <v>46098</v>
      </c>
      <c r="Q152" t="s">
        <v>2012</v>
      </c>
      <c r="R152" t="s">
        <v>1722</v>
      </c>
      <c r="S152" t="s">
        <v>1586</v>
      </c>
      <c r="U152">
        <v>0</v>
      </c>
      <c r="V152">
        <v>0</v>
      </c>
      <c r="X152" s="2">
        <v>46233.330914351849</v>
      </c>
      <c r="Y152" s="2">
        <v>46233.330914351849</v>
      </c>
      <c r="Z152" t="s">
        <v>1586</v>
      </c>
      <c r="AH152">
        <v>0</v>
      </c>
      <c r="AI152" t="s">
        <v>2013</v>
      </c>
    </row>
    <row r="153" spans="1:35" x14ac:dyDescent="0.35">
      <c r="A153" t="str">
        <f>"2501717948"</f>
        <v>2501717948</v>
      </c>
      <c r="B153" t="s">
        <v>1719</v>
      </c>
      <c r="C153" s="2">
        <v>46232.620462962965</v>
      </c>
      <c r="D153" t="s">
        <v>1536</v>
      </c>
      <c r="E153">
        <v>1</v>
      </c>
      <c r="F153">
        <v>104</v>
      </c>
      <c r="J153" t="s">
        <v>1934</v>
      </c>
      <c r="K153" t="str">
        <f>"520605"</f>
        <v>520605</v>
      </c>
      <c r="L153" s="1">
        <v>46232</v>
      </c>
      <c r="M153" t="s">
        <v>2074</v>
      </c>
      <c r="N153" t="s">
        <v>2074</v>
      </c>
      <c r="P153" s="1">
        <v>46098</v>
      </c>
      <c r="Q153" t="s">
        <v>2129</v>
      </c>
      <c r="R153" t="s">
        <v>1719</v>
      </c>
      <c r="S153" t="s">
        <v>1811</v>
      </c>
      <c r="U153">
        <v>0</v>
      </c>
      <c r="V153">
        <v>0</v>
      </c>
      <c r="X153" s="2">
        <v>46233.340474537035</v>
      </c>
      <c r="Y153" s="2">
        <v>46233.340474537035</v>
      </c>
      <c r="Z153" t="s">
        <v>1811</v>
      </c>
      <c r="AH153">
        <v>0</v>
      </c>
      <c r="AI153" t="str">
        <f>"545227739"</f>
        <v>545227739</v>
      </c>
    </row>
    <row r="154" spans="1:35" x14ac:dyDescent="0.35">
      <c r="A154" t="str">
        <f>"2501717947"</f>
        <v>2501717947</v>
      </c>
      <c r="B154" t="s">
        <v>1701</v>
      </c>
      <c r="C154" s="2">
        <v>46232.620462962965</v>
      </c>
      <c r="D154" t="s">
        <v>1536</v>
      </c>
      <c r="E154">
        <v>1</v>
      </c>
      <c r="F154">
        <v>4</v>
      </c>
      <c r="J154" t="s">
        <v>1934</v>
      </c>
      <c r="K154" t="str">
        <f>"520899"</f>
        <v>520899</v>
      </c>
      <c r="L154" s="1">
        <v>46232</v>
      </c>
      <c r="M154" t="s">
        <v>2074</v>
      </c>
      <c r="N154" t="s">
        <v>2074</v>
      </c>
      <c r="P154" s="1">
        <v>46098</v>
      </c>
      <c r="Q154" t="s">
        <v>2130</v>
      </c>
      <c r="R154" t="s">
        <v>1701</v>
      </c>
      <c r="S154" t="s">
        <v>1677</v>
      </c>
      <c r="U154">
        <v>0</v>
      </c>
      <c r="V154">
        <v>0</v>
      </c>
      <c r="X154" s="2">
        <v>46233.333124999997</v>
      </c>
      <c r="Y154" s="2">
        <v>46233.333124999997</v>
      </c>
      <c r="Z154" t="s">
        <v>1677</v>
      </c>
      <c r="AH154">
        <v>0</v>
      </c>
      <c r="AI154" t="str">
        <f>"543438858"</f>
        <v>543438858</v>
      </c>
    </row>
    <row r="155" spans="1:35" x14ac:dyDescent="0.35">
      <c r="A155" t="str">
        <f>"2501717950"</f>
        <v>2501717950</v>
      </c>
      <c r="B155" t="s">
        <v>1719</v>
      </c>
      <c r="C155" s="2">
        <v>46232.609814814816</v>
      </c>
      <c r="D155" t="s">
        <v>1536</v>
      </c>
      <c r="E155">
        <v>1</v>
      </c>
      <c r="F155">
        <v>504</v>
      </c>
      <c r="J155" t="s">
        <v>1934</v>
      </c>
      <c r="K155" t="str">
        <f>"520605"</f>
        <v>520605</v>
      </c>
      <c r="L155" s="1">
        <v>46232</v>
      </c>
      <c r="M155" t="s">
        <v>2074</v>
      </c>
      <c r="N155" t="s">
        <v>2074</v>
      </c>
      <c r="P155" s="1">
        <v>46098</v>
      </c>
      <c r="Q155" t="s">
        <v>2131</v>
      </c>
      <c r="R155" t="s">
        <v>1719</v>
      </c>
      <c r="S155" t="s">
        <v>2132</v>
      </c>
      <c r="U155">
        <v>0</v>
      </c>
      <c r="V155">
        <v>0</v>
      </c>
      <c r="X155" s="2">
        <v>46233.340474537035</v>
      </c>
      <c r="Y155" s="2">
        <v>46233.340474537035</v>
      </c>
      <c r="Z155" t="s">
        <v>2132</v>
      </c>
      <c r="AH155">
        <v>0</v>
      </c>
      <c r="AI155" t="s">
        <v>2133</v>
      </c>
    </row>
    <row r="156" spans="1:35" x14ac:dyDescent="0.35">
      <c r="A156" t="str">
        <f>"2501717949"</f>
        <v>2501717949</v>
      </c>
      <c r="B156" t="s">
        <v>1719</v>
      </c>
      <c r="C156" s="2">
        <v>46232.609803240739</v>
      </c>
      <c r="D156" t="s">
        <v>1536</v>
      </c>
      <c r="E156">
        <v>1</v>
      </c>
      <c r="F156">
        <v>600</v>
      </c>
      <c r="J156" t="s">
        <v>1934</v>
      </c>
      <c r="K156" t="str">
        <f>"520605"</f>
        <v>520605</v>
      </c>
      <c r="L156" s="1">
        <v>46232</v>
      </c>
      <c r="M156" t="s">
        <v>2074</v>
      </c>
      <c r="N156" t="s">
        <v>2074</v>
      </c>
      <c r="P156" s="1">
        <v>46098</v>
      </c>
      <c r="Q156" t="s">
        <v>2131</v>
      </c>
      <c r="R156" t="s">
        <v>1719</v>
      </c>
      <c r="S156" t="s">
        <v>2132</v>
      </c>
      <c r="U156">
        <v>0</v>
      </c>
      <c r="V156">
        <v>0</v>
      </c>
      <c r="X156" s="2">
        <v>46233.340474537035</v>
      </c>
      <c r="Y156" s="2">
        <v>46233.340474537035</v>
      </c>
      <c r="Z156" t="s">
        <v>2132</v>
      </c>
      <c r="AH156">
        <v>0</v>
      </c>
      <c r="AI156" t="s">
        <v>2133</v>
      </c>
    </row>
    <row r="157" spans="1:35" x14ac:dyDescent="0.35">
      <c r="A157" t="str">
        <f>"2501717898"</f>
        <v>2501717898</v>
      </c>
      <c r="B157" t="s">
        <v>2134</v>
      </c>
      <c r="C157" s="2">
        <v>46230.658148148148</v>
      </c>
      <c r="D157" t="s">
        <v>1536</v>
      </c>
      <c r="E157">
        <v>2</v>
      </c>
      <c r="F157">
        <v>2</v>
      </c>
      <c r="J157" t="s">
        <v>1934</v>
      </c>
      <c r="K157" t="str">
        <f>"521105"</f>
        <v>521105</v>
      </c>
      <c r="L157" s="1">
        <v>46230</v>
      </c>
      <c r="M157" t="s">
        <v>2074</v>
      </c>
      <c r="N157" t="s">
        <v>2074</v>
      </c>
      <c r="P157" s="1">
        <v>46098</v>
      </c>
      <c r="Q157" t="s">
        <v>2135</v>
      </c>
      <c r="R157" t="s">
        <v>2134</v>
      </c>
      <c r="S157" t="s">
        <v>2136</v>
      </c>
      <c r="U157">
        <v>0</v>
      </c>
      <c r="V157">
        <v>0</v>
      </c>
      <c r="X157" s="2">
        <v>46231.338969907411</v>
      </c>
      <c r="Y157" s="2">
        <v>46231.338969907411</v>
      </c>
      <c r="Z157" t="s">
        <v>2136</v>
      </c>
      <c r="AH157">
        <v>0</v>
      </c>
      <c r="AI157" t="str">
        <f>"570006565"</f>
        <v>570006565</v>
      </c>
    </row>
    <row r="158" spans="1:35" x14ac:dyDescent="0.35">
      <c r="A158" t="str">
        <f>"2501717897"</f>
        <v>2501717897</v>
      </c>
      <c r="B158" t="s">
        <v>1583</v>
      </c>
      <c r="C158" s="2">
        <v>46230.658148148148</v>
      </c>
      <c r="D158" t="s">
        <v>1536</v>
      </c>
      <c r="E158">
        <v>4</v>
      </c>
      <c r="F158">
        <v>6</v>
      </c>
      <c r="J158" t="s">
        <v>1934</v>
      </c>
      <c r="K158" t="str">
        <f>"521234"</f>
        <v>521234</v>
      </c>
      <c r="L158" s="1">
        <v>46230</v>
      </c>
      <c r="M158" t="s">
        <v>2074</v>
      </c>
      <c r="N158" t="s">
        <v>2074</v>
      </c>
      <c r="P158" s="1">
        <v>46098</v>
      </c>
      <c r="Q158" t="s">
        <v>2137</v>
      </c>
      <c r="R158" t="s">
        <v>1583</v>
      </c>
      <c r="S158" t="s">
        <v>2138</v>
      </c>
      <c r="U158">
        <v>0</v>
      </c>
      <c r="V158">
        <v>0</v>
      </c>
      <c r="X158" s="2">
        <v>46231.329398148147</v>
      </c>
      <c r="Y158" s="2">
        <v>46231.329398148147</v>
      </c>
      <c r="Z158" t="s">
        <v>2138</v>
      </c>
      <c r="AH158">
        <v>0</v>
      </c>
      <c r="AI158" t="str">
        <f>"510641521"</f>
        <v>510641521</v>
      </c>
    </row>
    <row r="159" spans="1:35" x14ac:dyDescent="0.35">
      <c r="A159" t="str">
        <f>"2501717893"</f>
        <v>2501717893</v>
      </c>
      <c r="B159" t="s">
        <v>2139</v>
      </c>
      <c r="C159" s="2">
        <v>46230.658148148148</v>
      </c>
      <c r="D159" t="s">
        <v>1536</v>
      </c>
      <c r="E159">
        <v>1</v>
      </c>
      <c r="F159">
        <v>8</v>
      </c>
      <c r="J159" t="s">
        <v>1934</v>
      </c>
      <c r="K159" t="str">
        <f>"520939"</f>
        <v>520939</v>
      </c>
      <c r="L159" s="1">
        <v>46230</v>
      </c>
      <c r="M159" t="s">
        <v>2074</v>
      </c>
      <c r="N159" t="s">
        <v>2074</v>
      </c>
      <c r="P159" s="1">
        <v>46098</v>
      </c>
      <c r="Q159" t="str">
        <f>"100024"</f>
        <v>100024</v>
      </c>
      <c r="R159" t="s">
        <v>2139</v>
      </c>
      <c r="S159" t="s">
        <v>2140</v>
      </c>
      <c r="U159">
        <v>0</v>
      </c>
      <c r="V159">
        <v>0</v>
      </c>
      <c r="X159" s="2">
        <v>46231.337893518517</v>
      </c>
      <c r="Y159" s="2">
        <v>46231.337893518517</v>
      </c>
      <c r="Z159" t="s">
        <v>2140</v>
      </c>
      <c r="AH159">
        <v>0</v>
      </c>
      <c r="AI159" t="str">
        <f>"507466338"</f>
        <v>507466338</v>
      </c>
    </row>
    <row r="160" spans="1:35" x14ac:dyDescent="0.35">
      <c r="A160" t="str">
        <f>"2501717892"</f>
        <v>2501717892</v>
      </c>
      <c r="B160" t="s">
        <v>1556</v>
      </c>
      <c r="C160" s="2">
        <v>46230.658148148148</v>
      </c>
      <c r="D160" t="s">
        <v>1536</v>
      </c>
      <c r="E160">
        <v>1</v>
      </c>
      <c r="F160">
        <v>20</v>
      </c>
      <c r="J160" t="s">
        <v>1934</v>
      </c>
      <c r="K160" t="str">
        <f>"521161"</f>
        <v>521161</v>
      </c>
      <c r="L160" s="1">
        <v>46230</v>
      </c>
      <c r="M160" t="s">
        <v>2074</v>
      </c>
      <c r="N160" t="s">
        <v>2074</v>
      </c>
      <c r="P160" s="1">
        <v>46098</v>
      </c>
      <c r="Q160" t="s">
        <v>2141</v>
      </c>
      <c r="R160" t="s">
        <v>1556</v>
      </c>
      <c r="S160" t="s">
        <v>2094</v>
      </c>
      <c r="U160">
        <v>0</v>
      </c>
      <c r="V160">
        <v>0</v>
      </c>
      <c r="X160" s="2">
        <v>46231.33625</v>
      </c>
      <c r="Y160" s="2">
        <v>46231.33625</v>
      </c>
      <c r="Z160" t="s">
        <v>2094</v>
      </c>
      <c r="AH160">
        <v>0</v>
      </c>
      <c r="AI160" t="s">
        <v>2142</v>
      </c>
    </row>
    <row r="161" spans="1:35" x14ac:dyDescent="0.35">
      <c r="A161" t="str">
        <f>"2501717890"</f>
        <v>2501717890</v>
      </c>
      <c r="B161" t="s">
        <v>1719</v>
      </c>
      <c r="C161" s="2">
        <v>46230.658148148148</v>
      </c>
      <c r="D161" t="s">
        <v>1536</v>
      </c>
      <c r="E161">
        <v>1</v>
      </c>
      <c r="F161">
        <v>2</v>
      </c>
      <c r="J161" t="s">
        <v>1934</v>
      </c>
      <c r="K161" t="str">
        <f>"520605"</f>
        <v>520605</v>
      </c>
      <c r="L161" s="1">
        <v>46230</v>
      </c>
      <c r="M161" t="s">
        <v>2074</v>
      </c>
      <c r="N161" t="s">
        <v>2074</v>
      </c>
      <c r="P161" s="1">
        <v>46098</v>
      </c>
      <c r="Q161" t="s">
        <v>2143</v>
      </c>
      <c r="R161" t="s">
        <v>1719</v>
      </c>
      <c r="S161" t="s">
        <v>1761</v>
      </c>
      <c r="U161">
        <v>0</v>
      </c>
      <c r="V161">
        <v>0</v>
      </c>
      <c r="X161" s="2">
        <v>46231.334143518521</v>
      </c>
      <c r="Y161" s="2">
        <v>46231.334143518521</v>
      </c>
      <c r="Z161" t="s">
        <v>1761</v>
      </c>
      <c r="AH161">
        <v>0</v>
      </c>
      <c r="AI161" t="s">
        <v>2026</v>
      </c>
    </row>
    <row r="162" spans="1:35" x14ac:dyDescent="0.35">
      <c r="A162" t="str">
        <f>"2501717889"</f>
        <v>2501717889</v>
      </c>
      <c r="B162" t="s">
        <v>1583</v>
      </c>
      <c r="C162" s="2">
        <v>46230.658148148148</v>
      </c>
      <c r="D162" t="s">
        <v>1536</v>
      </c>
      <c r="E162">
        <v>1</v>
      </c>
      <c r="F162">
        <v>4</v>
      </c>
      <c r="J162" t="s">
        <v>1934</v>
      </c>
      <c r="K162" t="str">
        <f>"521234"</f>
        <v>521234</v>
      </c>
      <c r="L162" s="1">
        <v>46230</v>
      </c>
      <c r="M162" t="s">
        <v>2074</v>
      </c>
      <c r="N162" t="s">
        <v>2074</v>
      </c>
      <c r="P162" s="1">
        <v>46098</v>
      </c>
      <c r="Q162" t="s">
        <v>2144</v>
      </c>
      <c r="R162" t="s">
        <v>1583</v>
      </c>
      <c r="S162" t="s">
        <v>1797</v>
      </c>
      <c r="U162">
        <v>0</v>
      </c>
      <c r="V162">
        <v>0</v>
      </c>
      <c r="X162" s="2">
        <v>46231.329398148147</v>
      </c>
      <c r="Y162" s="2">
        <v>46231.329398148147</v>
      </c>
      <c r="Z162" t="s">
        <v>1797</v>
      </c>
      <c r="AH162">
        <v>0</v>
      </c>
      <c r="AI162" t="s">
        <v>2145</v>
      </c>
    </row>
    <row r="163" spans="1:35" x14ac:dyDescent="0.35">
      <c r="A163" t="str">
        <f>"2501717888"</f>
        <v>2501717888</v>
      </c>
      <c r="B163" t="s">
        <v>1583</v>
      </c>
      <c r="C163" s="2">
        <v>46230.658136574071</v>
      </c>
      <c r="D163" t="s">
        <v>1536</v>
      </c>
      <c r="E163">
        <v>1</v>
      </c>
      <c r="F163">
        <v>1</v>
      </c>
      <c r="J163" t="s">
        <v>1934</v>
      </c>
      <c r="K163" t="str">
        <f>"521234"</f>
        <v>521234</v>
      </c>
      <c r="L163" s="1">
        <v>46230</v>
      </c>
      <c r="M163" t="s">
        <v>2074</v>
      </c>
      <c r="N163" t="s">
        <v>2074</v>
      </c>
      <c r="P163" s="1">
        <v>46098</v>
      </c>
      <c r="Q163" t="s">
        <v>2146</v>
      </c>
      <c r="R163" t="s">
        <v>1583</v>
      </c>
      <c r="S163" t="s">
        <v>2147</v>
      </c>
      <c r="U163">
        <v>0</v>
      </c>
      <c r="V163">
        <v>0</v>
      </c>
      <c r="X163" s="2">
        <v>46231.329398148147</v>
      </c>
      <c r="Y163" s="2">
        <v>46231.329398148147</v>
      </c>
      <c r="Z163" t="s">
        <v>2147</v>
      </c>
      <c r="AH163">
        <v>0</v>
      </c>
      <c r="AI163" t="str">
        <f>"578505987"</f>
        <v>578505987</v>
      </c>
    </row>
    <row r="164" spans="1:35" x14ac:dyDescent="0.35">
      <c r="A164" t="str">
        <f>"2501717887"</f>
        <v>2501717887</v>
      </c>
      <c r="B164" t="s">
        <v>1583</v>
      </c>
      <c r="C164" s="2">
        <v>46230.658136574071</v>
      </c>
      <c r="D164" t="s">
        <v>1536</v>
      </c>
      <c r="E164">
        <v>1</v>
      </c>
      <c r="F164">
        <v>10</v>
      </c>
      <c r="J164" t="s">
        <v>1934</v>
      </c>
      <c r="K164" t="str">
        <f>"521234"</f>
        <v>521234</v>
      </c>
      <c r="L164" s="1">
        <v>46230</v>
      </c>
      <c r="M164" t="s">
        <v>2074</v>
      </c>
      <c r="N164" t="s">
        <v>2074</v>
      </c>
      <c r="P164" s="1">
        <v>46098</v>
      </c>
      <c r="Q164" t="s">
        <v>2148</v>
      </c>
      <c r="R164" t="s">
        <v>1583</v>
      </c>
      <c r="S164" t="s">
        <v>2147</v>
      </c>
      <c r="U164">
        <v>0</v>
      </c>
      <c r="V164">
        <v>0</v>
      </c>
      <c r="X164" s="2">
        <v>46231.329398148147</v>
      </c>
      <c r="Y164" s="2">
        <v>46231.329398148147</v>
      </c>
      <c r="Z164" t="s">
        <v>2147</v>
      </c>
      <c r="AH164">
        <v>0</v>
      </c>
      <c r="AI164" t="str">
        <f>"578505987"</f>
        <v>578505987</v>
      </c>
    </row>
    <row r="165" spans="1:35" x14ac:dyDescent="0.35">
      <c r="A165" t="str">
        <f>"2501717895"</f>
        <v>2501717895</v>
      </c>
      <c r="B165" t="s">
        <v>1883</v>
      </c>
      <c r="C165" s="2">
        <v>46230.633518518516</v>
      </c>
      <c r="D165" t="s">
        <v>1536</v>
      </c>
      <c r="E165">
        <v>6</v>
      </c>
      <c r="F165">
        <v>300</v>
      </c>
      <c r="J165" t="s">
        <v>1934</v>
      </c>
      <c r="K165" t="str">
        <f>"521181"</f>
        <v>521181</v>
      </c>
      <c r="L165" s="1">
        <v>46230</v>
      </c>
      <c r="M165" t="s">
        <v>2074</v>
      </c>
      <c r="N165" t="s">
        <v>2074</v>
      </c>
      <c r="P165" s="1">
        <v>46098</v>
      </c>
      <c r="Q165" t="s">
        <v>2149</v>
      </c>
      <c r="R165" t="s">
        <v>1883</v>
      </c>
      <c r="S165" t="s">
        <v>1677</v>
      </c>
      <c r="U165">
        <v>0</v>
      </c>
      <c r="V165">
        <v>0</v>
      </c>
      <c r="X165" s="2">
        <v>46231.349826388891</v>
      </c>
      <c r="Y165" s="2">
        <v>46231.349826388891</v>
      </c>
      <c r="Z165" t="s">
        <v>1677</v>
      </c>
      <c r="AH165">
        <v>0</v>
      </c>
      <c r="AI165" t="s">
        <v>2150</v>
      </c>
    </row>
    <row r="166" spans="1:35" x14ac:dyDescent="0.35">
      <c r="A166" t="str">
        <f>"2501717891"</f>
        <v>2501717891</v>
      </c>
      <c r="B166" t="s">
        <v>2151</v>
      </c>
      <c r="C166" s="2">
        <v>46230.633518518516</v>
      </c>
      <c r="D166" t="s">
        <v>1536</v>
      </c>
      <c r="E166">
        <v>5</v>
      </c>
      <c r="F166">
        <v>46</v>
      </c>
      <c r="J166" t="s">
        <v>1934</v>
      </c>
      <c r="K166" t="str">
        <f>"521093"</f>
        <v>521093</v>
      </c>
      <c r="L166" s="1">
        <v>46230</v>
      </c>
      <c r="M166" t="s">
        <v>2074</v>
      </c>
      <c r="N166" t="s">
        <v>2074</v>
      </c>
      <c r="P166" s="1">
        <v>46098</v>
      </c>
      <c r="Q166" t="str">
        <f>"190726"</f>
        <v>190726</v>
      </c>
      <c r="R166" t="s">
        <v>2151</v>
      </c>
      <c r="S166" t="s">
        <v>1677</v>
      </c>
      <c r="U166">
        <v>0</v>
      </c>
      <c r="V166">
        <v>0</v>
      </c>
      <c r="X166" s="2">
        <v>46231.395821759259</v>
      </c>
      <c r="Y166" s="2">
        <v>46231.395821759259</v>
      </c>
      <c r="Z166" t="s">
        <v>1677</v>
      </c>
      <c r="AH166">
        <v>0</v>
      </c>
      <c r="AI166" t="str">
        <f>"593136850"</f>
        <v>593136850</v>
      </c>
    </row>
    <row r="167" spans="1:35" x14ac:dyDescent="0.35">
      <c r="A167" t="str">
        <f>"2505801177"</f>
        <v>2505801177</v>
      </c>
      <c r="B167" t="s">
        <v>2152</v>
      </c>
      <c r="C167" s="2">
        <v>46230.453611111108</v>
      </c>
      <c r="D167" t="s">
        <v>1536</v>
      </c>
      <c r="E167">
        <v>6</v>
      </c>
      <c r="F167">
        <v>63</v>
      </c>
      <c r="J167" t="s">
        <v>1934</v>
      </c>
      <c r="K167" t="str">
        <f>"520732"</f>
        <v>520732</v>
      </c>
      <c r="L167" s="1">
        <v>46230</v>
      </c>
      <c r="M167" t="s">
        <v>2074</v>
      </c>
      <c r="N167" t="s">
        <v>2074</v>
      </c>
      <c r="P167" s="1">
        <v>46098</v>
      </c>
      <c r="Q167" t="str">
        <f>"7152026"</f>
        <v>7152026</v>
      </c>
      <c r="R167" t="s">
        <v>2152</v>
      </c>
      <c r="S167" t="s">
        <v>1677</v>
      </c>
      <c r="U167">
        <v>0</v>
      </c>
      <c r="V167">
        <v>0</v>
      </c>
      <c r="X167" s="2">
        <v>46230.606307870374</v>
      </c>
      <c r="Y167" s="2">
        <v>46230.606307870374</v>
      </c>
      <c r="Z167" t="s">
        <v>1677</v>
      </c>
      <c r="AH167">
        <v>0</v>
      </c>
      <c r="AI167" t="str">
        <f>"595643317"</f>
        <v>595643317</v>
      </c>
    </row>
    <row r="168" spans="1:35" x14ac:dyDescent="0.35">
      <c r="A168" t="str">
        <f>"2501717886"</f>
        <v>2501717886</v>
      </c>
      <c r="B168" t="s">
        <v>1693</v>
      </c>
      <c r="C168" s="2">
        <v>46229.60701388889</v>
      </c>
      <c r="D168" t="s">
        <v>1536</v>
      </c>
      <c r="E168">
        <v>1</v>
      </c>
      <c r="F168">
        <v>3</v>
      </c>
      <c r="J168" t="s">
        <v>1934</v>
      </c>
      <c r="K168" t="str">
        <f>"520609"</f>
        <v>520609</v>
      </c>
      <c r="L168" s="1">
        <v>46229</v>
      </c>
      <c r="M168" t="s">
        <v>2074</v>
      </c>
      <c r="N168" t="s">
        <v>2074</v>
      </c>
      <c r="P168" s="1">
        <v>46098</v>
      </c>
      <c r="Q168" t="str">
        <f>"4000176574"</f>
        <v>4000176574</v>
      </c>
      <c r="R168" t="s">
        <v>1693</v>
      </c>
      <c r="S168" t="s">
        <v>1783</v>
      </c>
      <c r="U168">
        <v>0</v>
      </c>
      <c r="V168">
        <v>0</v>
      </c>
      <c r="X168" s="2">
        <v>46230.40115740741</v>
      </c>
      <c r="Y168" s="2">
        <v>46230.40115740741</v>
      </c>
      <c r="Z168" t="s">
        <v>1783</v>
      </c>
      <c r="AH168">
        <v>0</v>
      </c>
      <c r="AI168" t="str">
        <f>"580644501"</f>
        <v>580644501</v>
      </c>
    </row>
    <row r="169" spans="1:35" x14ac:dyDescent="0.35">
      <c r="A169" t="str">
        <f>"2501717873"</f>
        <v>2501717873</v>
      </c>
      <c r="B169" t="s">
        <v>2153</v>
      </c>
      <c r="C169" s="2">
        <v>46229.60701388889</v>
      </c>
      <c r="D169" t="s">
        <v>1536</v>
      </c>
      <c r="E169">
        <v>6</v>
      </c>
      <c r="F169">
        <v>80</v>
      </c>
      <c r="J169" t="s">
        <v>1934</v>
      </c>
      <c r="K169" t="str">
        <f>"520018"</f>
        <v>520018</v>
      </c>
      <c r="L169" s="1">
        <v>46229</v>
      </c>
      <c r="M169" t="s">
        <v>2074</v>
      </c>
      <c r="N169" t="s">
        <v>2074</v>
      </c>
      <c r="P169" s="1">
        <v>46098</v>
      </c>
      <c r="Q169" t="s">
        <v>2154</v>
      </c>
      <c r="R169" t="s">
        <v>2153</v>
      </c>
      <c r="S169" t="s">
        <v>2155</v>
      </c>
      <c r="U169">
        <v>0</v>
      </c>
      <c r="V169">
        <v>0</v>
      </c>
      <c r="X169" s="2">
        <v>46230.40079861111</v>
      </c>
      <c r="Y169" s="2">
        <v>46230.40079861111</v>
      </c>
      <c r="Z169" t="s">
        <v>2155</v>
      </c>
      <c r="AH169">
        <v>0</v>
      </c>
      <c r="AI169" t="str">
        <f>"594424998"</f>
        <v>594424998</v>
      </c>
    </row>
    <row r="170" spans="1:35" x14ac:dyDescent="0.35">
      <c r="A170" t="str">
        <f>"2501717872"</f>
        <v>2501717872</v>
      </c>
      <c r="B170" t="s">
        <v>2156</v>
      </c>
      <c r="C170" s="2">
        <v>46229.607002314813</v>
      </c>
      <c r="D170" t="s">
        <v>1536</v>
      </c>
      <c r="E170">
        <v>1</v>
      </c>
      <c r="F170">
        <v>4</v>
      </c>
      <c r="J170" t="s">
        <v>1934</v>
      </c>
      <c r="K170" t="str">
        <f>"521229"</f>
        <v>521229</v>
      </c>
      <c r="L170" s="1">
        <v>46229</v>
      </c>
      <c r="M170" t="s">
        <v>2074</v>
      </c>
      <c r="N170" t="s">
        <v>2074</v>
      </c>
      <c r="P170" s="1">
        <v>46098</v>
      </c>
      <c r="Q170" t="str">
        <f>"2010035592"</f>
        <v>2010035592</v>
      </c>
      <c r="R170" t="s">
        <v>2156</v>
      </c>
      <c r="S170" t="s">
        <v>1677</v>
      </c>
      <c r="U170">
        <v>0</v>
      </c>
      <c r="V170">
        <v>0</v>
      </c>
      <c r="X170" s="2">
        <v>46230.40042824074</v>
      </c>
      <c r="Y170" s="2">
        <v>46230.40042824074</v>
      </c>
      <c r="Z170" t="s">
        <v>1677</v>
      </c>
      <c r="AH170">
        <v>0</v>
      </c>
      <c r="AI170" t="str">
        <f>"554839509"</f>
        <v>554839509</v>
      </c>
    </row>
    <row r="171" spans="1:35" x14ac:dyDescent="0.35">
      <c r="A171" t="str">
        <f>"2501717845"</f>
        <v>2501717845</v>
      </c>
      <c r="B171" t="s">
        <v>1732</v>
      </c>
      <c r="C171" s="2">
        <v>46226.605127314811</v>
      </c>
      <c r="D171" t="s">
        <v>1536</v>
      </c>
      <c r="E171">
        <v>1</v>
      </c>
      <c r="F171">
        <v>100</v>
      </c>
      <c r="J171" t="s">
        <v>1934</v>
      </c>
      <c r="K171" t="str">
        <f>"520747"</f>
        <v>520747</v>
      </c>
      <c r="L171" s="1">
        <v>46226</v>
      </c>
      <c r="M171" t="s">
        <v>2074</v>
      </c>
      <c r="N171" t="s">
        <v>2074</v>
      </c>
      <c r="P171" s="1">
        <v>46098</v>
      </c>
      <c r="Q171" t="str">
        <f>"124"</f>
        <v>124</v>
      </c>
      <c r="R171" t="s">
        <v>1732</v>
      </c>
      <c r="S171" t="s">
        <v>1586</v>
      </c>
      <c r="U171">
        <v>0</v>
      </c>
      <c r="V171">
        <v>0</v>
      </c>
      <c r="X171" s="2">
        <v>46228.379884259259</v>
      </c>
      <c r="Y171" s="2">
        <v>46228.379884259259</v>
      </c>
      <c r="Z171" t="s">
        <v>1586</v>
      </c>
      <c r="AH171">
        <v>0</v>
      </c>
      <c r="AI171" t="s">
        <v>2080</v>
      </c>
    </row>
    <row r="172" spans="1:35" x14ac:dyDescent="0.35">
      <c r="A172" t="str">
        <f>"2501717824"</f>
        <v>2501717824</v>
      </c>
      <c r="B172" t="s">
        <v>2157</v>
      </c>
      <c r="C172" s="2">
        <v>46225.628819444442</v>
      </c>
      <c r="D172" t="s">
        <v>1536</v>
      </c>
      <c r="E172">
        <v>1</v>
      </c>
      <c r="F172">
        <v>1</v>
      </c>
      <c r="J172" t="s">
        <v>1934</v>
      </c>
      <c r="K172" t="str">
        <f>"521051"</f>
        <v>521051</v>
      </c>
      <c r="L172" s="1">
        <v>46225</v>
      </c>
      <c r="M172" t="s">
        <v>2074</v>
      </c>
      <c r="N172" t="s">
        <v>2074</v>
      </c>
      <c r="P172" s="1">
        <v>46098</v>
      </c>
      <c r="Q172" t="s">
        <v>2158</v>
      </c>
      <c r="R172" t="s">
        <v>2157</v>
      </c>
      <c r="S172" t="s">
        <v>1586</v>
      </c>
      <c r="U172">
        <v>0</v>
      </c>
      <c r="V172">
        <v>0</v>
      </c>
      <c r="X172" s="2">
        <v>46226.376655092594</v>
      </c>
      <c r="Y172" s="2">
        <v>46226.376655092594</v>
      </c>
      <c r="Z172" t="s">
        <v>1586</v>
      </c>
      <c r="AH172">
        <v>0</v>
      </c>
      <c r="AI172" t="str">
        <f>"551818591"</f>
        <v>551818591</v>
      </c>
    </row>
    <row r="173" spans="1:35" x14ac:dyDescent="0.35">
      <c r="A173" t="str">
        <f>"2501717823"</f>
        <v>2501717823</v>
      </c>
      <c r="B173" t="s">
        <v>1798</v>
      </c>
      <c r="C173" s="2">
        <v>46225.621238425927</v>
      </c>
      <c r="D173" t="s">
        <v>1536</v>
      </c>
      <c r="E173">
        <v>1</v>
      </c>
      <c r="F173">
        <v>50</v>
      </c>
      <c r="J173" t="s">
        <v>1934</v>
      </c>
      <c r="K173" t="str">
        <f>"520996"</f>
        <v>520996</v>
      </c>
      <c r="L173" s="1">
        <v>46225</v>
      </c>
      <c r="M173" t="s">
        <v>2074</v>
      </c>
      <c r="N173" t="s">
        <v>2074</v>
      </c>
      <c r="P173" s="1">
        <v>46098</v>
      </c>
      <c r="Q173" t="s">
        <v>2037</v>
      </c>
      <c r="R173" t="s">
        <v>1798</v>
      </c>
      <c r="S173" t="s">
        <v>1677</v>
      </c>
      <c r="U173">
        <v>0</v>
      </c>
      <c r="V173">
        <v>0</v>
      </c>
      <c r="X173" s="2">
        <v>46226.457951388889</v>
      </c>
      <c r="Y173" s="2">
        <v>46226.457951388889</v>
      </c>
      <c r="Z173" t="s">
        <v>1677</v>
      </c>
      <c r="AH173">
        <v>0</v>
      </c>
      <c r="AI173" t="str">
        <f>"533256639"</f>
        <v>533256639</v>
      </c>
    </row>
    <row r="174" spans="1:35" x14ac:dyDescent="0.35">
      <c r="A174" t="str">
        <f>"2501717798"</f>
        <v>2501717798</v>
      </c>
      <c r="B174" t="s">
        <v>1678</v>
      </c>
      <c r="C174" s="2">
        <v>46224.298541666663</v>
      </c>
      <c r="D174" t="s">
        <v>1536</v>
      </c>
      <c r="E174">
        <v>3</v>
      </c>
      <c r="F174">
        <v>46</v>
      </c>
      <c r="J174" t="s">
        <v>1934</v>
      </c>
      <c r="K174" t="str">
        <f>"520192"</f>
        <v>520192</v>
      </c>
      <c r="L174" s="1">
        <v>46224</v>
      </c>
      <c r="M174" t="s">
        <v>2074</v>
      </c>
      <c r="N174" t="s">
        <v>2074</v>
      </c>
      <c r="P174" s="1">
        <v>46098</v>
      </c>
      <c r="Q174" t="str">
        <f>"141"</f>
        <v>141</v>
      </c>
      <c r="R174" t="s">
        <v>1678</v>
      </c>
      <c r="S174" t="s">
        <v>1677</v>
      </c>
      <c r="U174">
        <v>0</v>
      </c>
      <c r="V174">
        <v>0</v>
      </c>
      <c r="X174" s="2">
        <v>46224.370138888888</v>
      </c>
      <c r="Y174" s="2">
        <v>46224.370138888888</v>
      </c>
      <c r="Z174" t="s">
        <v>1677</v>
      </c>
      <c r="AH174">
        <v>0</v>
      </c>
      <c r="AI174" t="str">
        <f>"537844168"</f>
        <v>537844168</v>
      </c>
    </row>
    <row r="175" spans="1:35" x14ac:dyDescent="0.35">
      <c r="A175" t="str">
        <f>"2501717797"</f>
        <v>2501717797</v>
      </c>
      <c r="B175" t="s">
        <v>2159</v>
      </c>
      <c r="C175" s="2">
        <v>46223.59202546296</v>
      </c>
      <c r="D175" t="s">
        <v>1536</v>
      </c>
      <c r="E175">
        <v>5</v>
      </c>
      <c r="F175">
        <v>46</v>
      </c>
      <c r="J175" t="s">
        <v>1934</v>
      </c>
      <c r="K175" t="str">
        <f>"521227"</f>
        <v>521227</v>
      </c>
      <c r="L175" s="1">
        <v>46223</v>
      </c>
      <c r="M175" t="s">
        <v>2074</v>
      </c>
      <c r="N175" t="s">
        <v>2074</v>
      </c>
      <c r="P175" s="1">
        <v>46098</v>
      </c>
      <c r="Q175" t="str">
        <f>"3416"</f>
        <v>3416</v>
      </c>
      <c r="R175" t="s">
        <v>2159</v>
      </c>
      <c r="S175" t="s">
        <v>1677</v>
      </c>
      <c r="U175">
        <v>0</v>
      </c>
      <c r="V175">
        <v>0</v>
      </c>
      <c r="X175" s="2">
        <v>46224.44326388889</v>
      </c>
      <c r="Y175" s="2">
        <v>46224.44326388889</v>
      </c>
      <c r="Z175" t="s">
        <v>1677</v>
      </c>
      <c r="AH175">
        <v>0</v>
      </c>
      <c r="AI175" t="str">
        <f>"509153697"</f>
        <v>509153697</v>
      </c>
    </row>
    <row r="176" spans="1:35" x14ac:dyDescent="0.35">
      <c r="A176" t="str">
        <f>"2501717778"</f>
        <v>2501717778</v>
      </c>
      <c r="B176" t="s">
        <v>1556</v>
      </c>
      <c r="C176" s="2">
        <v>46221.303425925929</v>
      </c>
      <c r="D176" t="s">
        <v>1536</v>
      </c>
      <c r="E176">
        <v>1</v>
      </c>
      <c r="F176">
        <v>10</v>
      </c>
      <c r="J176" t="s">
        <v>1934</v>
      </c>
      <c r="K176" t="str">
        <f>"521161"</f>
        <v>521161</v>
      </c>
      <c r="L176" s="1">
        <v>46221</v>
      </c>
      <c r="M176" t="s">
        <v>2074</v>
      </c>
      <c r="N176" t="s">
        <v>2074</v>
      </c>
      <c r="P176" s="1">
        <v>46098</v>
      </c>
      <c r="Q176" t="s">
        <v>2160</v>
      </c>
      <c r="R176" t="s">
        <v>1556</v>
      </c>
      <c r="S176" t="s">
        <v>2161</v>
      </c>
      <c r="U176">
        <v>0</v>
      </c>
      <c r="V176">
        <v>0</v>
      </c>
      <c r="X176" s="2">
        <v>46221.376597222225</v>
      </c>
      <c r="Y176" s="2">
        <v>46221.376597222225</v>
      </c>
      <c r="Z176" t="s">
        <v>2161</v>
      </c>
      <c r="AH176">
        <v>0</v>
      </c>
      <c r="AI176" t="str">
        <f>"599721403"</f>
        <v>599721403</v>
      </c>
    </row>
    <row r="177" spans="1:35" x14ac:dyDescent="0.35">
      <c r="A177" t="str">
        <f>"2501717764"</f>
        <v>2501717764</v>
      </c>
      <c r="B177" t="s">
        <v>2162</v>
      </c>
      <c r="C177" s="2">
        <v>46221.298425925925</v>
      </c>
      <c r="D177" t="s">
        <v>1536</v>
      </c>
      <c r="E177">
        <v>1</v>
      </c>
      <c r="F177">
        <v>10</v>
      </c>
      <c r="J177" t="s">
        <v>1934</v>
      </c>
      <c r="K177" t="str">
        <f>"521072"</f>
        <v>521072</v>
      </c>
      <c r="L177" s="1">
        <v>46221</v>
      </c>
      <c r="M177" t="s">
        <v>2074</v>
      </c>
      <c r="N177" t="s">
        <v>2074</v>
      </c>
      <c r="P177" s="1">
        <v>46098</v>
      </c>
      <c r="Q177" t="str">
        <f>"46203"</f>
        <v>46203</v>
      </c>
      <c r="R177" t="s">
        <v>2162</v>
      </c>
      <c r="S177" t="s">
        <v>2163</v>
      </c>
      <c r="U177">
        <v>0</v>
      </c>
      <c r="V177">
        <v>0</v>
      </c>
      <c r="X177" s="2">
        <v>46221.373761574076</v>
      </c>
      <c r="Y177" s="2">
        <v>46221.373761574076</v>
      </c>
      <c r="Z177" t="s">
        <v>2163</v>
      </c>
      <c r="AH177">
        <v>0</v>
      </c>
      <c r="AI177" t="str">
        <f>"504433127"</f>
        <v>504433127</v>
      </c>
    </row>
    <row r="178" spans="1:35" x14ac:dyDescent="0.35">
      <c r="A178" t="str">
        <f>"2501717731"</f>
        <v>2501717731</v>
      </c>
      <c r="B178" t="s">
        <v>1856</v>
      </c>
      <c r="C178" s="2">
        <v>46219.301585648151</v>
      </c>
      <c r="D178" t="s">
        <v>1536</v>
      </c>
      <c r="E178">
        <v>2</v>
      </c>
      <c r="F178">
        <v>36</v>
      </c>
      <c r="J178" t="s">
        <v>1934</v>
      </c>
      <c r="K178" t="str">
        <f>"520824"</f>
        <v>520824</v>
      </c>
      <c r="L178" s="1">
        <v>46219</v>
      </c>
      <c r="M178" t="s">
        <v>2074</v>
      </c>
      <c r="N178" t="s">
        <v>2074</v>
      </c>
      <c r="P178" s="1">
        <v>46098</v>
      </c>
      <c r="Q178" t="str">
        <f>"2337"</f>
        <v>2337</v>
      </c>
      <c r="R178" t="s">
        <v>1856</v>
      </c>
      <c r="S178" t="s">
        <v>1677</v>
      </c>
      <c r="U178">
        <v>0</v>
      </c>
      <c r="V178">
        <v>0</v>
      </c>
      <c r="X178" s="2">
        <v>46219.398472222223</v>
      </c>
      <c r="Y178" s="2">
        <v>46219.398472222223</v>
      </c>
      <c r="Z178" t="s">
        <v>1677</v>
      </c>
      <c r="AH178">
        <v>0</v>
      </c>
      <c r="AI178" t="str">
        <f>"538148901"</f>
        <v>538148901</v>
      </c>
    </row>
    <row r="179" spans="1:35" x14ac:dyDescent="0.35">
      <c r="A179" t="str">
        <f>"2501717720"</f>
        <v>2501717720</v>
      </c>
      <c r="B179" t="s">
        <v>2164</v>
      </c>
      <c r="C179" s="2">
        <v>46217.596145833333</v>
      </c>
      <c r="D179" t="s">
        <v>1536</v>
      </c>
      <c r="E179">
        <v>5</v>
      </c>
      <c r="F179">
        <v>15</v>
      </c>
      <c r="J179" t="s">
        <v>1934</v>
      </c>
      <c r="K179" t="str">
        <f>"521059"</f>
        <v>521059</v>
      </c>
      <c r="L179" s="1">
        <v>46217</v>
      </c>
      <c r="M179" t="s">
        <v>2074</v>
      </c>
      <c r="N179" t="s">
        <v>2074</v>
      </c>
      <c r="P179" s="1">
        <v>46098</v>
      </c>
      <c r="Q179" t="str">
        <f>"2300056804"</f>
        <v>2300056804</v>
      </c>
      <c r="R179" t="s">
        <v>2164</v>
      </c>
      <c r="S179" t="s">
        <v>1677</v>
      </c>
      <c r="U179">
        <v>0</v>
      </c>
      <c r="V179">
        <v>0</v>
      </c>
      <c r="X179" s="2">
        <v>46218.636099537034</v>
      </c>
      <c r="Y179" s="2">
        <v>46218.636099537034</v>
      </c>
      <c r="Z179" t="s">
        <v>1677</v>
      </c>
      <c r="AH179">
        <v>0</v>
      </c>
      <c r="AI179" t="str">
        <f>"539407609"</f>
        <v>539407609</v>
      </c>
    </row>
    <row r="180" spans="1:35" x14ac:dyDescent="0.35">
      <c r="A180" t="str">
        <f>"2501717712"</f>
        <v>2501717712</v>
      </c>
      <c r="B180" t="s">
        <v>1719</v>
      </c>
      <c r="C180" s="2">
        <v>46217.315555555557</v>
      </c>
      <c r="D180" t="s">
        <v>1536</v>
      </c>
      <c r="E180">
        <v>1</v>
      </c>
      <c r="F180">
        <v>223</v>
      </c>
      <c r="J180" t="s">
        <v>1934</v>
      </c>
      <c r="K180" t="str">
        <f>"520605"</f>
        <v>520605</v>
      </c>
      <c r="L180" s="1">
        <v>46217</v>
      </c>
      <c r="M180" t="s">
        <v>2074</v>
      </c>
      <c r="N180" t="s">
        <v>2074</v>
      </c>
      <c r="P180" s="1">
        <v>46098</v>
      </c>
      <c r="Q180" t="s">
        <v>2165</v>
      </c>
      <c r="R180" t="s">
        <v>1719</v>
      </c>
      <c r="S180" t="s">
        <v>2132</v>
      </c>
      <c r="U180">
        <v>0</v>
      </c>
      <c r="V180">
        <v>0</v>
      </c>
      <c r="X180" s="2">
        <v>46217.456597222219</v>
      </c>
      <c r="Y180" s="2">
        <v>46217.456597222219</v>
      </c>
      <c r="Z180" t="s">
        <v>2132</v>
      </c>
      <c r="AH180">
        <v>0</v>
      </c>
      <c r="AI180" t="s">
        <v>2166</v>
      </c>
    </row>
    <row r="181" spans="1:35" x14ac:dyDescent="0.35">
      <c r="A181" t="str">
        <f>"2501717703"</f>
        <v>2501717703</v>
      </c>
      <c r="B181" t="s">
        <v>1556</v>
      </c>
      <c r="C181" s="2">
        <v>46216.653622685182</v>
      </c>
      <c r="D181" t="s">
        <v>1536</v>
      </c>
      <c r="E181">
        <v>1</v>
      </c>
      <c r="F181">
        <v>78</v>
      </c>
      <c r="J181" t="s">
        <v>1934</v>
      </c>
      <c r="K181" t="str">
        <f>"521161"</f>
        <v>521161</v>
      </c>
      <c r="L181" s="1">
        <v>46216</v>
      </c>
      <c r="M181" t="s">
        <v>2074</v>
      </c>
      <c r="N181" t="s">
        <v>2074</v>
      </c>
      <c r="P181" s="1">
        <v>46098</v>
      </c>
      <c r="Q181" t="s">
        <v>2167</v>
      </c>
      <c r="R181" t="s">
        <v>1556</v>
      </c>
      <c r="S181" t="s">
        <v>2168</v>
      </c>
      <c r="U181">
        <v>0</v>
      </c>
      <c r="V181">
        <v>0</v>
      </c>
      <c r="X181" s="2">
        <v>46217.416678240741</v>
      </c>
      <c r="Y181" s="2">
        <v>46217.416678240741</v>
      </c>
      <c r="Z181" t="s">
        <v>2168</v>
      </c>
      <c r="AH181">
        <v>0</v>
      </c>
      <c r="AI181" t="str">
        <f>"542459410"</f>
        <v>542459410</v>
      </c>
    </row>
    <row r="182" spans="1:35" x14ac:dyDescent="0.35">
      <c r="A182" t="str">
        <f>"2501717702"</f>
        <v>2501717702</v>
      </c>
      <c r="B182" t="s">
        <v>1556</v>
      </c>
      <c r="C182" s="2">
        <v>46216.653622685182</v>
      </c>
      <c r="D182" t="s">
        <v>1536</v>
      </c>
      <c r="E182">
        <v>1</v>
      </c>
      <c r="F182">
        <v>78</v>
      </c>
      <c r="J182" t="s">
        <v>1934</v>
      </c>
      <c r="K182" t="str">
        <f>"521161"</f>
        <v>521161</v>
      </c>
      <c r="L182" s="1">
        <v>46216</v>
      </c>
      <c r="M182" t="s">
        <v>2074</v>
      </c>
      <c r="N182" t="s">
        <v>2074</v>
      </c>
      <c r="P182" s="1">
        <v>46098</v>
      </c>
      <c r="Q182" t="s">
        <v>2169</v>
      </c>
      <c r="R182" t="s">
        <v>1556</v>
      </c>
      <c r="S182" t="s">
        <v>2168</v>
      </c>
      <c r="U182">
        <v>0</v>
      </c>
      <c r="V182">
        <v>0</v>
      </c>
      <c r="X182" s="2">
        <v>46217.416678240741</v>
      </c>
      <c r="Y182" s="2">
        <v>46217.416678240741</v>
      </c>
      <c r="Z182" t="s">
        <v>2168</v>
      </c>
      <c r="AH182">
        <v>0</v>
      </c>
      <c r="AI182" t="str">
        <f>"542459410"</f>
        <v>542459410</v>
      </c>
    </row>
    <row r="183" spans="1:35" x14ac:dyDescent="0.35">
      <c r="A183" t="str">
        <f>"2501717700"</f>
        <v>2501717700</v>
      </c>
      <c r="B183" t="s">
        <v>1719</v>
      </c>
      <c r="C183" s="2">
        <v>46216.653611111113</v>
      </c>
      <c r="D183" t="s">
        <v>1536</v>
      </c>
      <c r="E183">
        <v>1</v>
      </c>
      <c r="F183">
        <v>208</v>
      </c>
      <c r="J183" t="s">
        <v>1934</v>
      </c>
      <c r="K183" t="str">
        <f>"520605"</f>
        <v>520605</v>
      </c>
      <c r="L183" s="1">
        <v>46216</v>
      </c>
      <c r="M183" t="s">
        <v>2074</v>
      </c>
      <c r="N183" t="s">
        <v>2074</v>
      </c>
      <c r="P183" s="1">
        <v>46098</v>
      </c>
      <c r="Q183" t="s">
        <v>2165</v>
      </c>
      <c r="R183" t="s">
        <v>1719</v>
      </c>
      <c r="S183" t="s">
        <v>2132</v>
      </c>
      <c r="U183">
        <v>0</v>
      </c>
      <c r="V183">
        <v>0</v>
      </c>
      <c r="X183" s="2">
        <v>46217.327453703707</v>
      </c>
      <c r="Y183" s="2">
        <v>46217.327453703707</v>
      </c>
      <c r="Z183" t="s">
        <v>2132</v>
      </c>
      <c r="AH183">
        <v>0</v>
      </c>
      <c r="AI183" t="s">
        <v>2166</v>
      </c>
    </row>
    <row r="184" spans="1:35" x14ac:dyDescent="0.35">
      <c r="A184" t="str">
        <f>"2501717706"</f>
        <v>2501717706</v>
      </c>
      <c r="B184" t="s">
        <v>1883</v>
      </c>
      <c r="C184" s="2">
        <v>46216.602060185185</v>
      </c>
      <c r="D184" t="s">
        <v>1536</v>
      </c>
      <c r="E184">
        <v>3</v>
      </c>
      <c r="F184">
        <v>280</v>
      </c>
      <c r="J184" t="s">
        <v>1934</v>
      </c>
      <c r="K184" t="str">
        <f>"521181"</f>
        <v>521181</v>
      </c>
      <c r="L184" s="1">
        <v>46216</v>
      </c>
      <c r="M184" t="s">
        <v>2074</v>
      </c>
      <c r="N184" t="s">
        <v>2074</v>
      </c>
      <c r="P184" s="1">
        <v>46098</v>
      </c>
      <c r="Q184" t="s">
        <v>2170</v>
      </c>
      <c r="R184" t="s">
        <v>1883</v>
      </c>
      <c r="S184" t="s">
        <v>1677</v>
      </c>
      <c r="U184">
        <v>0</v>
      </c>
      <c r="V184">
        <v>0</v>
      </c>
      <c r="X184" s="2">
        <v>46217.340949074074</v>
      </c>
      <c r="Y184" s="2">
        <v>46217.340949074074</v>
      </c>
      <c r="Z184" t="s">
        <v>1677</v>
      </c>
      <c r="AH184">
        <v>0</v>
      </c>
      <c r="AI184" t="s">
        <v>2061</v>
      </c>
    </row>
    <row r="185" spans="1:35" x14ac:dyDescent="0.35">
      <c r="A185" t="str">
        <f>"2501717697"</f>
        <v>2501717697</v>
      </c>
      <c r="B185" t="s">
        <v>1745</v>
      </c>
      <c r="C185" s="2">
        <v>46215.604525462964</v>
      </c>
      <c r="D185" t="s">
        <v>1536</v>
      </c>
      <c r="E185">
        <v>1</v>
      </c>
      <c r="F185">
        <v>3</v>
      </c>
      <c r="J185" t="s">
        <v>1934</v>
      </c>
      <c r="K185" t="str">
        <f>"521083"</f>
        <v>521083</v>
      </c>
      <c r="L185" s="1">
        <v>46215</v>
      </c>
      <c r="M185" t="s">
        <v>2074</v>
      </c>
      <c r="N185" t="s">
        <v>2074</v>
      </c>
      <c r="P185" s="1">
        <v>46098</v>
      </c>
      <c r="Q185" t="str">
        <f>"8400000748"</f>
        <v>8400000748</v>
      </c>
      <c r="R185" t="s">
        <v>1745</v>
      </c>
      <c r="S185" t="s">
        <v>2171</v>
      </c>
      <c r="U185">
        <v>0</v>
      </c>
      <c r="V185">
        <v>0</v>
      </c>
      <c r="X185" s="2">
        <v>46216.37090277778</v>
      </c>
      <c r="Y185" s="2">
        <v>46216.37090277778</v>
      </c>
      <c r="Z185" t="s">
        <v>2171</v>
      </c>
      <c r="AH185">
        <v>0</v>
      </c>
      <c r="AI185" t="str">
        <f>"570202785"</f>
        <v>570202785</v>
      </c>
    </row>
    <row r="186" spans="1:35" x14ac:dyDescent="0.35">
      <c r="A186" t="str">
        <f>"2501717664"</f>
        <v>2501717664</v>
      </c>
      <c r="B186" t="s">
        <v>2172</v>
      </c>
      <c r="C186" s="2">
        <v>46211.612291666665</v>
      </c>
      <c r="D186" t="s">
        <v>1536</v>
      </c>
      <c r="E186">
        <v>4</v>
      </c>
      <c r="F186">
        <v>84</v>
      </c>
      <c r="J186" t="s">
        <v>1934</v>
      </c>
      <c r="K186" t="str">
        <f>"520015"</f>
        <v>520015</v>
      </c>
      <c r="L186" s="1">
        <v>46211</v>
      </c>
      <c r="M186" t="s">
        <v>2074</v>
      </c>
      <c r="N186" t="s">
        <v>2074</v>
      </c>
      <c r="P186" s="1">
        <v>46098</v>
      </c>
      <c r="Q186" t="str">
        <f>"12616560"</f>
        <v>12616560</v>
      </c>
      <c r="R186" t="s">
        <v>2172</v>
      </c>
      <c r="S186" t="s">
        <v>2173</v>
      </c>
      <c r="U186">
        <v>0</v>
      </c>
      <c r="V186">
        <v>0</v>
      </c>
      <c r="X186" s="2">
        <v>46212.325057870374</v>
      </c>
      <c r="Y186" s="2">
        <v>46212.325057870374</v>
      </c>
      <c r="Z186" t="s">
        <v>2173</v>
      </c>
      <c r="AH186">
        <v>0</v>
      </c>
      <c r="AI186" t="str">
        <f>"580796692"</f>
        <v>580796692</v>
      </c>
    </row>
    <row r="187" spans="1:35" x14ac:dyDescent="0.35">
      <c r="A187" t="str">
        <f>"2501717643"</f>
        <v>2501717643</v>
      </c>
      <c r="B187" t="s">
        <v>2174</v>
      </c>
      <c r="C187" s="2">
        <v>46210.608263888891</v>
      </c>
      <c r="D187" t="s">
        <v>1536</v>
      </c>
      <c r="E187">
        <v>1</v>
      </c>
      <c r="F187">
        <v>40</v>
      </c>
      <c r="J187" t="s">
        <v>1934</v>
      </c>
      <c r="K187" t="str">
        <f>"521076"</f>
        <v>521076</v>
      </c>
      <c r="L187" s="1">
        <v>46210</v>
      </c>
      <c r="M187" t="s">
        <v>2074</v>
      </c>
      <c r="N187" t="s">
        <v>2074</v>
      </c>
      <c r="P187" s="1">
        <v>46098</v>
      </c>
      <c r="Q187" t="str">
        <f>"2500081"</f>
        <v>2500081</v>
      </c>
      <c r="R187" t="s">
        <v>2174</v>
      </c>
      <c r="S187" t="s">
        <v>1586</v>
      </c>
      <c r="U187">
        <v>0</v>
      </c>
      <c r="V187">
        <v>0</v>
      </c>
      <c r="X187" s="2">
        <v>46211.315752314818</v>
      </c>
      <c r="Y187" s="2">
        <v>46211.315752314818</v>
      </c>
      <c r="Z187" t="s">
        <v>1586</v>
      </c>
      <c r="AH187">
        <v>0</v>
      </c>
      <c r="AI187" t="str">
        <f>"554821843"</f>
        <v>554821843</v>
      </c>
    </row>
    <row r="188" spans="1:35" x14ac:dyDescent="0.35">
      <c r="A188" t="str">
        <f>"2501717638"</f>
        <v>2501717638</v>
      </c>
      <c r="B188" t="s">
        <v>1556</v>
      </c>
      <c r="C188" s="2">
        <v>46210.608263888891</v>
      </c>
      <c r="D188" t="s">
        <v>1536</v>
      </c>
      <c r="E188">
        <v>1</v>
      </c>
      <c r="F188">
        <v>26</v>
      </c>
      <c r="J188" t="s">
        <v>1934</v>
      </c>
      <c r="K188" t="str">
        <f>"521161"</f>
        <v>521161</v>
      </c>
      <c r="L188" s="1">
        <v>46210</v>
      </c>
      <c r="M188" t="s">
        <v>2074</v>
      </c>
      <c r="N188" t="s">
        <v>2074</v>
      </c>
      <c r="P188" s="1">
        <v>46098</v>
      </c>
      <c r="Q188" t="s">
        <v>2169</v>
      </c>
      <c r="R188" t="s">
        <v>1556</v>
      </c>
      <c r="S188" t="s">
        <v>2168</v>
      </c>
      <c r="U188">
        <v>0</v>
      </c>
      <c r="V188">
        <v>0</v>
      </c>
      <c r="X188" s="2">
        <v>46211.315324074072</v>
      </c>
      <c r="Y188" s="2">
        <v>46211.315324074072</v>
      </c>
      <c r="Z188" t="s">
        <v>2168</v>
      </c>
      <c r="AH188">
        <v>0</v>
      </c>
      <c r="AI188" t="str">
        <f>"542459410"</f>
        <v>542459410</v>
      </c>
    </row>
    <row r="189" spans="1:35" x14ac:dyDescent="0.35">
      <c r="A189" t="str">
        <f>"2501717623"</f>
        <v>2501717623</v>
      </c>
      <c r="B189" t="s">
        <v>1887</v>
      </c>
      <c r="C189" s="2">
        <v>46209.631354166668</v>
      </c>
      <c r="D189" t="s">
        <v>1536</v>
      </c>
      <c r="E189">
        <v>1</v>
      </c>
      <c r="F189">
        <v>96</v>
      </c>
      <c r="J189" t="s">
        <v>1934</v>
      </c>
      <c r="K189" t="str">
        <f>"521197"</f>
        <v>521197</v>
      </c>
      <c r="L189" s="1">
        <v>46209</v>
      </c>
      <c r="M189" t="s">
        <v>2074</v>
      </c>
      <c r="N189" t="s">
        <v>2074</v>
      </c>
      <c r="P189" s="1">
        <v>46098</v>
      </c>
      <c r="Q189" t="str">
        <f>"10001"</f>
        <v>10001</v>
      </c>
      <c r="R189" t="s">
        <v>1887</v>
      </c>
      <c r="S189" t="s">
        <v>1559</v>
      </c>
      <c r="U189">
        <v>0</v>
      </c>
      <c r="V189">
        <v>0</v>
      </c>
      <c r="X189" s="2">
        <v>46210.395636574074</v>
      </c>
      <c r="Y189" s="2">
        <v>46210.395636574074</v>
      </c>
      <c r="Z189" t="s">
        <v>1559</v>
      </c>
      <c r="AH189">
        <v>0</v>
      </c>
      <c r="AI189" t="str">
        <f>"537012602"</f>
        <v>537012602</v>
      </c>
    </row>
    <row r="190" spans="1:35" x14ac:dyDescent="0.35">
      <c r="A190" t="str">
        <f>"2501717615"</f>
        <v>2501717615</v>
      </c>
      <c r="B190" t="s">
        <v>1719</v>
      </c>
      <c r="C190" s="2">
        <v>46209.631354166668</v>
      </c>
      <c r="D190" t="s">
        <v>1536</v>
      </c>
      <c r="E190">
        <v>1</v>
      </c>
      <c r="F190">
        <v>89</v>
      </c>
      <c r="J190" t="s">
        <v>1934</v>
      </c>
      <c r="K190" t="str">
        <f>"520605"</f>
        <v>520605</v>
      </c>
      <c r="L190" s="1">
        <v>46209</v>
      </c>
      <c r="M190" t="s">
        <v>2074</v>
      </c>
      <c r="N190" t="s">
        <v>2074</v>
      </c>
      <c r="P190" s="1">
        <v>46098</v>
      </c>
      <c r="Q190" t="s">
        <v>2165</v>
      </c>
      <c r="R190" t="s">
        <v>1719</v>
      </c>
      <c r="S190" t="s">
        <v>2132</v>
      </c>
      <c r="U190">
        <v>0</v>
      </c>
      <c r="V190">
        <v>0</v>
      </c>
      <c r="X190" s="2">
        <v>46210.395277777781</v>
      </c>
      <c r="Y190" s="2">
        <v>46210.395277777781</v>
      </c>
      <c r="Z190" t="s">
        <v>2132</v>
      </c>
      <c r="AH190">
        <v>0</v>
      </c>
      <c r="AI190" t="s">
        <v>2166</v>
      </c>
    </row>
    <row r="191" spans="1:35" x14ac:dyDescent="0.35">
      <c r="A191" t="str">
        <f>"2501717632"</f>
        <v>2501717632</v>
      </c>
      <c r="B191" t="s">
        <v>2175</v>
      </c>
      <c r="C191" s="2">
        <v>46209.622442129628</v>
      </c>
      <c r="D191" t="s">
        <v>1536</v>
      </c>
      <c r="E191">
        <v>1</v>
      </c>
      <c r="F191">
        <v>34</v>
      </c>
      <c r="J191" t="s">
        <v>1934</v>
      </c>
      <c r="K191" t="str">
        <f>"520818"</f>
        <v>520818</v>
      </c>
      <c r="L191" s="1">
        <v>46209</v>
      </c>
      <c r="M191" t="s">
        <v>2074</v>
      </c>
      <c r="N191" t="s">
        <v>2074</v>
      </c>
      <c r="P191" s="1">
        <v>46098</v>
      </c>
      <c r="Q191" t="s">
        <v>2176</v>
      </c>
      <c r="R191" t="s">
        <v>2175</v>
      </c>
      <c r="S191" t="s">
        <v>1677</v>
      </c>
      <c r="U191">
        <v>0</v>
      </c>
      <c r="V191">
        <v>0</v>
      </c>
      <c r="X191" s="2">
        <v>46210.392361111109</v>
      </c>
      <c r="Y191" s="2">
        <v>46210.392361111109</v>
      </c>
      <c r="Z191" t="s">
        <v>1677</v>
      </c>
      <c r="AH191">
        <v>0</v>
      </c>
      <c r="AI191" t="str">
        <f>"548824076"</f>
        <v>548824076</v>
      </c>
    </row>
    <row r="192" spans="1:35" x14ac:dyDescent="0.35">
      <c r="A192" t="str">
        <f>"2501717627"</f>
        <v>2501717627</v>
      </c>
      <c r="B192" t="s">
        <v>1883</v>
      </c>
      <c r="C192" s="2">
        <v>46209.622430555559</v>
      </c>
      <c r="D192" t="s">
        <v>1536</v>
      </c>
      <c r="E192">
        <v>4</v>
      </c>
      <c r="F192">
        <v>285</v>
      </c>
      <c r="J192" t="s">
        <v>1934</v>
      </c>
      <c r="K192" t="str">
        <f>"521181"</f>
        <v>521181</v>
      </c>
      <c r="L192" s="1">
        <v>46209</v>
      </c>
      <c r="M192" t="s">
        <v>2074</v>
      </c>
      <c r="N192" t="s">
        <v>2074</v>
      </c>
      <c r="P192" s="1">
        <v>46098</v>
      </c>
      <c r="Q192" t="s">
        <v>2060</v>
      </c>
      <c r="R192" t="s">
        <v>1883</v>
      </c>
      <c r="S192" t="s">
        <v>1677</v>
      </c>
      <c r="U192">
        <v>0</v>
      </c>
      <c r="V192">
        <v>0</v>
      </c>
      <c r="X192" s="2">
        <v>46210.340405092589</v>
      </c>
      <c r="Y192" s="2">
        <v>46210.340405092589</v>
      </c>
      <c r="Z192" t="s">
        <v>1677</v>
      </c>
      <c r="AH192">
        <v>0</v>
      </c>
      <c r="AI192" t="s">
        <v>2061</v>
      </c>
    </row>
    <row r="193" spans="1:35" x14ac:dyDescent="0.35">
      <c r="A193" t="str">
        <f>"2501717593"</f>
        <v>2501717593</v>
      </c>
      <c r="B193" t="s">
        <v>1883</v>
      </c>
      <c r="C193" s="2">
        <v>46209.324918981481</v>
      </c>
      <c r="D193" t="s">
        <v>1536</v>
      </c>
      <c r="E193">
        <v>3</v>
      </c>
      <c r="F193">
        <v>575</v>
      </c>
      <c r="J193" t="s">
        <v>1934</v>
      </c>
      <c r="K193" t="str">
        <f>"521181"</f>
        <v>521181</v>
      </c>
      <c r="L193" s="1">
        <v>46208</v>
      </c>
      <c r="M193" t="s">
        <v>2074</v>
      </c>
      <c r="N193" t="s">
        <v>2074</v>
      </c>
      <c r="P193" s="1">
        <v>46098</v>
      </c>
      <c r="Q193" t="s">
        <v>2064</v>
      </c>
      <c r="R193" t="s">
        <v>1883</v>
      </c>
      <c r="S193" t="s">
        <v>1677</v>
      </c>
      <c r="U193">
        <v>0</v>
      </c>
      <c r="V193">
        <v>0</v>
      </c>
      <c r="X193" s="2">
        <v>46209.428541666668</v>
      </c>
      <c r="Y193" s="2">
        <v>46209.428541666668</v>
      </c>
      <c r="Z193" t="s">
        <v>1677</v>
      </c>
      <c r="AH193">
        <v>0</v>
      </c>
      <c r="AI193" t="s">
        <v>2061</v>
      </c>
    </row>
    <row r="194" spans="1:35" x14ac:dyDescent="0.35">
      <c r="A194" t="str">
        <f>"2501717608"</f>
        <v>2501717608</v>
      </c>
      <c r="B194" t="s">
        <v>1883</v>
      </c>
      <c r="C194" s="2">
        <v>46209.302511574075</v>
      </c>
      <c r="D194" t="s">
        <v>1536</v>
      </c>
      <c r="E194">
        <v>3</v>
      </c>
      <c r="F194">
        <v>155</v>
      </c>
      <c r="J194" t="s">
        <v>1934</v>
      </c>
      <c r="K194" t="str">
        <f>"521181"</f>
        <v>521181</v>
      </c>
      <c r="L194" s="1">
        <v>46208</v>
      </c>
      <c r="M194" t="s">
        <v>2074</v>
      </c>
      <c r="N194" t="s">
        <v>2074</v>
      </c>
      <c r="P194" s="1">
        <v>46098</v>
      </c>
      <c r="Q194" t="s">
        <v>2064</v>
      </c>
      <c r="R194" t="s">
        <v>1883</v>
      </c>
      <c r="S194" t="s">
        <v>1677</v>
      </c>
      <c r="U194">
        <v>0</v>
      </c>
      <c r="V194">
        <v>0</v>
      </c>
      <c r="X194" s="2">
        <v>46209.366493055553</v>
      </c>
      <c r="Y194" s="2">
        <v>46209.366493055553</v>
      </c>
      <c r="Z194" t="s">
        <v>1677</v>
      </c>
      <c r="AH194">
        <v>0</v>
      </c>
      <c r="AI194" t="s">
        <v>2061</v>
      </c>
    </row>
    <row r="195" spans="1:35" x14ac:dyDescent="0.35">
      <c r="A195" t="str">
        <f>"2501717599"</f>
        <v>2501717599</v>
      </c>
      <c r="B195" t="s">
        <v>1652</v>
      </c>
      <c r="C195" s="2">
        <v>46209.302511574075</v>
      </c>
      <c r="D195" t="s">
        <v>1536</v>
      </c>
      <c r="E195">
        <v>1</v>
      </c>
      <c r="F195">
        <v>52</v>
      </c>
      <c r="J195" t="s">
        <v>1934</v>
      </c>
      <c r="K195" t="str">
        <f>"521159"</f>
        <v>521159</v>
      </c>
      <c r="L195" s="1">
        <v>46208</v>
      </c>
      <c r="M195" t="s">
        <v>2074</v>
      </c>
      <c r="N195" t="s">
        <v>2074</v>
      </c>
      <c r="P195" s="1">
        <v>46098</v>
      </c>
      <c r="Q195" t="s">
        <v>2177</v>
      </c>
      <c r="R195" t="s">
        <v>1652</v>
      </c>
      <c r="S195" t="s">
        <v>1663</v>
      </c>
      <c r="U195">
        <v>0</v>
      </c>
      <c r="V195">
        <v>0</v>
      </c>
      <c r="X195" s="2">
        <v>46209.367175925923</v>
      </c>
      <c r="Y195" s="2">
        <v>46209.367175925923</v>
      </c>
      <c r="Z195" t="s">
        <v>1663</v>
      </c>
      <c r="AH195">
        <v>0</v>
      </c>
      <c r="AI195" t="str">
        <f>"509357967"</f>
        <v>509357967</v>
      </c>
    </row>
    <row r="196" spans="1:35" x14ac:dyDescent="0.35">
      <c r="A196" t="str">
        <f>"2501717598"</f>
        <v>2501717598</v>
      </c>
      <c r="B196" t="s">
        <v>1556</v>
      </c>
      <c r="C196" s="2">
        <v>46209.302499999998</v>
      </c>
      <c r="D196" t="s">
        <v>1536</v>
      </c>
      <c r="E196">
        <v>1</v>
      </c>
      <c r="F196">
        <v>52</v>
      </c>
      <c r="J196" t="s">
        <v>1934</v>
      </c>
      <c r="K196" t="str">
        <f>"521161"</f>
        <v>521161</v>
      </c>
      <c r="L196" s="1">
        <v>46208</v>
      </c>
      <c r="M196" t="s">
        <v>2074</v>
      </c>
      <c r="N196" t="s">
        <v>2074</v>
      </c>
      <c r="P196" s="1">
        <v>46098</v>
      </c>
      <c r="Q196" t="s">
        <v>2178</v>
      </c>
      <c r="R196" t="s">
        <v>1556</v>
      </c>
      <c r="S196" t="s">
        <v>1779</v>
      </c>
      <c r="U196">
        <v>0</v>
      </c>
      <c r="V196">
        <v>0</v>
      </c>
      <c r="X196" s="2">
        <v>46209.368020833332</v>
      </c>
      <c r="Y196" s="2">
        <v>46209.368020833332</v>
      </c>
      <c r="Z196" t="s">
        <v>1779</v>
      </c>
      <c r="AH196">
        <v>0</v>
      </c>
      <c r="AI196" t="str">
        <f>"596314983"</f>
        <v>596314983</v>
      </c>
    </row>
    <row r="197" spans="1:35" x14ac:dyDescent="0.35">
      <c r="A197" t="str">
        <f>"2501717597"</f>
        <v>2501717597</v>
      </c>
      <c r="B197" t="s">
        <v>1556</v>
      </c>
      <c r="C197" s="2">
        <v>46209.302499999998</v>
      </c>
      <c r="D197" t="s">
        <v>1536</v>
      </c>
      <c r="E197">
        <v>1</v>
      </c>
      <c r="F197">
        <v>30</v>
      </c>
      <c r="J197" t="s">
        <v>1934</v>
      </c>
      <c r="K197" t="str">
        <f>"521161"</f>
        <v>521161</v>
      </c>
      <c r="L197" s="1">
        <v>46208</v>
      </c>
      <c r="M197" t="s">
        <v>2074</v>
      </c>
      <c r="N197" t="s">
        <v>2074</v>
      </c>
      <c r="P197" s="1">
        <v>46098</v>
      </c>
      <c r="Q197" t="s">
        <v>2179</v>
      </c>
      <c r="R197" t="s">
        <v>1556</v>
      </c>
      <c r="S197" t="s">
        <v>2180</v>
      </c>
      <c r="U197">
        <v>0</v>
      </c>
      <c r="V197">
        <v>0</v>
      </c>
      <c r="X197" s="2">
        <v>46209.368020833332</v>
      </c>
      <c r="Y197" s="2">
        <v>46209.368020833332</v>
      </c>
      <c r="Z197" t="s">
        <v>2180</v>
      </c>
      <c r="AH197">
        <v>0</v>
      </c>
      <c r="AI197" t="str">
        <f>"532983043"</f>
        <v>532983043</v>
      </c>
    </row>
    <row r="198" spans="1:35" x14ac:dyDescent="0.35">
      <c r="A198" t="str">
        <f>"2501717574"</f>
        <v>2501717574</v>
      </c>
      <c r="B198" t="s">
        <v>1556</v>
      </c>
      <c r="C198" s="2">
        <v>46205.620486111111</v>
      </c>
      <c r="D198" t="s">
        <v>1536</v>
      </c>
      <c r="E198">
        <v>1</v>
      </c>
      <c r="F198">
        <v>52</v>
      </c>
      <c r="J198" t="s">
        <v>1934</v>
      </c>
      <c r="K198" t="str">
        <f>"521161"</f>
        <v>521161</v>
      </c>
      <c r="L198" s="1">
        <v>46205</v>
      </c>
      <c r="M198" t="s">
        <v>2074</v>
      </c>
      <c r="N198" t="s">
        <v>2074</v>
      </c>
      <c r="P198" s="1">
        <v>46098</v>
      </c>
      <c r="Q198" t="s">
        <v>2070</v>
      </c>
      <c r="R198" t="s">
        <v>1556</v>
      </c>
      <c r="S198" t="s">
        <v>1911</v>
      </c>
      <c r="U198">
        <v>0</v>
      </c>
      <c r="V198">
        <v>0</v>
      </c>
      <c r="X198" s="2">
        <v>46207.330335648148</v>
      </c>
      <c r="Y198" s="2">
        <v>46207.330335648148</v>
      </c>
      <c r="Z198" t="s">
        <v>1911</v>
      </c>
      <c r="AH198">
        <v>0</v>
      </c>
      <c r="AI198" t="str">
        <f>"502916297"</f>
        <v>502916297</v>
      </c>
    </row>
    <row r="199" spans="1:35" x14ac:dyDescent="0.35">
      <c r="A199" t="str">
        <f>"2501717570"</f>
        <v>2501717570</v>
      </c>
      <c r="B199" t="s">
        <v>1556</v>
      </c>
      <c r="C199" s="2">
        <v>46205.620474537034</v>
      </c>
      <c r="D199" t="s">
        <v>1536</v>
      </c>
      <c r="E199">
        <v>1</v>
      </c>
      <c r="F199">
        <v>104</v>
      </c>
      <c r="J199" t="s">
        <v>1934</v>
      </c>
      <c r="K199" t="str">
        <f>"521161"</f>
        <v>521161</v>
      </c>
      <c r="L199" s="1">
        <v>46205</v>
      </c>
      <c r="M199" t="s">
        <v>2074</v>
      </c>
      <c r="N199" t="s">
        <v>2074</v>
      </c>
      <c r="P199" s="1">
        <v>46098</v>
      </c>
      <c r="Q199" t="s">
        <v>2181</v>
      </c>
      <c r="R199" t="s">
        <v>1556</v>
      </c>
      <c r="S199" t="s">
        <v>2121</v>
      </c>
      <c r="U199">
        <v>0</v>
      </c>
      <c r="V199">
        <v>0</v>
      </c>
      <c r="X199" s="2">
        <v>46207.330335648148</v>
      </c>
      <c r="Y199" s="2">
        <v>46207.330335648148</v>
      </c>
      <c r="Z199" t="s">
        <v>2121</v>
      </c>
      <c r="AH199">
        <v>0</v>
      </c>
      <c r="AI199" t="str">
        <f>"530719008"</f>
        <v>530719008</v>
      </c>
    </row>
    <row r="200" spans="1:35" x14ac:dyDescent="0.35">
      <c r="A200" t="str">
        <f>"2501717569"</f>
        <v>2501717569</v>
      </c>
      <c r="B200" t="s">
        <v>1903</v>
      </c>
      <c r="C200" s="2">
        <v>46205.620474537034</v>
      </c>
      <c r="D200" t="s">
        <v>1536</v>
      </c>
      <c r="E200">
        <v>1</v>
      </c>
      <c r="F200">
        <v>50</v>
      </c>
      <c r="J200" t="s">
        <v>1934</v>
      </c>
      <c r="K200" t="str">
        <f>"521067"</f>
        <v>521067</v>
      </c>
      <c r="L200" s="1">
        <v>46205</v>
      </c>
      <c r="M200" t="s">
        <v>2074</v>
      </c>
      <c r="N200" t="s">
        <v>2074</v>
      </c>
      <c r="P200" s="1">
        <v>46098</v>
      </c>
      <c r="Q200" t="s">
        <v>2066</v>
      </c>
      <c r="R200" t="s">
        <v>1903</v>
      </c>
      <c r="S200" t="s">
        <v>1902</v>
      </c>
      <c r="U200">
        <v>0</v>
      </c>
      <c r="V200">
        <v>0</v>
      </c>
      <c r="X200" s="2">
        <v>46207.3281712963</v>
      </c>
      <c r="Y200" s="2">
        <v>46207.3281712963</v>
      </c>
      <c r="Z200" t="s">
        <v>1902</v>
      </c>
      <c r="AH200">
        <v>0</v>
      </c>
      <c r="AI200" t="s">
        <v>2067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IBLPNs</vt:lpstr>
      <vt:lpstr>OBLPNs</vt:lpstr>
      <vt:lpstr>IB shipment</vt:lpstr>
      <vt:lpstr>Order Heder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Aljwharah Aljohani</dc:creator>
  <cp:lastModifiedBy>Aljwharah Aljohani</cp:lastModifiedBy>
  <dcterms:created xsi:type="dcterms:W3CDTF">2026-08-18T10:03:03Z</dcterms:created>
  <dcterms:modified xsi:type="dcterms:W3CDTF">2026-08-18T10:13:41Z</dcterms:modified>
</cp:coreProperties>
</file>